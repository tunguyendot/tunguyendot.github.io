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XPS\OneDrive - hcmut.edu.vn\Desktop\"/>
    </mc:Choice>
  </mc:AlternateContent>
  <xr:revisionPtr revIDLastSave="0" documentId="13_ncr:1_{09B8B390-7D9E-414C-9C07-BA6DB9E1FAD7}" xr6:coauthVersionLast="47" xr6:coauthVersionMax="47" xr10:uidLastSave="{00000000-0000-0000-0000-000000000000}"/>
  <bookViews>
    <workbookView xWindow="-90" yWindow="-90" windowWidth="19380" windowHeight="10260" xr2:uid="{E5A51A55-F18F-4ACB-8321-8F37174EB874}"/>
  </bookViews>
  <sheets>
    <sheet name="Checksheet" sheetId="23" r:id="rId1"/>
    <sheet name="Summary" sheetId="2" r:id="rId2"/>
    <sheet name="Sheet2" sheetId="27" state="hidden" r:id="rId3"/>
    <sheet name="Code" sheetId="25" state="hidden" r:id="rId4"/>
    <sheet name="Sheet1" sheetId="26" state="hidden" r:id="rId5"/>
  </sheets>
  <externalReferences>
    <externalReference r:id="rId6"/>
  </externalReferences>
  <definedNames>
    <definedName name="_xlnm._FilterDatabase" localSheetId="3" hidden="1">Code!$A$1:$E$69</definedName>
    <definedName name="_xlnm._FilterDatabase" localSheetId="0" hidden="1">Checksheet!$J$55:$J$85</definedName>
    <definedName name="_xlnm._FilterDatabase" localSheetId="1" hidden="1">Summary!$D$2:$X$1363</definedName>
    <definedName name="_xlnm.Extract" localSheetId="3">Code!#REF!</definedName>
    <definedName name="_xlnm.Extract" localSheetId="0">Checksheet!$J$88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60" i="26" l="1"/>
  <c r="D761" i="26"/>
  <c r="D762" i="26"/>
  <c r="D763" i="26"/>
  <c r="D764" i="26"/>
  <c r="D765" i="26"/>
  <c r="D766" i="26"/>
  <c r="D767" i="26"/>
  <c r="D768" i="26"/>
  <c r="D769" i="26"/>
  <c r="D770" i="26"/>
  <c r="D771" i="26"/>
  <c r="D772" i="26"/>
  <c r="D748" i="26"/>
  <c r="D749" i="26"/>
  <c r="D750" i="26"/>
  <c r="D751" i="26"/>
  <c r="D752" i="26"/>
  <c r="D753" i="26"/>
  <c r="D754" i="26"/>
  <c r="D755" i="26"/>
  <c r="D756" i="26"/>
  <c r="D757" i="26"/>
  <c r="D758" i="26"/>
  <c r="D759" i="26"/>
  <c r="D744" i="26"/>
  <c r="D745" i="26"/>
  <c r="D746" i="26"/>
  <c r="D747" i="26"/>
  <c r="D773" i="26" l="1"/>
  <c r="D774" i="26"/>
  <c r="D775" i="26"/>
  <c r="D776" i="26"/>
  <c r="D777" i="26"/>
  <c r="D778" i="26"/>
  <c r="D779" i="26"/>
  <c r="D780" i="26"/>
  <c r="D781" i="26"/>
  <c r="D782" i="26"/>
  <c r="D783" i="26"/>
  <c r="D784" i="26"/>
  <c r="D785" i="26"/>
  <c r="D786" i="26"/>
  <c r="D787" i="26"/>
  <c r="D788" i="26"/>
  <c r="D789" i="26"/>
  <c r="D790" i="26"/>
  <c r="D791" i="26"/>
  <c r="D792" i="26"/>
  <c r="D793" i="26"/>
  <c r="D794" i="26"/>
  <c r="D795" i="26"/>
  <c r="D796" i="26"/>
  <c r="D797" i="26"/>
  <c r="D798" i="26"/>
  <c r="D799" i="26"/>
  <c r="D800" i="26"/>
  <c r="D801" i="26"/>
  <c r="D802" i="26"/>
  <c r="D803" i="26"/>
  <c r="D804" i="26"/>
  <c r="D805" i="26"/>
  <c r="D806" i="26"/>
  <c r="D807" i="26"/>
  <c r="D808" i="26"/>
  <c r="D809" i="26"/>
  <c r="D810" i="26"/>
  <c r="D811" i="26"/>
  <c r="D812" i="26"/>
  <c r="D813" i="26"/>
  <c r="D814" i="26"/>
  <c r="D815" i="26"/>
  <c r="D816" i="26"/>
  <c r="D817" i="26"/>
  <c r="D818" i="26"/>
  <c r="D819" i="26"/>
  <c r="D820" i="26"/>
  <c r="D821" i="26"/>
  <c r="D822" i="26"/>
  <c r="D823" i="26"/>
  <c r="D824" i="26"/>
  <c r="D825" i="26"/>
  <c r="D826" i="26"/>
  <c r="D827" i="26"/>
  <c r="D828" i="26"/>
  <c r="D829" i="26"/>
  <c r="D830" i="26"/>
  <c r="D831" i="26"/>
  <c r="D832" i="26"/>
  <c r="D833" i="26"/>
  <c r="D834" i="26"/>
  <c r="D835" i="26"/>
  <c r="D836" i="26"/>
  <c r="D837" i="26"/>
  <c r="D838" i="26"/>
  <c r="D839" i="26"/>
  <c r="D840" i="26"/>
  <c r="D841" i="26"/>
  <c r="D842" i="26"/>
  <c r="D843" i="26"/>
  <c r="D844" i="26"/>
  <c r="D845" i="26"/>
  <c r="D846" i="26"/>
  <c r="D847" i="26"/>
  <c r="D848" i="26"/>
  <c r="D849" i="26"/>
  <c r="D850" i="26"/>
  <c r="D851" i="26"/>
  <c r="D852" i="26"/>
  <c r="D853" i="26"/>
  <c r="D854" i="26"/>
  <c r="D855" i="26"/>
  <c r="D856" i="26"/>
  <c r="D857" i="26"/>
  <c r="D858" i="26"/>
  <c r="D859" i="26"/>
  <c r="D860" i="26"/>
  <c r="D861" i="26"/>
  <c r="D862" i="26"/>
  <c r="D863" i="26"/>
  <c r="D864" i="26"/>
  <c r="D865" i="26"/>
  <c r="D866" i="26"/>
  <c r="D867" i="26"/>
  <c r="D868" i="26"/>
  <c r="D869" i="26"/>
  <c r="D870" i="26"/>
  <c r="D871" i="26"/>
  <c r="D872" i="26"/>
  <c r="D873" i="26"/>
  <c r="D874" i="26"/>
  <c r="D875" i="26"/>
  <c r="D876" i="26"/>
  <c r="D877" i="26"/>
  <c r="D878" i="26"/>
  <c r="D879" i="26"/>
  <c r="D880" i="26"/>
  <c r="D881" i="26"/>
  <c r="D882" i="26"/>
  <c r="D883" i="26"/>
  <c r="D884" i="26"/>
  <c r="D885" i="26"/>
  <c r="D886" i="26"/>
  <c r="D887" i="26"/>
  <c r="D888" i="26"/>
  <c r="D889" i="26"/>
  <c r="D890" i="26"/>
  <c r="D891" i="26"/>
  <c r="D892" i="26"/>
  <c r="D893" i="26"/>
  <c r="D894" i="26"/>
  <c r="D895" i="26"/>
  <c r="D896" i="26"/>
  <c r="D897" i="26"/>
  <c r="D898" i="26"/>
  <c r="D899" i="26"/>
  <c r="D900" i="26"/>
  <c r="D901" i="26"/>
  <c r="D902" i="26"/>
  <c r="D903" i="26"/>
  <c r="D904" i="26"/>
  <c r="D905" i="26"/>
  <c r="D906" i="26"/>
  <c r="D907" i="26"/>
  <c r="D908" i="26"/>
  <c r="D909" i="26"/>
  <c r="D910" i="26"/>
  <c r="D911" i="26"/>
  <c r="D912" i="26"/>
  <c r="D913" i="26"/>
  <c r="D914" i="26"/>
  <c r="D915" i="26"/>
  <c r="D916" i="26"/>
  <c r="D917" i="26"/>
  <c r="D918" i="26"/>
  <c r="D919" i="26"/>
  <c r="D920" i="26"/>
  <c r="D921" i="26"/>
  <c r="D922" i="26"/>
  <c r="D923" i="26"/>
  <c r="D924" i="26"/>
  <c r="D925" i="26"/>
  <c r="D926" i="26"/>
  <c r="D927" i="26"/>
  <c r="D928" i="26"/>
  <c r="D929" i="26"/>
  <c r="D930" i="26"/>
  <c r="D931" i="26"/>
  <c r="D932" i="26"/>
  <c r="D933" i="26"/>
  <c r="D934" i="26"/>
  <c r="D935" i="26"/>
  <c r="D936" i="26"/>
  <c r="D937" i="26"/>
  <c r="D938" i="26"/>
  <c r="D939" i="26"/>
  <c r="D940" i="26"/>
  <c r="D941" i="26"/>
  <c r="D942" i="26"/>
  <c r="D943" i="26"/>
  <c r="D944" i="26"/>
  <c r="D945" i="26"/>
  <c r="D946" i="26"/>
  <c r="D947" i="26"/>
  <c r="D948" i="26"/>
  <c r="D949" i="26"/>
  <c r="D950" i="26"/>
  <c r="D951" i="26"/>
  <c r="D952" i="26"/>
  <c r="D953" i="26"/>
  <c r="D954" i="26"/>
  <c r="D955" i="26"/>
  <c r="D956" i="26"/>
  <c r="D957" i="26"/>
  <c r="D958" i="26"/>
  <c r="D959" i="26"/>
  <c r="D960" i="26"/>
  <c r="D961" i="26"/>
  <c r="D962" i="26"/>
  <c r="D963" i="26"/>
  <c r="D964" i="26"/>
  <c r="D965" i="26"/>
  <c r="D966" i="26"/>
  <c r="D967" i="26"/>
  <c r="D968" i="26"/>
  <c r="D969" i="26"/>
  <c r="D970" i="26"/>
  <c r="D971" i="26"/>
  <c r="D972" i="26"/>
  <c r="D973" i="26"/>
  <c r="D974" i="26"/>
  <c r="D975" i="26"/>
  <c r="D976" i="26"/>
  <c r="D977" i="26"/>
  <c r="D978" i="26"/>
  <c r="D979" i="26"/>
  <c r="D980" i="26"/>
  <c r="D981" i="26"/>
  <c r="D982" i="26"/>
  <c r="D983" i="26"/>
  <c r="D984" i="26"/>
  <c r="D985" i="26"/>
  <c r="D986" i="26"/>
  <c r="D987" i="26"/>
  <c r="D988" i="26"/>
  <c r="D989" i="26"/>
  <c r="D990" i="26"/>
  <c r="D991" i="26"/>
  <c r="D992" i="26"/>
  <c r="D993" i="26"/>
  <c r="D994" i="26"/>
  <c r="D995" i="26"/>
  <c r="D996" i="26"/>
  <c r="D997" i="26"/>
  <c r="D998" i="26"/>
  <c r="D999" i="26"/>
  <c r="D1000" i="26"/>
  <c r="D1001" i="26"/>
  <c r="D1002" i="26"/>
  <c r="D1003" i="26"/>
  <c r="D1004" i="26"/>
  <c r="D1005" i="26"/>
  <c r="D1006" i="26"/>
  <c r="D1007" i="26"/>
  <c r="D1008" i="26"/>
  <c r="D1009" i="26"/>
  <c r="D1010" i="26"/>
  <c r="D1011" i="26"/>
  <c r="D1012" i="26"/>
  <c r="D1013" i="26"/>
  <c r="D1014" i="26"/>
  <c r="D1015" i="26"/>
  <c r="D1016" i="26"/>
  <c r="D1017" i="26"/>
  <c r="D1018" i="26"/>
  <c r="D1019" i="26"/>
  <c r="D1020" i="26"/>
  <c r="D1021" i="26"/>
  <c r="D1022" i="26"/>
  <c r="D1023" i="26"/>
  <c r="D1024" i="26"/>
  <c r="D1025" i="26"/>
  <c r="D1026" i="26"/>
  <c r="D1027" i="26"/>
  <c r="D1028" i="26"/>
  <c r="D1029" i="26"/>
  <c r="D1030" i="26"/>
  <c r="D1031" i="26"/>
  <c r="D1032" i="26"/>
  <c r="D1033" i="26"/>
  <c r="D1034" i="26"/>
  <c r="D1035" i="26"/>
  <c r="D1036" i="26"/>
  <c r="D1037" i="26"/>
  <c r="D1038" i="26"/>
  <c r="D1039" i="26"/>
  <c r="D1040" i="26"/>
  <c r="D1041" i="26"/>
  <c r="D1042" i="26"/>
  <c r="D1043" i="26"/>
  <c r="D1044" i="26"/>
  <c r="D1045" i="26"/>
  <c r="D1046" i="26"/>
  <c r="D1047" i="26"/>
  <c r="D1048" i="26"/>
  <c r="D1049" i="26"/>
  <c r="D1050" i="26"/>
  <c r="D1051" i="26"/>
  <c r="D1052" i="26"/>
  <c r="D1053" i="26"/>
  <c r="D1054" i="26"/>
  <c r="D1055" i="26"/>
  <c r="D1056" i="26"/>
  <c r="D1057" i="26"/>
  <c r="D1058" i="26"/>
  <c r="D1059" i="26"/>
  <c r="D1060" i="26"/>
  <c r="D1061" i="26"/>
  <c r="D1062" i="26"/>
  <c r="D1063" i="26"/>
  <c r="D1064" i="26"/>
  <c r="D1065" i="26"/>
  <c r="D1066" i="26"/>
  <c r="D1067" i="26"/>
  <c r="D1068" i="26"/>
  <c r="D1069" i="26"/>
  <c r="D1070" i="26"/>
  <c r="D1071" i="26"/>
  <c r="D1072" i="26"/>
  <c r="D1073" i="26"/>
  <c r="D1074" i="26"/>
  <c r="D1075" i="26"/>
  <c r="D1076" i="26"/>
  <c r="D1077" i="26"/>
  <c r="D1078" i="26"/>
  <c r="D1079" i="26"/>
  <c r="D1080" i="26"/>
  <c r="D1081" i="26"/>
  <c r="D1082" i="26"/>
  <c r="D1083" i="26"/>
  <c r="D1084" i="26"/>
  <c r="D1085" i="26"/>
  <c r="D1086" i="26"/>
  <c r="D1087" i="26"/>
  <c r="D1088" i="26"/>
  <c r="D1089" i="26"/>
  <c r="D1090" i="26"/>
  <c r="D1091" i="26"/>
  <c r="D1092" i="26"/>
  <c r="D1093" i="26"/>
  <c r="D1094" i="26"/>
  <c r="D1095" i="26"/>
  <c r="D1096" i="26"/>
  <c r="D1097" i="26"/>
  <c r="D1098" i="26"/>
  <c r="D1099" i="26"/>
  <c r="D1100" i="26"/>
  <c r="D1101" i="26"/>
  <c r="D1102" i="26"/>
  <c r="D1103" i="26"/>
  <c r="D1104" i="26"/>
  <c r="D1105" i="26"/>
  <c r="D1106" i="26"/>
  <c r="D1107" i="26"/>
  <c r="D1108" i="26"/>
  <c r="D1109" i="26"/>
  <c r="D1110" i="26"/>
  <c r="D1111" i="26"/>
  <c r="D1112" i="26"/>
  <c r="D1113" i="26"/>
  <c r="D1114" i="26"/>
  <c r="D1115" i="26"/>
  <c r="D1116" i="26"/>
  <c r="D1117" i="26"/>
  <c r="D1118" i="26"/>
  <c r="D1119" i="26"/>
  <c r="D1120" i="26"/>
  <c r="D1121" i="26"/>
  <c r="D1122" i="26"/>
  <c r="D1123" i="26"/>
  <c r="D1124" i="26"/>
  <c r="D1125" i="26"/>
  <c r="D1126" i="26"/>
  <c r="D1127" i="26"/>
  <c r="D1128" i="26"/>
  <c r="D1129" i="26"/>
  <c r="D1130" i="26"/>
  <c r="D1131" i="26"/>
  <c r="D1132" i="26"/>
  <c r="D1133" i="26"/>
  <c r="D1134" i="26"/>
  <c r="D1135" i="26"/>
  <c r="D1136" i="26"/>
  <c r="D1137" i="26"/>
  <c r="D1138" i="26"/>
  <c r="D1139" i="26"/>
  <c r="D1140" i="26"/>
  <c r="D1141" i="26"/>
  <c r="D1142" i="26"/>
  <c r="D1143" i="26"/>
  <c r="D1144" i="26"/>
  <c r="D1145" i="26"/>
  <c r="D1146" i="26"/>
  <c r="D1147" i="26"/>
  <c r="D1148" i="26"/>
  <c r="D1149" i="26"/>
  <c r="D1150" i="26"/>
  <c r="D1151" i="26"/>
  <c r="D1152" i="26"/>
  <c r="D1153" i="26"/>
  <c r="D1154" i="26"/>
  <c r="D1155" i="26"/>
  <c r="D1156" i="26"/>
  <c r="D1157" i="26"/>
  <c r="D1158" i="26"/>
  <c r="D1159" i="26"/>
  <c r="D1160" i="26"/>
  <c r="D1161" i="26"/>
  <c r="D1162" i="26"/>
  <c r="D1163" i="26"/>
  <c r="D1164" i="26"/>
  <c r="D1165" i="26"/>
  <c r="D1166" i="26"/>
  <c r="D1167" i="26"/>
  <c r="D1168" i="26"/>
  <c r="D1169" i="26"/>
  <c r="D1170" i="26"/>
  <c r="D1171" i="26"/>
  <c r="D1172" i="26"/>
  <c r="D1173" i="26"/>
  <c r="D1174" i="26"/>
  <c r="D1175" i="26"/>
  <c r="D1176" i="26"/>
  <c r="D1177" i="26"/>
  <c r="D1178" i="26"/>
  <c r="D1179" i="26"/>
  <c r="D1180" i="26"/>
  <c r="D1181" i="26"/>
  <c r="D1182" i="26"/>
  <c r="D1183" i="26"/>
  <c r="D1184" i="26"/>
  <c r="D1185" i="26"/>
  <c r="D1186" i="26"/>
  <c r="D1187" i="26"/>
  <c r="D1188" i="26"/>
  <c r="D1189" i="26"/>
  <c r="D1190" i="26"/>
  <c r="D1191" i="26"/>
  <c r="D1192" i="26"/>
  <c r="D1193" i="26"/>
  <c r="D1194" i="26"/>
  <c r="D1195" i="26"/>
  <c r="D1196" i="26"/>
  <c r="D1197" i="26"/>
  <c r="D1198" i="26"/>
  <c r="D1199" i="26"/>
  <c r="D1200" i="26"/>
  <c r="D1201" i="26"/>
  <c r="D1202" i="26"/>
  <c r="D1203" i="26"/>
  <c r="D1204" i="26"/>
  <c r="D1205" i="26"/>
  <c r="D1206" i="26"/>
  <c r="D1207" i="26"/>
  <c r="D1208" i="26"/>
  <c r="D1209" i="26"/>
  <c r="D1210" i="26"/>
  <c r="D1211" i="26"/>
  <c r="D1212" i="26"/>
  <c r="D1213" i="26"/>
  <c r="D1214" i="26"/>
  <c r="D1215" i="26"/>
  <c r="D1216" i="26"/>
  <c r="D1217" i="26"/>
  <c r="D1218" i="26"/>
  <c r="D1219" i="26"/>
  <c r="D1220" i="26"/>
  <c r="D1221" i="26"/>
  <c r="D1222" i="26"/>
  <c r="D1223" i="26"/>
  <c r="D1224" i="26"/>
  <c r="D1225" i="26"/>
  <c r="D1226" i="26"/>
  <c r="D1227" i="26"/>
  <c r="D1228" i="26"/>
  <c r="D1229" i="26"/>
  <c r="D1230" i="26"/>
  <c r="D1231" i="26"/>
  <c r="D1232" i="26"/>
  <c r="D1233" i="26"/>
  <c r="D1234" i="26"/>
  <c r="D1235" i="26"/>
  <c r="D1236" i="26"/>
  <c r="D1237" i="26"/>
  <c r="D1238" i="26"/>
  <c r="D1239" i="26"/>
  <c r="D1240" i="26"/>
  <c r="D1241" i="26"/>
  <c r="D1242" i="26"/>
  <c r="D1243" i="26"/>
  <c r="D1244" i="26"/>
  <c r="D1245" i="26"/>
  <c r="D1246" i="26"/>
  <c r="D1247" i="26"/>
  <c r="D1248" i="26"/>
  <c r="D1249" i="26"/>
  <c r="D1250" i="26"/>
  <c r="D1251" i="26"/>
  <c r="D1252" i="26"/>
  <c r="D1253" i="26"/>
  <c r="D1254" i="26"/>
  <c r="D1255" i="26"/>
  <c r="D1256" i="26"/>
  <c r="D1257" i="26"/>
  <c r="D1258" i="26"/>
  <c r="D1259" i="26"/>
  <c r="D1260" i="26"/>
  <c r="D1261" i="26"/>
  <c r="D1262" i="26"/>
  <c r="D1263" i="26"/>
  <c r="D1264" i="26"/>
  <c r="D1265" i="26"/>
  <c r="D1266" i="26"/>
  <c r="D1267" i="26"/>
  <c r="D1268" i="26"/>
  <c r="D1269" i="26"/>
  <c r="D1270" i="26"/>
  <c r="D1271" i="26"/>
  <c r="D1272" i="26"/>
  <c r="D1273" i="26"/>
  <c r="D1274" i="26"/>
  <c r="D1275" i="26"/>
  <c r="D1276" i="26"/>
  <c r="D1277" i="26"/>
  <c r="D1278" i="26"/>
  <c r="D1279" i="26"/>
  <c r="D1280" i="26"/>
  <c r="D1281" i="26"/>
  <c r="D1282" i="26"/>
  <c r="D1283" i="26"/>
  <c r="D1284" i="26"/>
  <c r="D1285" i="26"/>
  <c r="D1286" i="26"/>
  <c r="D1287" i="26"/>
  <c r="D1288" i="26"/>
  <c r="D1289" i="26"/>
  <c r="D1290" i="26"/>
  <c r="D1291" i="26"/>
  <c r="D1292" i="26"/>
  <c r="D1293" i="26"/>
  <c r="D1294" i="26"/>
  <c r="D1295" i="26"/>
  <c r="D1296" i="26"/>
  <c r="D1297" i="26"/>
  <c r="D1298" i="26"/>
  <c r="D1299" i="26"/>
  <c r="D1300" i="26"/>
  <c r="D1301" i="26"/>
  <c r="D1302" i="26"/>
  <c r="D1303" i="26"/>
  <c r="D1304" i="26"/>
  <c r="D1305" i="26"/>
  <c r="D1306" i="26"/>
  <c r="D1307" i="26"/>
  <c r="D1308" i="26"/>
  <c r="D1309" i="26"/>
  <c r="D1310" i="26"/>
  <c r="D1311" i="26"/>
  <c r="D1312" i="26"/>
  <c r="D1313" i="26"/>
  <c r="D1314" i="26"/>
  <c r="D1315" i="26"/>
  <c r="D1316" i="26"/>
  <c r="D1317" i="26"/>
  <c r="D1318" i="26"/>
  <c r="D1319" i="26"/>
  <c r="D1320" i="26"/>
  <c r="D1321" i="26"/>
  <c r="D1322" i="26"/>
  <c r="D1323" i="26"/>
  <c r="D1324" i="26"/>
  <c r="D1325" i="26"/>
  <c r="D1326" i="26"/>
  <c r="D1327" i="26"/>
  <c r="D1328" i="26"/>
  <c r="D1329" i="26"/>
  <c r="D1330" i="26"/>
  <c r="D1331" i="26"/>
  <c r="D1332" i="26"/>
  <c r="D1333" i="26"/>
  <c r="D1334" i="26"/>
  <c r="D1335" i="26"/>
  <c r="D1336" i="26"/>
  <c r="D1337" i="26"/>
  <c r="D1338" i="26"/>
  <c r="D1339" i="26"/>
  <c r="D1340" i="26"/>
  <c r="D1341" i="26"/>
  <c r="D1342" i="26"/>
  <c r="D1343" i="26"/>
  <c r="D1344" i="26"/>
  <c r="D1345" i="26"/>
  <c r="D1346" i="26"/>
  <c r="D1347" i="26"/>
  <c r="D1348" i="26"/>
  <c r="D1349" i="26"/>
  <c r="D1350" i="26"/>
  <c r="D1351" i="26"/>
  <c r="D1352" i="26"/>
  <c r="D1353" i="26"/>
  <c r="D1354" i="26"/>
  <c r="D1355" i="26"/>
  <c r="D1356" i="26"/>
  <c r="D1357" i="26"/>
  <c r="D1358" i="26"/>
  <c r="D1359" i="26"/>
  <c r="D1360" i="26"/>
  <c r="D1361" i="26"/>
  <c r="D1362" i="26"/>
  <c r="D1363" i="26"/>
  <c r="D1364" i="26"/>
  <c r="D1365" i="26"/>
  <c r="D1366" i="26"/>
  <c r="D1367" i="26"/>
  <c r="D1368" i="26"/>
  <c r="D1369" i="26"/>
  <c r="D1370" i="26"/>
  <c r="D1371" i="26"/>
  <c r="D1372" i="26"/>
  <c r="D1373" i="26"/>
  <c r="D1374" i="26"/>
  <c r="D1375" i="26"/>
  <c r="D1376" i="26"/>
  <c r="D1377" i="26"/>
  <c r="D1378" i="26"/>
  <c r="D1379" i="26"/>
  <c r="D1380" i="26"/>
  <c r="D1381" i="26"/>
  <c r="D1382" i="26"/>
  <c r="D1383" i="26"/>
  <c r="D1384" i="26"/>
  <c r="D1385" i="26"/>
  <c r="D1386" i="26"/>
  <c r="D1387" i="26"/>
  <c r="D1388" i="26"/>
  <c r="D1389" i="26"/>
  <c r="D1390" i="26"/>
  <c r="D1391" i="26"/>
  <c r="D1392" i="26"/>
  <c r="D1393" i="26"/>
  <c r="D1394" i="26"/>
  <c r="D1395" i="26"/>
  <c r="D1396" i="26"/>
  <c r="D1397" i="26"/>
  <c r="D1398" i="26"/>
  <c r="D1399" i="26"/>
  <c r="D1400" i="26"/>
  <c r="D1401" i="26"/>
  <c r="D1402" i="26"/>
  <c r="D1403" i="26"/>
  <c r="D1404" i="26"/>
  <c r="D1405" i="26"/>
  <c r="D1406" i="26"/>
  <c r="D1407" i="26"/>
  <c r="D1408" i="26"/>
  <c r="D1409" i="26"/>
  <c r="D1410" i="26"/>
  <c r="D1411" i="26"/>
  <c r="D1412" i="26"/>
  <c r="D1413" i="26"/>
  <c r="D1414" i="26"/>
  <c r="D1415" i="26"/>
  <c r="D1416" i="26"/>
  <c r="D1417" i="26"/>
  <c r="D1418" i="26"/>
  <c r="D1419" i="26"/>
  <c r="D1420" i="26"/>
  <c r="D1421" i="26"/>
  <c r="D1422" i="26"/>
  <c r="D1423" i="26"/>
  <c r="D1424" i="26"/>
  <c r="D1425" i="26"/>
  <c r="D1426" i="26"/>
  <c r="D1427" i="26"/>
  <c r="D1428" i="26"/>
  <c r="D1429" i="26"/>
  <c r="D1430" i="26"/>
  <c r="D1431" i="26"/>
  <c r="D1432" i="26"/>
  <c r="D1433" i="26"/>
  <c r="D1434" i="26"/>
  <c r="D1435" i="26"/>
  <c r="D1436" i="26"/>
  <c r="D1437" i="26"/>
  <c r="D1438" i="26"/>
  <c r="D1439" i="26"/>
  <c r="D1440" i="26"/>
  <c r="D1441" i="26"/>
  <c r="D1442" i="26"/>
  <c r="D1443" i="26"/>
  <c r="D1444" i="26"/>
  <c r="D1445" i="26"/>
  <c r="D1446" i="26"/>
  <c r="D1447" i="26"/>
  <c r="D1448" i="26"/>
  <c r="D1449" i="26"/>
  <c r="D1450" i="26"/>
  <c r="D1451" i="26"/>
  <c r="D1452" i="26"/>
  <c r="D1453" i="26"/>
  <c r="D1454" i="26"/>
  <c r="D1455" i="26"/>
  <c r="D1456" i="26"/>
  <c r="D1457" i="26"/>
  <c r="D1458" i="26"/>
  <c r="D1459" i="26"/>
  <c r="D1460" i="26"/>
  <c r="D1461" i="26"/>
  <c r="D1462" i="26"/>
  <c r="D1463" i="26"/>
  <c r="D1464" i="26"/>
  <c r="D1465" i="26"/>
  <c r="D1466" i="26"/>
  <c r="D1467" i="26"/>
  <c r="D1468" i="26"/>
  <c r="D1469" i="26"/>
  <c r="D1470" i="26"/>
  <c r="D1471" i="26"/>
  <c r="D1472" i="26"/>
  <c r="D1473" i="26"/>
  <c r="D1474" i="26"/>
  <c r="D1475" i="26"/>
  <c r="D1476" i="26"/>
  <c r="D1477" i="26"/>
  <c r="D1478" i="26"/>
  <c r="D1479" i="26"/>
  <c r="D1480" i="26"/>
  <c r="D1481" i="26"/>
  <c r="D1482" i="26"/>
  <c r="D1483" i="26"/>
  <c r="D1484" i="26"/>
  <c r="D1485" i="26"/>
  <c r="D1486" i="26"/>
  <c r="D1487" i="26"/>
  <c r="D1488" i="26"/>
  <c r="D1489" i="26"/>
  <c r="D1490" i="26"/>
  <c r="D1491" i="26"/>
  <c r="D1492" i="26"/>
  <c r="D1493" i="26"/>
  <c r="D1494" i="26"/>
  <c r="D1495" i="26"/>
  <c r="D1496" i="26"/>
  <c r="D1497" i="26"/>
  <c r="D1498" i="26"/>
  <c r="D1499" i="26"/>
  <c r="D1500" i="26"/>
  <c r="D1501" i="26"/>
  <c r="D1502" i="26"/>
  <c r="D1503" i="26"/>
  <c r="D1504" i="26"/>
  <c r="D1505" i="26"/>
  <c r="D1506" i="26"/>
  <c r="D1507" i="26"/>
  <c r="D1508" i="26"/>
  <c r="D1509" i="26"/>
  <c r="D1510" i="26"/>
  <c r="D1511" i="26"/>
  <c r="D1512" i="26"/>
  <c r="D1513" i="26"/>
  <c r="D1514" i="26"/>
  <c r="D1515" i="26"/>
  <c r="D1516" i="26"/>
  <c r="D1517" i="26"/>
  <c r="D1518" i="26"/>
  <c r="D1519" i="26"/>
  <c r="D1520" i="26"/>
  <c r="D1521" i="26"/>
  <c r="D1522" i="26"/>
  <c r="D1523" i="26"/>
  <c r="D1524" i="26"/>
  <c r="D1525" i="26"/>
  <c r="D1526" i="26"/>
  <c r="D1527" i="26"/>
  <c r="D1528" i="26"/>
  <c r="D1529" i="26"/>
  <c r="D1530" i="26"/>
  <c r="D1531" i="26"/>
  <c r="D1532" i="26"/>
  <c r="D1533" i="26"/>
  <c r="D1534" i="26"/>
  <c r="D1535" i="26"/>
  <c r="D1536" i="26"/>
  <c r="D1537" i="26"/>
  <c r="D1538" i="26"/>
  <c r="D1539" i="26"/>
  <c r="D1540" i="26"/>
  <c r="D1541" i="26"/>
  <c r="D1542" i="26"/>
  <c r="D1543" i="26"/>
  <c r="D1544" i="26"/>
  <c r="D1545" i="26"/>
  <c r="D1546" i="26"/>
  <c r="D1547" i="26"/>
  <c r="D1548" i="26"/>
  <c r="D1549" i="26"/>
  <c r="D1550" i="26"/>
  <c r="D1551" i="26"/>
  <c r="D1552" i="26"/>
  <c r="D1553" i="26"/>
  <c r="D1554" i="26"/>
  <c r="D1555" i="26"/>
  <c r="D1556" i="26"/>
  <c r="D1557" i="26"/>
  <c r="D1558" i="26"/>
  <c r="D1559" i="26"/>
  <c r="D1560" i="26"/>
  <c r="D1561" i="26"/>
  <c r="D1562" i="26"/>
  <c r="D1563" i="26"/>
  <c r="D1564" i="26"/>
  <c r="D1565" i="26"/>
  <c r="D1566" i="26"/>
  <c r="D1567" i="26"/>
  <c r="D1568" i="26"/>
  <c r="D1569" i="26"/>
  <c r="D1570" i="26"/>
  <c r="D1571" i="26"/>
  <c r="D1572" i="26"/>
  <c r="D1573" i="26"/>
  <c r="D1574" i="26"/>
  <c r="D1575" i="26"/>
  <c r="D1576" i="26"/>
  <c r="D1577" i="26"/>
  <c r="D1578" i="26"/>
  <c r="D1579" i="26"/>
  <c r="D1580" i="26"/>
  <c r="D1581" i="26"/>
  <c r="D1582" i="26"/>
  <c r="D1583" i="26"/>
  <c r="D1584" i="26"/>
  <c r="D1585" i="26"/>
  <c r="D1586" i="26"/>
  <c r="D1587" i="26"/>
  <c r="D1588" i="26"/>
  <c r="D1589" i="26"/>
  <c r="D1590" i="26"/>
  <c r="D1591" i="26"/>
  <c r="D1592" i="26"/>
  <c r="D1593" i="26"/>
  <c r="D1594" i="26"/>
  <c r="D1595" i="26"/>
  <c r="D1596" i="26"/>
  <c r="D1597" i="26"/>
  <c r="D1598" i="26"/>
  <c r="D1599" i="26"/>
  <c r="D1600" i="26"/>
  <c r="D1601" i="26"/>
  <c r="D1602" i="26"/>
  <c r="D1603" i="26"/>
  <c r="D1604" i="26"/>
  <c r="D1605" i="26"/>
  <c r="D1606" i="26"/>
  <c r="D1607" i="26"/>
  <c r="D1608" i="26"/>
  <c r="AY5" i="27" l="1"/>
  <c r="U9" i="23" l="1"/>
  <c r="C47" i="23" l="1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AY4" i="27"/>
  <c r="AY3" i="27"/>
  <c r="AY2" i="27"/>
  <c r="AX2" i="27"/>
  <c r="C46" i="23"/>
  <c r="D2" i="26" l="1"/>
  <c r="D3" i="26" l="1"/>
  <c r="D4" i="26" l="1"/>
  <c r="D5" i="26" l="1"/>
  <c r="D6" i="26" l="1"/>
  <c r="D7" i="26" l="1"/>
  <c r="D8" i="26" s="1"/>
  <c r="D9" i="26" l="1"/>
  <c r="D10" i="26" l="1"/>
  <c r="D11" i="26" l="1"/>
  <c r="D12" i="26" s="1"/>
  <c r="D13" i="26" s="1"/>
  <c r="D14" i="26" l="1"/>
  <c r="D15" i="26" l="1"/>
  <c r="D16" i="26" s="1"/>
  <c r="D17" i="26" l="1"/>
  <c r="D18" i="26" s="1"/>
  <c r="D19" i="26" s="1"/>
  <c r="D20" i="26" s="1"/>
  <c r="D21" i="26" s="1"/>
  <c r="D22" i="26" s="1"/>
  <c r="D23" i="26" s="1"/>
  <c r="D24" i="26" s="1"/>
  <c r="D25" i="26" s="1"/>
  <c r="D26" i="26" s="1"/>
  <c r="D27" i="26" s="1"/>
  <c r="D28" i="26" s="1"/>
  <c r="D29" i="26" s="1"/>
  <c r="D30" i="26" s="1"/>
  <c r="D31" i="26" s="1"/>
  <c r="D32" i="26" s="1"/>
  <c r="D33" i="26" s="1"/>
  <c r="D34" i="26" s="1"/>
  <c r="D35" i="26" s="1"/>
  <c r="D36" i="26" s="1"/>
  <c r="D37" i="26" s="1"/>
  <c r="D38" i="26" s="1"/>
  <c r="D39" i="26" s="1"/>
  <c r="D40" i="26" s="1"/>
  <c r="D41" i="26" s="1"/>
  <c r="D42" i="26" s="1"/>
  <c r="D43" i="26" s="1"/>
  <c r="D44" i="26" s="1"/>
  <c r="D45" i="26" s="1"/>
  <c r="D46" i="26" s="1"/>
  <c r="D47" i="26" s="1"/>
  <c r="D48" i="26" s="1"/>
  <c r="D49" i="26" s="1"/>
  <c r="D50" i="26" s="1"/>
  <c r="D51" i="26" s="1"/>
  <c r="D52" i="26" s="1"/>
  <c r="D53" i="26" s="1"/>
  <c r="D54" i="26" s="1"/>
  <c r="D55" i="26" s="1"/>
  <c r="D56" i="26" s="1"/>
  <c r="D57" i="26" s="1"/>
  <c r="D58" i="26" s="1"/>
  <c r="D59" i="26" s="1"/>
  <c r="D60" i="26" s="1"/>
  <c r="D61" i="26" s="1"/>
  <c r="D62" i="26" s="1"/>
  <c r="D63" i="26" s="1"/>
  <c r="D64" i="26" s="1"/>
  <c r="D65" i="26" s="1"/>
  <c r="D66" i="26" s="1"/>
  <c r="D67" i="26" s="1"/>
  <c r="D68" i="26" s="1"/>
  <c r="D69" i="26" s="1"/>
  <c r="D70" i="26" s="1"/>
  <c r="D71" i="26" s="1"/>
  <c r="D72" i="26" s="1"/>
  <c r="D73" i="26" s="1"/>
  <c r="D74" i="26" s="1"/>
  <c r="D75" i="26" s="1"/>
  <c r="D76" i="26" s="1"/>
  <c r="D77" i="26" s="1"/>
  <c r="D78" i="26" s="1"/>
  <c r="D79" i="26" s="1"/>
  <c r="D80" i="26" s="1"/>
  <c r="D81" i="26" s="1"/>
  <c r="D82" i="26" s="1"/>
  <c r="D83" i="26" s="1"/>
  <c r="D84" i="26" s="1"/>
  <c r="D85" i="26" s="1"/>
  <c r="D86" i="26" s="1"/>
  <c r="D87" i="26" s="1"/>
  <c r="D88" i="26" s="1"/>
  <c r="D89" i="26" s="1"/>
  <c r="D90" i="26" s="1"/>
  <c r="D91" i="26" s="1"/>
  <c r="D92" i="26" s="1"/>
  <c r="D93" i="26" s="1"/>
  <c r="D94" i="26" s="1"/>
  <c r="D95" i="26" s="1"/>
  <c r="D96" i="26" s="1"/>
  <c r="D97" i="26" s="1"/>
  <c r="D98" i="26" s="1"/>
  <c r="D99" i="26" s="1"/>
  <c r="D100" i="26" s="1"/>
  <c r="D101" i="26" s="1"/>
  <c r="D102" i="26" s="1"/>
  <c r="D103" i="26" s="1"/>
  <c r="D104" i="26" s="1"/>
  <c r="D105" i="26" s="1"/>
  <c r="D106" i="26" s="1"/>
  <c r="D107" i="26" s="1"/>
  <c r="D108" i="26" s="1"/>
  <c r="D109" i="26" s="1"/>
  <c r="D110" i="26" s="1"/>
  <c r="D111" i="26" s="1"/>
  <c r="D112" i="26" s="1"/>
  <c r="D113" i="26" s="1"/>
  <c r="D114" i="26" s="1"/>
  <c r="D115" i="26" s="1"/>
  <c r="D116" i="26" s="1"/>
  <c r="D117" i="26" s="1"/>
  <c r="D118" i="26" s="1"/>
  <c r="D119" i="26" s="1"/>
  <c r="D120" i="26" s="1"/>
  <c r="D121" i="26" s="1"/>
  <c r="D122" i="26" s="1"/>
  <c r="D123" i="26" s="1"/>
  <c r="D124" i="26" s="1"/>
  <c r="D125" i="26" s="1"/>
  <c r="D126" i="26" s="1"/>
  <c r="D127" i="26" s="1"/>
  <c r="D128" i="26" s="1"/>
  <c r="D129" i="26" s="1"/>
  <c r="D130" i="26" s="1"/>
  <c r="D131" i="26" s="1"/>
  <c r="D132" i="26" s="1"/>
  <c r="D133" i="26" s="1"/>
  <c r="D134" i="26" s="1"/>
  <c r="D135" i="26" s="1"/>
  <c r="D136" i="26" s="1"/>
  <c r="D137" i="26" s="1"/>
  <c r="D138" i="26" s="1"/>
  <c r="D139" i="26" s="1"/>
  <c r="D140" i="26" s="1"/>
  <c r="D141" i="26" s="1"/>
  <c r="D142" i="26" s="1"/>
  <c r="D143" i="26" s="1"/>
  <c r="D144" i="26" s="1"/>
  <c r="D145" i="26" s="1"/>
  <c r="D146" i="26" s="1"/>
  <c r="D147" i="26" s="1"/>
  <c r="D148" i="26" s="1"/>
  <c r="D149" i="26" s="1"/>
  <c r="D150" i="26" s="1"/>
  <c r="D151" i="26" s="1"/>
  <c r="D152" i="26" s="1"/>
  <c r="D153" i="26" s="1"/>
  <c r="D154" i="26" s="1"/>
  <c r="D155" i="26" s="1"/>
  <c r="D156" i="26" s="1"/>
  <c r="D157" i="26" s="1"/>
  <c r="D158" i="26" s="1"/>
  <c r="D159" i="26" s="1"/>
  <c r="D160" i="26" s="1"/>
  <c r="D161" i="26" s="1"/>
  <c r="D162" i="26" s="1"/>
  <c r="D163" i="26" s="1"/>
  <c r="D164" i="26" s="1"/>
  <c r="D165" i="26" s="1"/>
  <c r="D166" i="26" s="1"/>
  <c r="D167" i="26" s="1"/>
  <c r="D168" i="26" s="1"/>
  <c r="D169" i="26" s="1"/>
  <c r="D170" i="26" s="1"/>
  <c r="D171" i="26" s="1"/>
  <c r="D172" i="26" s="1"/>
  <c r="D173" i="26" s="1"/>
  <c r="D174" i="26" s="1"/>
  <c r="D175" i="26" s="1"/>
  <c r="D176" i="26" s="1"/>
  <c r="D177" i="26" s="1"/>
  <c r="D178" i="26" s="1"/>
  <c r="D179" i="26" s="1"/>
  <c r="D180" i="26" s="1"/>
  <c r="D181" i="26" s="1"/>
  <c r="D182" i="26" s="1"/>
  <c r="D183" i="26" s="1"/>
  <c r="D184" i="26" s="1"/>
  <c r="D185" i="26" s="1"/>
  <c r="D186" i="26" s="1"/>
  <c r="D187" i="26" s="1"/>
  <c r="D188" i="26" s="1"/>
  <c r="D189" i="26" s="1"/>
  <c r="D190" i="26" s="1"/>
  <c r="D191" i="26" s="1"/>
  <c r="D192" i="26" s="1"/>
  <c r="D193" i="26" s="1"/>
  <c r="D194" i="26" s="1"/>
  <c r="D195" i="26" s="1"/>
  <c r="D196" i="26" s="1"/>
  <c r="D197" i="26" s="1"/>
  <c r="D198" i="26" s="1"/>
  <c r="D199" i="26" s="1"/>
  <c r="D200" i="26" s="1"/>
  <c r="D201" i="26" s="1"/>
  <c r="D202" i="26" s="1"/>
  <c r="D203" i="26" s="1"/>
  <c r="D204" i="26" s="1"/>
  <c r="D205" i="26" s="1"/>
  <c r="D206" i="26" s="1"/>
  <c r="D207" i="26" s="1"/>
  <c r="D208" i="26" s="1"/>
  <c r="D209" i="26" s="1"/>
  <c r="D210" i="26" s="1"/>
  <c r="D211" i="26" s="1"/>
  <c r="D212" i="26" s="1"/>
  <c r="D213" i="26" s="1"/>
  <c r="D214" i="26" s="1"/>
  <c r="D215" i="26" s="1"/>
  <c r="D216" i="26" s="1"/>
  <c r="D217" i="26" s="1"/>
  <c r="D218" i="26" s="1"/>
  <c r="D219" i="26" s="1"/>
  <c r="D220" i="26" s="1"/>
  <c r="D221" i="26" s="1"/>
  <c r="D222" i="26" s="1"/>
  <c r="D223" i="26" s="1"/>
  <c r="D224" i="26" s="1"/>
  <c r="D225" i="26" s="1"/>
  <c r="D226" i="26" s="1"/>
  <c r="D227" i="26" s="1"/>
  <c r="D228" i="26" s="1"/>
  <c r="D229" i="26" s="1"/>
  <c r="D230" i="26" s="1"/>
  <c r="D231" i="26" s="1"/>
  <c r="D232" i="26" s="1"/>
  <c r="D233" i="26" s="1"/>
  <c r="D234" i="26" s="1"/>
  <c r="D235" i="26" s="1"/>
  <c r="D236" i="26" s="1"/>
  <c r="D237" i="26" s="1"/>
  <c r="D238" i="26" s="1"/>
  <c r="D239" i="26" s="1"/>
  <c r="D240" i="26" s="1"/>
  <c r="D241" i="26" s="1"/>
  <c r="D242" i="26" s="1"/>
  <c r="D243" i="26" s="1"/>
  <c r="D244" i="26" s="1"/>
  <c r="D245" i="26" s="1"/>
  <c r="D246" i="26" s="1"/>
  <c r="D247" i="26" s="1"/>
  <c r="D248" i="26" s="1"/>
  <c r="D249" i="26" s="1"/>
  <c r="D250" i="26" s="1"/>
  <c r="D251" i="26" s="1"/>
  <c r="D252" i="26" s="1"/>
  <c r="D253" i="26" s="1"/>
  <c r="D254" i="26" s="1"/>
  <c r="D255" i="26" s="1"/>
  <c r="D256" i="26" s="1"/>
  <c r="D257" i="26" s="1"/>
  <c r="D258" i="26" s="1"/>
  <c r="D259" i="26" s="1"/>
  <c r="D260" i="26" s="1"/>
  <c r="D261" i="26" s="1"/>
  <c r="D262" i="26" s="1"/>
  <c r="D263" i="26" s="1"/>
  <c r="D264" i="26" s="1"/>
  <c r="D265" i="26" s="1"/>
  <c r="D266" i="26" s="1"/>
  <c r="D267" i="26" s="1"/>
  <c r="D268" i="26" s="1"/>
  <c r="D269" i="26" s="1"/>
  <c r="D270" i="26" s="1"/>
  <c r="D271" i="26" s="1"/>
  <c r="D272" i="26" s="1"/>
  <c r="D273" i="26" s="1"/>
  <c r="D274" i="26" s="1"/>
  <c r="D275" i="26" s="1"/>
  <c r="D276" i="26" s="1"/>
  <c r="D277" i="26" s="1"/>
  <c r="D278" i="26" s="1"/>
  <c r="D279" i="26" s="1"/>
  <c r="D280" i="26" s="1"/>
  <c r="D281" i="26" s="1"/>
  <c r="D282" i="26" s="1"/>
  <c r="D283" i="26" s="1"/>
  <c r="D284" i="26" s="1"/>
  <c r="D285" i="26" s="1"/>
  <c r="D286" i="26" s="1"/>
  <c r="D287" i="26" s="1"/>
  <c r="D288" i="26" s="1"/>
  <c r="D289" i="26" s="1"/>
  <c r="D290" i="26" s="1"/>
  <c r="D291" i="26" s="1"/>
  <c r="D292" i="26" s="1"/>
  <c r="D293" i="26" s="1"/>
  <c r="D294" i="26" s="1"/>
  <c r="D295" i="26" s="1"/>
  <c r="D296" i="26" s="1"/>
  <c r="D297" i="26" s="1"/>
  <c r="D298" i="26" s="1"/>
  <c r="D299" i="26" s="1"/>
  <c r="D300" i="26" s="1"/>
  <c r="D301" i="26" s="1"/>
  <c r="D302" i="26" s="1"/>
  <c r="D303" i="26" s="1"/>
  <c r="D304" i="26" s="1"/>
  <c r="D305" i="26" s="1"/>
  <c r="D306" i="26" s="1"/>
  <c r="D307" i="26" s="1"/>
  <c r="D308" i="26" s="1"/>
  <c r="D309" i="26" s="1"/>
  <c r="D310" i="26" s="1"/>
  <c r="D311" i="26" s="1"/>
  <c r="D312" i="26" s="1"/>
  <c r="D313" i="26" s="1"/>
  <c r="D314" i="26" s="1"/>
  <c r="D315" i="26" s="1"/>
  <c r="D316" i="26" s="1"/>
  <c r="D317" i="26" s="1"/>
  <c r="D318" i="26" s="1"/>
  <c r="D319" i="26" s="1"/>
  <c r="D320" i="26" s="1"/>
  <c r="D321" i="26" s="1"/>
  <c r="D322" i="26" s="1"/>
  <c r="D323" i="26" s="1"/>
  <c r="D324" i="26" s="1"/>
  <c r="D325" i="26" s="1"/>
  <c r="D326" i="26" s="1"/>
  <c r="D327" i="26" s="1"/>
  <c r="D328" i="26" s="1"/>
  <c r="D329" i="26" s="1"/>
  <c r="D330" i="26" s="1"/>
  <c r="D331" i="26" s="1"/>
  <c r="D332" i="26" s="1"/>
  <c r="D333" i="26" s="1"/>
  <c r="D334" i="26" s="1"/>
  <c r="D335" i="26" s="1"/>
  <c r="D336" i="26" s="1"/>
  <c r="D337" i="26" s="1"/>
  <c r="D338" i="26" s="1"/>
  <c r="D339" i="26" s="1"/>
  <c r="D340" i="26" s="1"/>
  <c r="D341" i="26" s="1"/>
  <c r="D342" i="26" s="1"/>
  <c r="D343" i="26" s="1"/>
  <c r="D344" i="26" s="1"/>
  <c r="D345" i="26" s="1"/>
  <c r="D346" i="26" s="1"/>
  <c r="D347" i="26" s="1"/>
  <c r="D348" i="26" s="1"/>
  <c r="D349" i="26" s="1"/>
  <c r="D350" i="26" s="1"/>
  <c r="D351" i="26" s="1"/>
  <c r="D352" i="26" s="1"/>
  <c r="D353" i="26" s="1"/>
  <c r="D354" i="26" s="1"/>
  <c r="D355" i="26" s="1"/>
  <c r="D356" i="26" s="1"/>
  <c r="D357" i="26" s="1"/>
  <c r="D358" i="26" s="1"/>
  <c r="D359" i="26" s="1"/>
  <c r="D360" i="26" s="1"/>
  <c r="D361" i="26" s="1"/>
  <c r="D362" i="26" s="1"/>
  <c r="D363" i="26" s="1"/>
  <c r="D364" i="26" s="1"/>
  <c r="D365" i="26" s="1"/>
  <c r="D366" i="26" s="1"/>
  <c r="D367" i="26" s="1"/>
  <c r="D368" i="26" s="1"/>
  <c r="D369" i="26" s="1"/>
  <c r="D370" i="26" s="1"/>
  <c r="D371" i="26" s="1"/>
  <c r="D372" i="26" s="1"/>
  <c r="D373" i="26" s="1"/>
  <c r="D374" i="26" s="1"/>
  <c r="D375" i="26" s="1"/>
  <c r="D376" i="26" s="1"/>
  <c r="D377" i="26" s="1"/>
  <c r="D378" i="26" s="1"/>
  <c r="D379" i="26" s="1"/>
  <c r="D380" i="26" s="1"/>
  <c r="D381" i="26" s="1"/>
  <c r="D382" i="26" s="1"/>
  <c r="D383" i="26" s="1"/>
  <c r="D384" i="26" s="1"/>
  <c r="D385" i="26" s="1"/>
  <c r="D386" i="26" s="1"/>
  <c r="D387" i="26" s="1"/>
  <c r="D388" i="26" s="1"/>
  <c r="D389" i="26" s="1"/>
  <c r="D390" i="26" s="1"/>
  <c r="D391" i="26" s="1"/>
  <c r="D392" i="26" s="1"/>
  <c r="D393" i="26" s="1"/>
  <c r="D394" i="26" s="1"/>
  <c r="D395" i="26" s="1"/>
  <c r="D396" i="26" s="1"/>
  <c r="D397" i="26" s="1"/>
  <c r="D398" i="26" s="1"/>
  <c r="D399" i="26" s="1"/>
  <c r="D400" i="26" s="1"/>
  <c r="D401" i="26" s="1"/>
  <c r="D402" i="26" s="1"/>
  <c r="D403" i="26" s="1"/>
  <c r="D404" i="26" s="1"/>
  <c r="D405" i="26" s="1"/>
  <c r="D406" i="26" s="1"/>
  <c r="D407" i="26" s="1"/>
  <c r="D408" i="26" s="1"/>
  <c r="D409" i="26" s="1"/>
  <c r="D410" i="26" s="1"/>
  <c r="D411" i="26" s="1"/>
  <c r="D412" i="26" s="1"/>
  <c r="D413" i="26" s="1"/>
  <c r="D414" i="26" s="1"/>
  <c r="D415" i="26" s="1"/>
  <c r="D416" i="26" s="1"/>
  <c r="D417" i="26" s="1"/>
  <c r="D418" i="26" s="1"/>
  <c r="D419" i="26" s="1"/>
  <c r="D420" i="26" s="1"/>
  <c r="D421" i="26" s="1"/>
  <c r="D422" i="26" s="1"/>
  <c r="D423" i="26" s="1"/>
  <c r="D424" i="26" s="1"/>
  <c r="D425" i="26" s="1"/>
  <c r="D426" i="26" s="1"/>
  <c r="D427" i="26" s="1"/>
  <c r="D428" i="26" s="1"/>
  <c r="D429" i="26" s="1"/>
  <c r="D430" i="26" s="1"/>
  <c r="D431" i="26" s="1"/>
  <c r="D432" i="26" s="1"/>
  <c r="D433" i="26" s="1"/>
  <c r="D434" i="26" s="1"/>
  <c r="D435" i="26" s="1"/>
  <c r="D436" i="26" s="1"/>
  <c r="D437" i="26" s="1"/>
  <c r="D438" i="26" s="1"/>
  <c r="D439" i="26" s="1"/>
  <c r="D440" i="26" s="1"/>
  <c r="D441" i="26" s="1"/>
  <c r="D442" i="26" s="1"/>
  <c r="D443" i="26" s="1"/>
  <c r="D444" i="26" s="1"/>
  <c r="D445" i="26" s="1"/>
  <c r="D446" i="26" s="1"/>
  <c r="D447" i="26" s="1"/>
  <c r="D448" i="26" s="1"/>
  <c r="D449" i="26" s="1"/>
  <c r="D450" i="26" s="1"/>
  <c r="D451" i="26" s="1"/>
  <c r="D452" i="26" s="1"/>
  <c r="D453" i="26" s="1"/>
  <c r="D454" i="26" s="1"/>
  <c r="D455" i="26" s="1"/>
  <c r="D456" i="26" s="1"/>
  <c r="D457" i="26" s="1"/>
  <c r="D458" i="26" s="1"/>
  <c r="D459" i="26" s="1"/>
  <c r="D460" i="26" s="1"/>
  <c r="D461" i="26" s="1"/>
  <c r="D462" i="26" s="1"/>
  <c r="D463" i="26" s="1"/>
  <c r="D464" i="26" s="1"/>
  <c r="D465" i="26" s="1"/>
  <c r="D466" i="26" s="1"/>
  <c r="D467" i="26" s="1"/>
  <c r="D468" i="26" s="1"/>
  <c r="D469" i="26" s="1"/>
  <c r="D470" i="26" s="1"/>
  <c r="D471" i="26" s="1"/>
  <c r="D472" i="26" s="1"/>
  <c r="D473" i="26" s="1"/>
  <c r="D474" i="26" s="1"/>
  <c r="D475" i="26" s="1"/>
  <c r="D476" i="26" s="1"/>
  <c r="D477" i="26" s="1"/>
  <c r="D478" i="26" s="1"/>
  <c r="D479" i="26" s="1"/>
  <c r="D480" i="26" s="1"/>
  <c r="D481" i="26" s="1"/>
  <c r="D482" i="26" s="1"/>
  <c r="D483" i="26" s="1"/>
  <c r="D484" i="26" s="1"/>
  <c r="D485" i="26" s="1"/>
  <c r="D486" i="26" s="1"/>
  <c r="D487" i="26" s="1"/>
  <c r="D488" i="26" s="1"/>
  <c r="D489" i="26" s="1"/>
  <c r="D490" i="26" s="1"/>
  <c r="D491" i="26" s="1"/>
  <c r="D492" i="26" s="1"/>
  <c r="D493" i="26" s="1"/>
  <c r="D494" i="26" s="1"/>
  <c r="D495" i="26" s="1"/>
  <c r="D496" i="26" s="1"/>
  <c r="D497" i="26" s="1"/>
  <c r="D498" i="26" s="1"/>
  <c r="D499" i="26" s="1"/>
  <c r="D500" i="26" s="1"/>
  <c r="D501" i="26" s="1"/>
  <c r="D502" i="26" s="1"/>
  <c r="D503" i="26" s="1"/>
  <c r="D504" i="26" s="1"/>
  <c r="D505" i="26" s="1"/>
  <c r="D506" i="26" s="1"/>
  <c r="D507" i="26" s="1"/>
  <c r="D508" i="26" s="1"/>
  <c r="D509" i="26" s="1"/>
  <c r="D510" i="26" s="1"/>
  <c r="D511" i="26" s="1"/>
  <c r="D512" i="26" s="1"/>
  <c r="D513" i="26" s="1"/>
  <c r="D514" i="26" s="1"/>
  <c r="D515" i="26" s="1"/>
  <c r="D516" i="26" s="1"/>
  <c r="D517" i="26" s="1"/>
  <c r="D518" i="26" s="1"/>
  <c r="D519" i="26" s="1"/>
  <c r="D520" i="26" s="1"/>
  <c r="D521" i="26" s="1"/>
  <c r="D522" i="26" s="1"/>
  <c r="D523" i="26" s="1"/>
  <c r="D524" i="26" s="1"/>
  <c r="D525" i="26" s="1"/>
  <c r="D526" i="26" s="1"/>
  <c r="D527" i="26" s="1"/>
  <c r="D528" i="26" s="1"/>
  <c r="D529" i="26" s="1"/>
  <c r="D530" i="26" s="1"/>
  <c r="D531" i="26" s="1"/>
  <c r="D532" i="26" s="1"/>
  <c r="D533" i="26" s="1"/>
  <c r="D534" i="26" s="1"/>
  <c r="D535" i="26" s="1"/>
  <c r="D536" i="26" s="1"/>
  <c r="D537" i="26" s="1"/>
  <c r="D538" i="26" s="1"/>
  <c r="D539" i="26" s="1"/>
  <c r="D540" i="26" s="1"/>
  <c r="D541" i="26" s="1"/>
  <c r="D542" i="26" s="1"/>
  <c r="D543" i="26" s="1"/>
  <c r="D544" i="26" s="1"/>
  <c r="D545" i="26" s="1"/>
  <c r="D546" i="26" s="1"/>
  <c r="D547" i="26" s="1"/>
  <c r="D548" i="26" s="1"/>
  <c r="D549" i="26" s="1"/>
  <c r="D550" i="26" s="1"/>
  <c r="D551" i="26" s="1"/>
  <c r="D552" i="26" s="1"/>
  <c r="D553" i="26" s="1"/>
  <c r="D554" i="26" s="1"/>
  <c r="D555" i="26" s="1"/>
  <c r="D556" i="26" s="1"/>
  <c r="D557" i="26" s="1"/>
  <c r="D558" i="26" s="1"/>
  <c r="D559" i="26" s="1"/>
  <c r="D560" i="26" s="1"/>
  <c r="D561" i="26" s="1"/>
  <c r="D562" i="26" s="1"/>
  <c r="D563" i="26" s="1"/>
  <c r="D564" i="26" s="1"/>
  <c r="D565" i="26" s="1"/>
  <c r="D566" i="26" s="1"/>
  <c r="D567" i="26" s="1"/>
  <c r="D568" i="26" s="1"/>
  <c r="D569" i="26" s="1"/>
  <c r="D570" i="26" s="1"/>
  <c r="D571" i="26" s="1"/>
  <c r="D572" i="26" s="1"/>
  <c r="D573" i="26" s="1"/>
  <c r="D574" i="26" s="1"/>
  <c r="D575" i="26" s="1"/>
  <c r="D576" i="26" s="1"/>
  <c r="D577" i="26" s="1"/>
  <c r="D578" i="26" s="1"/>
  <c r="D579" i="26" s="1"/>
  <c r="D580" i="26" s="1"/>
  <c r="D581" i="26" s="1"/>
  <c r="D582" i="26" s="1"/>
  <c r="D583" i="26" s="1"/>
  <c r="D584" i="26" s="1"/>
  <c r="D585" i="26" s="1"/>
  <c r="D586" i="26" s="1"/>
  <c r="D587" i="26" s="1"/>
  <c r="D588" i="26" s="1"/>
  <c r="D589" i="26" s="1"/>
  <c r="D590" i="26" s="1"/>
  <c r="D591" i="26" s="1"/>
  <c r="D592" i="26" s="1"/>
  <c r="D593" i="26" s="1"/>
  <c r="D594" i="26" s="1"/>
  <c r="D595" i="26" s="1"/>
  <c r="D596" i="26" s="1"/>
  <c r="D597" i="26" s="1"/>
  <c r="D598" i="26" s="1"/>
  <c r="D599" i="26" s="1"/>
  <c r="D600" i="26" s="1"/>
  <c r="D601" i="26" s="1"/>
  <c r="D602" i="26" s="1"/>
  <c r="D603" i="26" s="1"/>
  <c r="D604" i="26" s="1"/>
  <c r="D605" i="26" s="1"/>
  <c r="D606" i="26" s="1"/>
  <c r="D607" i="26" s="1"/>
  <c r="D608" i="26" s="1"/>
  <c r="D609" i="26" s="1"/>
  <c r="D610" i="26" s="1"/>
  <c r="D611" i="26" s="1"/>
  <c r="D612" i="26" s="1"/>
  <c r="D613" i="26" s="1"/>
  <c r="D614" i="26" s="1"/>
  <c r="D615" i="26" s="1"/>
  <c r="D616" i="26" s="1"/>
  <c r="D617" i="26" s="1"/>
  <c r="D618" i="26" s="1"/>
  <c r="D619" i="26" s="1"/>
  <c r="D620" i="26" s="1"/>
  <c r="D621" i="26" s="1"/>
  <c r="D622" i="26" s="1"/>
  <c r="D623" i="26" s="1"/>
  <c r="D624" i="26" s="1"/>
  <c r="D625" i="26" s="1"/>
  <c r="D626" i="26" s="1"/>
  <c r="D627" i="26" s="1"/>
  <c r="D628" i="26" s="1"/>
  <c r="D629" i="26" s="1"/>
  <c r="D630" i="26" s="1"/>
  <c r="D631" i="26" s="1"/>
  <c r="D632" i="26" s="1"/>
  <c r="D633" i="26" s="1"/>
  <c r="D634" i="26" s="1"/>
  <c r="D635" i="26" s="1"/>
  <c r="D636" i="26" s="1"/>
  <c r="D637" i="26" s="1"/>
  <c r="D638" i="26" s="1"/>
  <c r="D639" i="26" s="1"/>
  <c r="D640" i="26" s="1"/>
  <c r="D641" i="26" s="1"/>
  <c r="D642" i="26" s="1"/>
  <c r="D643" i="26" s="1"/>
  <c r="D644" i="26" s="1"/>
  <c r="D645" i="26" s="1"/>
  <c r="D646" i="26" s="1"/>
  <c r="D647" i="26" s="1"/>
  <c r="D648" i="26" s="1"/>
  <c r="D649" i="26" s="1"/>
  <c r="D650" i="26" s="1"/>
  <c r="D651" i="26" s="1"/>
  <c r="D652" i="26" s="1"/>
  <c r="D653" i="26" s="1"/>
  <c r="D654" i="26" s="1"/>
  <c r="D655" i="26" s="1"/>
  <c r="D656" i="26" s="1"/>
  <c r="D657" i="26" s="1"/>
  <c r="D658" i="26" s="1"/>
  <c r="D659" i="26" s="1"/>
  <c r="D660" i="26" s="1"/>
  <c r="D661" i="26" s="1"/>
  <c r="D662" i="26" s="1"/>
  <c r="D663" i="26" s="1"/>
  <c r="D664" i="26" s="1"/>
  <c r="D665" i="26" s="1"/>
  <c r="D666" i="26" s="1"/>
  <c r="D667" i="26" s="1"/>
  <c r="D668" i="26" s="1"/>
  <c r="D669" i="26" s="1"/>
  <c r="D670" i="26" s="1"/>
  <c r="D671" i="26" s="1"/>
  <c r="D672" i="26" s="1"/>
  <c r="D673" i="26" s="1"/>
  <c r="D674" i="26" s="1"/>
  <c r="D675" i="26" s="1"/>
  <c r="D676" i="26" s="1"/>
  <c r="D677" i="26" s="1"/>
  <c r="D678" i="26" s="1"/>
  <c r="D679" i="26" s="1"/>
  <c r="D680" i="26" s="1"/>
  <c r="D681" i="26" s="1"/>
  <c r="D682" i="26" s="1"/>
  <c r="D683" i="26" s="1"/>
  <c r="D684" i="26" s="1"/>
  <c r="D685" i="26" s="1"/>
  <c r="D686" i="26" s="1"/>
  <c r="D687" i="26" s="1"/>
  <c r="D688" i="26" s="1"/>
  <c r="D689" i="26" s="1"/>
  <c r="D690" i="26" s="1"/>
  <c r="D691" i="26" s="1"/>
  <c r="D692" i="26" s="1"/>
  <c r="D693" i="26" s="1"/>
  <c r="D694" i="26" s="1"/>
  <c r="D695" i="26" s="1"/>
  <c r="D696" i="26" s="1"/>
  <c r="D697" i="26" s="1"/>
  <c r="D698" i="26" s="1"/>
  <c r="D699" i="26" s="1"/>
  <c r="D700" i="26" s="1"/>
  <c r="D701" i="26" s="1"/>
  <c r="D702" i="26" s="1"/>
  <c r="D703" i="26" s="1"/>
  <c r="D704" i="26" s="1"/>
  <c r="D705" i="26" s="1"/>
  <c r="D706" i="26" s="1"/>
  <c r="D707" i="26" s="1"/>
  <c r="D708" i="26" s="1"/>
  <c r="D709" i="26" s="1"/>
  <c r="D710" i="26" s="1"/>
  <c r="D711" i="26" s="1"/>
  <c r="D712" i="26" s="1"/>
  <c r="D713" i="26" s="1"/>
  <c r="D714" i="26" s="1"/>
  <c r="D715" i="26" s="1"/>
  <c r="D716" i="26" s="1"/>
  <c r="D717" i="26" s="1"/>
  <c r="D718" i="26" s="1"/>
  <c r="D719" i="26" s="1"/>
  <c r="D720" i="26" l="1"/>
  <c r="D721" i="26" s="1"/>
  <c r="AA17" i="23"/>
  <c r="L7" i="23"/>
  <c r="L5" i="23"/>
  <c r="N32" i="23"/>
  <c r="L32" i="23"/>
  <c r="Z64" i="23"/>
  <c r="BB18" i="23"/>
  <c r="BB19" i="23"/>
  <c r="BB20" i="23"/>
  <c r="BB21" i="23"/>
  <c r="BB22" i="23"/>
  <c r="BB23" i="23"/>
  <c r="BB24" i="23"/>
  <c r="BB25" i="23"/>
  <c r="BB26" i="23"/>
  <c r="BB27" i="23"/>
  <c r="BB28" i="23"/>
  <c r="BB29" i="23"/>
  <c r="BB30" i="23"/>
  <c r="BB31" i="23"/>
  <c r="BB17" i="23"/>
  <c r="S17" i="23" s="1"/>
  <c r="BA18" i="23"/>
  <c r="D2" i="27" s="1"/>
  <c r="BA19" i="23"/>
  <c r="BA20" i="23"/>
  <c r="BA21" i="23"/>
  <c r="BA22" i="23"/>
  <c r="BA23" i="23"/>
  <c r="BA24" i="23"/>
  <c r="BA25" i="23"/>
  <c r="BA26" i="23"/>
  <c r="BA27" i="23"/>
  <c r="BA28" i="23"/>
  <c r="BA29" i="23"/>
  <c r="BA30" i="23"/>
  <c r="BA31" i="23"/>
  <c r="BA17" i="23"/>
  <c r="D722" i="26" l="1"/>
  <c r="D723" i="26" s="1"/>
  <c r="D724" i="26" s="1"/>
  <c r="D725" i="26" s="1"/>
  <c r="D726" i="26" s="1"/>
  <c r="D727" i="26" s="1"/>
  <c r="D728" i="26" s="1"/>
  <c r="D729" i="26" s="1"/>
  <c r="D730" i="26" s="1"/>
  <c r="D731" i="26" s="1"/>
  <c r="D732" i="26" s="1"/>
  <c r="D733" i="26" s="1"/>
  <c r="D734" i="26" s="1"/>
  <c r="D735" i="26" s="1"/>
  <c r="D736" i="26" s="1"/>
  <c r="D737" i="26" s="1"/>
  <c r="D738" i="26" s="1"/>
  <c r="D739" i="26" s="1"/>
  <c r="D740" i="26" s="1"/>
  <c r="G60" i="27"/>
  <c r="G61" i="27"/>
  <c r="G62" i="27"/>
  <c r="G2" i="27"/>
  <c r="J60" i="27"/>
  <c r="J61" i="27"/>
  <c r="J62" i="27"/>
  <c r="J2" i="27"/>
  <c r="V61" i="27"/>
  <c r="V62" i="27"/>
  <c r="V2" i="27"/>
  <c r="V3" i="27" s="1"/>
  <c r="V60" i="27"/>
  <c r="Y60" i="27"/>
  <c r="Y61" i="27"/>
  <c r="Y62" i="27"/>
  <c r="Y2" i="27"/>
  <c r="Y3" i="27" s="1"/>
  <c r="S62" i="27"/>
  <c r="S2" i="27"/>
  <c r="S3" i="27" s="1"/>
  <c r="S61" i="27"/>
  <c r="S60" i="27"/>
  <c r="AK60" i="27"/>
  <c r="AK61" i="27"/>
  <c r="AK62" i="27"/>
  <c r="AK2" i="27"/>
  <c r="AK3" i="27" s="1"/>
  <c r="M60" i="27"/>
  <c r="M61" i="27"/>
  <c r="M62" i="27"/>
  <c r="M2" i="27"/>
  <c r="M3" i="27" s="1"/>
  <c r="P2" i="27"/>
  <c r="P3" i="27" s="1"/>
  <c r="P62" i="27"/>
  <c r="P60" i="27"/>
  <c r="P61" i="27"/>
  <c r="AH60" i="27"/>
  <c r="AH61" i="27"/>
  <c r="AH62" i="27"/>
  <c r="AH2" i="27"/>
  <c r="AH3" i="27" s="1"/>
  <c r="AN60" i="27"/>
  <c r="AN61" i="27"/>
  <c r="AN62" i="27"/>
  <c r="AN2" i="27"/>
  <c r="AE60" i="27"/>
  <c r="AE61" i="27"/>
  <c r="AE62" i="27"/>
  <c r="AE2" i="27"/>
  <c r="AE3" i="27" s="1"/>
  <c r="AQ60" i="27"/>
  <c r="AQ61" i="27"/>
  <c r="AQ62" i="27"/>
  <c r="AQ2" i="27"/>
  <c r="AB60" i="27"/>
  <c r="AB61" i="27"/>
  <c r="AB62" i="27"/>
  <c r="AB2" i="27"/>
  <c r="AB3" i="27" s="1"/>
  <c r="AB4" i="27" s="1"/>
  <c r="D60" i="27"/>
  <c r="D61" i="27"/>
  <c r="D62" i="27"/>
  <c r="A61" i="27"/>
  <c r="A60" i="27"/>
  <c r="A62" i="27"/>
  <c r="A2" i="27"/>
  <c r="S28" i="23"/>
  <c r="S20" i="23"/>
  <c r="P32" i="23"/>
  <c r="S26" i="23"/>
  <c r="S18" i="23"/>
  <c r="S25" i="23"/>
  <c r="S24" i="23"/>
  <c r="S31" i="23"/>
  <c r="S23" i="23"/>
  <c r="S27" i="23"/>
  <c r="S19" i="23"/>
  <c r="S30" i="23"/>
  <c r="S22" i="23"/>
  <c r="S29" i="23"/>
  <c r="S21" i="23"/>
  <c r="L9" i="23"/>
  <c r="BE33" i="23"/>
  <c r="D741" i="26" l="1"/>
  <c r="D742" i="26" s="1"/>
  <c r="D743" i="26" s="1"/>
  <c r="G3" i="27"/>
  <c r="J3" i="27"/>
  <c r="P4" i="27"/>
  <c r="P5" i="27" s="1"/>
  <c r="AE4" i="27"/>
  <c r="M4" i="27"/>
  <c r="M5" i="27" s="1"/>
  <c r="S4" i="27"/>
  <c r="V4" i="27"/>
  <c r="W4" i="27" s="1"/>
  <c r="AK4" i="27"/>
  <c r="AL4" i="27" s="1"/>
  <c r="AH4" i="27"/>
  <c r="AI4" i="27" s="1"/>
  <c r="Y4" i="27"/>
  <c r="Y5" i="27" s="1"/>
  <c r="AC2" i="27"/>
  <c r="AC3" i="27"/>
  <c r="AC4" i="27"/>
  <c r="AI2" i="27"/>
  <c r="AI3" i="27"/>
  <c r="AR2" i="27"/>
  <c r="AO2" i="27"/>
  <c r="AB5" i="27"/>
  <c r="AB6" i="27" s="1"/>
  <c r="AF2" i="27"/>
  <c r="AF3" i="27"/>
  <c r="Z2" i="27"/>
  <c r="Z3" i="27"/>
  <c r="W3" i="27"/>
  <c r="W2" i="27"/>
  <c r="D3" i="27"/>
  <c r="AQ3" i="27"/>
  <c r="AN3" i="27"/>
  <c r="AL2" i="27"/>
  <c r="AL3" i="27"/>
  <c r="A3" i="27"/>
  <c r="A4" i="27" s="1"/>
  <c r="U47" i="23"/>
  <c r="U48" i="23"/>
  <c r="U49" i="23"/>
  <c r="U50" i="23"/>
  <c r="U51" i="23"/>
  <c r="U52" i="23"/>
  <c r="U53" i="23"/>
  <c r="U54" i="23"/>
  <c r="U55" i="23"/>
  <c r="U56" i="23"/>
  <c r="U57" i="23"/>
  <c r="U58" i="23"/>
  <c r="U59" i="23"/>
  <c r="U60" i="23"/>
  <c r="U46" i="23"/>
  <c r="S47" i="23"/>
  <c r="S48" i="23"/>
  <c r="S49" i="23"/>
  <c r="S50" i="23"/>
  <c r="S51" i="23"/>
  <c r="S52" i="23"/>
  <c r="S53" i="23"/>
  <c r="S54" i="23"/>
  <c r="S55" i="23"/>
  <c r="S56" i="23"/>
  <c r="S57" i="23"/>
  <c r="S58" i="23"/>
  <c r="S59" i="23"/>
  <c r="S60" i="23"/>
  <c r="S46" i="23"/>
  <c r="J4" i="27" l="1"/>
  <c r="J5" i="27" s="1"/>
  <c r="G4" i="27"/>
  <c r="Z4" i="27"/>
  <c r="AH5" i="27"/>
  <c r="AH6" i="27" s="1"/>
  <c r="S5" i="27"/>
  <c r="V5" i="27"/>
  <c r="W5" i="27" s="1"/>
  <c r="M6" i="27"/>
  <c r="AQ4" i="27"/>
  <c r="AR4" i="27" s="1"/>
  <c r="AR3" i="27"/>
  <c r="Z5" i="27"/>
  <c r="Y6" i="27"/>
  <c r="AE5" i="27"/>
  <c r="AF5" i="27" s="1"/>
  <c r="AF4" i="27"/>
  <c r="D4" i="27"/>
  <c r="AN4" i="27"/>
  <c r="AO4" i="27" s="1"/>
  <c r="AO3" i="27"/>
  <c r="AB7" i="27"/>
  <c r="AB8" i="27" s="1"/>
  <c r="AB9" i="27" s="1"/>
  <c r="AC6" i="27"/>
  <c r="AC5" i="27"/>
  <c r="AK5" i="27"/>
  <c r="P6" i="27"/>
  <c r="A5" i="27"/>
  <c r="BM46" i="23" a="1"/>
  <c r="BM54" i="23" s="1"/>
  <c r="BC46" i="23" a="1"/>
  <c r="BC49" i="23" s="1"/>
  <c r="BO46" i="23" a="1"/>
  <c r="BI46" i="23" a="1"/>
  <c r="BG46" i="23" a="1"/>
  <c r="BK46" i="23" a="1"/>
  <c r="BE46" i="23" a="1"/>
  <c r="BE46" i="23" s="1"/>
  <c r="BS46" i="23" a="1"/>
  <c r="BS46" i="23" s="1"/>
  <c r="BT46" i="23" s="1"/>
  <c r="BW46" i="23" a="1"/>
  <c r="BW46" i="23" s="1"/>
  <c r="BX46" i="23" s="1"/>
  <c r="CE46" i="23" a="1"/>
  <c r="CE46" i="23" s="1"/>
  <c r="CF46" i="23" s="1"/>
  <c r="CA46" i="23" a="1"/>
  <c r="CA46" i="23" s="1"/>
  <c r="CB46" i="23" s="1"/>
  <c r="BQ46" i="23" a="1"/>
  <c r="BQ46" i="23" s="1"/>
  <c r="BR46" i="23" s="1"/>
  <c r="CB47" i="23"/>
  <c r="CB55" i="23"/>
  <c r="CB50" i="23"/>
  <c r="CB54" i="23"/>
  <c r="CB48" i="23"/>
  <c r="CB56" i="23"/>
  <c r="CB51" i="23"/>
  <c r="CB57" i="23"/>
  <c r="CB52" i="23"/>
  <c r="CB53" i="23"/>
  <c r="CB49" i="23"/>
  <c r="CF53" i="23"/>
  <c r="CF48" i="23"/>
  <c r="CF56" i="23"/>
  <c r="CF52" i="23"/>
  <c r="CF54" i="23"/>
  <c r="CF49" i="23"/>
  <c r="CF57" i="23"/>
  <c r="CF55" i="23"/>
  <c r="CF50" i="23"/>
  <c r="CF51" i="23"/>
  <c r="CF47" i="23"/>
  <c r="BX49" i="23"/>
  <c r="BX57" i="23"/>
  <c r="BX52" i="23"/>
  <c r="BX48" i="23"/>
  <c r="BX50" i="23"/>
  <c r="BX53" i="23"/>
  <c r="BX51" i="23"/>
  <c r="BX54" i="23"/>
  <c r="BX56" i="23"/>
  <c r="BX47" i="23"/>
  <c r="BX55" i="23"/>
  <c r="BT54" i="23"/>
  <c r="BT49" i="23"/>
  <c r="BT57" i="23"/>
  <c r="BT55" i="23"/>
  <c r="BT50" i="23"/>
  <c r="BT53" i="23"/>
  <c r="BT56" i="23"/>
  <c r="BT51" i="23"/>
  <c r="BT52" i="23"/>
  <c r="BT47" i="23"/>
  <c r="BT48" i="23"/>
  <c r="CC46" i="23" a="1"/>
  <c r="BY46" i="23" a="1"/>
  <c r="T55" i="23"/>
  <c r="BU46" i="23" a="1"/>
  <c r="BR51" i="23"/>
  <c r="BR52" i="23"/>
  <c r="BR49" i="23"/>
  <c r="BR50" i="23"/>
  <c r="BR53" i="23"/>
  <c r="BR56" i="23"/>
  <c r="BR54" i="23"/>
  <c r="BR48" i="23"/>
  <c r="BR47" i="23"/>
  <c r="BR55" i="23"/>
  <c r="BR57" i="23"/>
  <c r="T53" i="23"/>
  <c r="T52" i="23"/>
  <c r="T58" i="23"/>
  <c r="T46" i="23"/>
  <c r="T56" i="23"/>
  <c r="T50" i="23"/>
  <c r="T48" i="23"/>
  <c r="T47" i="23"/>
  <c r="T57" i="23"/>
  <c r="T49" i="23"/>
  <c r="T54" i="23"/>
  <c r="T59" i="23"/>
  <c r="T51" i="23"/>
  <c r="T60" i="23"/>
  <c r="S6" i="27" l="1"/>
  <c r="S7" i="27" s="1"/>
  <c r="S8" i="27" s="1"/>
  <c r="P7" i="27"/>
  <c r="P8" i="27" s="1"/>
  <c r="P9" i="27" s="1"/>
  <c r="AH7" i="27"/>
  <c r="AH8" i="27" s="1"/>
  <c r="Y7" i="27"/>
  <c r="Z7" i="27" s="1"/>
  <c r="V6" i="27"/>
  <c r="J6" i="27"/>
  <c r="G5" i="27"/>
  <c r="G6" i="27" s="1"/>
  <c r="AI5" i="27"/>
  <c r="AC9" i="27"/>
  <c r="AQ5" i="27"/>
  <c r="AQ6" i="27" s="1"/>
  <c r="AC8" i="27"/>
  <c r="M7" i="27"/>
  <c r="AI6" i="27"/>
  <c r="AB10" i="27"/>
  <c r="AB11" i="27" s="1"/>
  <c r="AK6" i="27"/>
  <c r="AL5" i="27"/>
  <c r="AC7" i="27"/>
  <c r="Z6" i="27"/>
  <c r="D5" i="27"/>
  <c r="AE6" i="27"/>
  <c r="AN5" i="27"/>
  <c r="A6" i="27"/>
  <c r="BM47" i="23"/>
  <c r="BN47" i="23" s="1"/>
  <c r="BM55" i="23"/>
  <c r="BN55" i="23" s="1"/>
  <c r="BM49" i="23"/>
  <c r="BN49" i="23" s="1"/>
  <c r="BM46" i="23"/>
  <c r="BN46" i="23" s="1"/>
  <c r="BM52" i="23"/>
  <c r="BN52" i="23" s="1"/>
  <c r="BM51" i="23"/>
  <c r="BN51" i="23" s="1"/>
  <c r="BM57" i="23"/>
  <c r="BN57" i="23" s="1"/>
  <c r="BM50" i="23"/>
  <c r="BN50" i="23" s="1"/>
  <c r="BM56" i="23"/>
  <c r="BN56" i="23" s="1"/>
  <c r="BM53" i="23"/>
  <c r="BN53" i="23" s="1"/>
  <c r="BM48" i="23"/>
  <c r="BN48" i="23" s="1"/>
  <c r="BC52" i="23"/>
  <c r="BD52" i="23" s="1"/>
  <c r="BC54" i="23"/>
  <c r="BD54" i="23" s="1"/>
  <c r="BC56" i="23"/>
  <c r="BA56" i="23" s="1"/>
  <c r="BC57" i="23"/>
  <c r="BA57" i="23" s="1"/>
  <c r="BC55" i="23"/>
  <c r="BD55" i="23" s="1"/>
  <c r="BC51" i="23"/>
  <c r="BD51" i="23" s="1"/>
  <c r="BC48" i="23"/>
  <c r="BD48" i="23" s="1"/>
  <c r="BC53" i="23"/>
  <c r="BA53" i="23" s="1"/>
  <c r="BC47" i="23"/>
  <c r="BA47" i="23" s="1"/>
  <c r="BC50" i="23"/>
  <c r="BD50" i="23" s="1"/>
  <c r="BC46" i="23"/>
  <c r="BD46" i="23" s="1"/>
  <c r="BI46" i="23"/>
  <c r="BJ46" i="23" s="1"/>
  <c r="BI51" i="23"/>
  <c r="BJ51" i="23" s="1"/>
  <c r="BI47" i="23"/>
  <c r="BJ47" i="23" s="1"/>
  <c r="BI53" i="23"/>
  <c r="BJ53" i="23" s="1"/>
  <c r="BI49" i="23"/>
  <c r="BJ49" i="23" s="1"/>
  <c r="BI56" i="23"/>
  <c r="BJ56" i="23" s="1"/>
  <c r="BI48" i="23"/>
  <c r="BJ48" i="23" s="1"/>
  <c r="BI57" i="23"/>
  <c r="BJ57" i="23" s="1"/>
  <c r="BI52" i="23"/>
  <c r="BJ52" i="23" s="1"/>
  <c r="BI55" i="23"/>
  <c r="BJ55" i="23" s="1"/>
  <c r="BI50" i="23"/>
  <c r="BJ50" i="23" s="1"/>
  <c r="BI54" i="23"/>
  <c r="BJ54" i="23" s="1"/>
  <c r="BG46" i="23"/>
  <c r="BH46" i="23" s="1"/>
  <c r="BG56" i="23"/>
  <c r="BH56" i="23" s="1"/>
  <c r="BG53" i="23"/>
  <c r="BH53" i="23" s="1"/>
  <c r="BG55" i="23"/>
  <c r="BH55" i="23" s="1"/>
  <c r="BG52" i="23"/>
  <c r="BH52" i="23" s="1"/>
  <c r="BG47" i="23"/>
  <c r="BH47" i="23" s="1"/>
  <c r="BG51" i="23"/>
  <c r="BH51" i="23" s="1"/>
  <c r="BG54" i="23"/>
  <c r="BH54" i="23" s="1"/>
  <c r="BG57" i="23"/>
  <c r="BH57" i="23" s="1"/>
  <c r="BG50" i="23"/>
  <c r="BH50" i="23" s="1"/>
  <c r="BG49" i="23"/>
  <c r="BH49" i="23" s="1"/>
  <c r="BG48" i="23"/>
  <c r="BH48" i="23" s="1"/>
  <c r="BK48" i="23"/>
  <c r="BL48" i="23" s="1"/>
  <c r="BK47" i="23"/>
  <c r="BL47" i="23" s="1"/>
  <c r="BK55" i="23"/>
  <c r="BL55" i="23" s="1"/>
  <c r="BK53" i="23"/>
  <c r="BL53" i="23" s="1"/>
  <c r="BK51" i="23"/>
  <c r="BL51" i="23" s="1"/>
  <c r="BK50" i="23"/>
  <c r="BL50" i="23" s="1"/>
  <c r="BK57" i="23"/>
  <c r="BL57" i="23" s="1"/>
  <c r="BK54" i="23"/>
  <c r="BL54" i="23" s="1"/>
  <c r="BK56" i="23"/>
  <c r="BL56" i="23" s="1"/>
  <c r="BK49" i="23"/>
  <c r="BL49" i="23" s="1"/>
  <c r="BK46" i="23"/>
  <c r="BL46" i="23" s="1"/>
  <c r="BK52" i="23"/>
  <c r="BL52" i="23" s="1"/>
  <c r="BO49" i="23"/>
  <c r="BP49" i="23" s="1"/>
  <c r="BO56" i="23"/>
  <c r="BP56" i="23" s="1"/>
  <c r="BO46" i="23"/>
  <c r="BP46" i="23" s="1"/>
  <c r="BO47" i="23"/>
  <c r="BP47" i="23" s="1"/>
  <c r="BO48" i="23"/>
  <c r="BP48" i="23" s="1"/>
  <c r="BO50" i="23"/>
  <c r="BP50" i="23" s="1"/>
  <c r="BO55" i="23"/>
  <c r="BP55" i="23" s="1"/>
  <c r="BO53" i="23"/>
  <c r="BP53" i="23" s="1"/>
  <c r="BO54" i="23"/>
  <c r="BP54" i="23" s="1"/>
  <c r="BO52" i="23"/>
  <c r="BP52" i="23" s="1"/>
  <c r="BO57" i="23"/>
  <c r="BP57" i="23" s="1"/>
  <c r="BO51" i="23"/>
  <c r="BP51" i="23" s="1"/>
  <c r="BE50" i="23"/>
  <c r="BF50" i="23" s="1"/>
  <c r="BE51" i="23"/>
  <c r="BF51" i="23" s="1"/>
  <c r="BE54" i="23"/>
  <c r="BF54" i="23" s="1"/>
  <c r="BE52" i="23"/>
  <c r="BF52" i="23" s="1"/>
  <c r="BE57" i="23"/>
  <c r="BF57" i="23" s="1"/>
  <c r="BE49" i="23"/>
  <c r="BF49" i="23" s="1"/>
  <c r="BE53" i="23"/>
  <c r="BF53" i="23" s="1"/>
  <c r="BE47" i="23"/>
  <c r="BF47" i="23" s="1"/>
  <c r="BE56" i="23"/>
  <c r="BF56" i="23" s="1"/>
  <c r="BE48" i="23"/>
  <c r="BF48" i="23" s="1"/>
  <c r="BE55" i="23"/>
  <c r="BF55" i="23" s="1"/>
  <c r="BD49" i="23"/>
  <c r="BA49" i="23"/>
  <c r="BN54" i="23"/>
  <c r="BY46" i="23"/>
  <c r="BZ46" i="23" s="1"/>
  <c r="BZ52" i="23"/>
  <c r="BZ47" i="23"/>
  <c r="BZ55" i="23"/>
  <c r="BZ48" i="23"/>
  <c r="BZ56" i="23"/>
  <c r="BZ51" i="23"/>
  <c r="BZ49" i="23"/>
  <c r="BZ57" i="23"/>
  <c r="BZ50" i="23"/>
  <c r="BZ53" i="23"/>
  <c r="BZ54" i="23"/>
  <c r="CC46" i="23"/>
  <c r="CD46" i="23" s="1"/>
  <c r="CD50" i="23"/>
  <c r="CD52" i="23"/>
  <c r="CD53" i="23"/>
  <c r="CD54" i="23"/>
  <c r="CD49" i="23"/>
  <c r="CD47" i="23"/>
  <c r="CD55" i="23"/>
  <c r="CD57" i="23"/>
  <c r="CD48" i="23"/>
  <c r="CD56" i="23"/>
  <c r="CD51" i="23"/>
  <c r="BT61" i="23" a="1"/>
  <c r="BT61" i="23" s="1"/>
  <c r="CF61" i="23" a="1"/>
  <c r="CF61" i="23" s="1"/>
  <c r="BR61" i="23" a="1"/>
  <c r="BR61" i="23" s="1"/>
  <c r="BX61" i="23" a="1"/>
  <c r="BX61" i="23" s="1"/>
  <c r="CB61" i="23" a="1"/>
  <c r="CB61" i="23" s="1"/>
  <c r="BU46" i="23"/>
  <c r="BV46" i="23" s="1"/>
  <c r="BV47" i="23"/>
  <c r="BV55" i="23"/>
  <c r="BV48" i="23"/>
  <c r="BV56" i="23"/>
  <c r="BV50" i="23"/>
  <c r="BV49" i="23"/>
  <c r="BV57" i="23"/>
  <c r="BV51" i="23"/>
  <c r="BV52" i="23"/>
  <c r="BV53" i="23"/>
  <c r="BV54" i="23"/>
  <c r="BF46" i="23"/>
  <c r="P10" i="27" l="1"/>
  <c r="AI7" i="27"/>
  <c r="Y8" i="27"/>
  <c r="Y9" i="27" s="1"/>
  <c r="Y10" i="27" s="1"/>
  <c r="AI8" i="27"/>
  <c r="V7" i="27"/>
  <c r="W7" i="27" s="1"/>
  <c r="AK7" i="27"/>
  <c r="AL7" i="27" s="1"/>
  <c r="W6" i="27"/>
  <c r="G7" i="27"/>
  <c r="J7" i="27"/>
  <c r="J8" i="27" s="1"/>
  <c r="M8" i="27"/>
  <c r="M9" i="27" s="1"/>
  <c r="S9" i="27"/>
  <c r="S10" i="27" s="1"/>
  <c r="AR5" i="27"/>
  <c r="AH9" i="27"/>
  <c r="AI9" i="27" s="1"/>
  <c r="AL6" i="27"/>
  <c r="AB12" i="27"/>
  <c r="AC12" i="27" s="1"/>
  <c r="AO5" i="27"/>
  <c r="AN6" i="27"/>
  <c r="D6" i="27"/>
  <c r="AQ7" i="27"/>
  <c r="AQ8" i="27" s="1"/>
  <c r="AQ9" i="27" s="1"/>
  <c r="AR6" i="27"/>
  <c r="AE7" i="27"/>
  <c r="AE8" i="27" s="1"/>
  <c r="AF6" i="27"/>
  <c r="AC10" i="27"/>
  <c r="AC11" i="27"/>
  <c r="A7" i="27"/>
  <c r="BA46" i="23"/>
  <c r="BD56" i="23"/>
  <c r="BA48" i="23"/>
  <c r="BA51" i="23"/>
  <c r="BA55" i="23"/>
  <c r="BD47" i="23"/>
  <c r="BD53" i="23"/>
  <c r="BA50" i="23"/>
  <c r="BA52" i="23"/>
  <c r="BD57" i="23"/>
  <c r="BA54" i="23"/>
  <c r="BP61" i="23" a="1"/>
  <c r="BP61" i="23" s="1"/>
  <c r="BH61" i="23" a="1"/>
  <c r="BH61" i="23" s="1"/>
  <c r="BN61" i="23" a="1"/>
  <c r="BN61" i="23" s="1"/>
  <c r="BJ61" i="23" a="1"/>
  <c r="BJ61" i="23" s="1"/>
  <c r="BL61" i="23" a="1"/>
  <c r="BL61" i="23" s="1"/>
  <c r="CD61" i="23" a="1"/>
  <c r="CD61" i="23" s="1"/>
  <c r="BZ61" i="23" a="1"/>
  <c r="BZ61" i="23" s="1"/>
  <c r="BV61" i="23" a="1"/>
  <c r="BV61" i="23" s="1"/>
  <c r="BF61" i="23" a="1"/>
  <c r="BF61" i="23" s="1"/>
  <c r="AS15" i="23" a="1"/>
  <c r="AS15" i="23" s="1"/>
  <c r="AT11" i="23" s="1"/>
  <c r="AS11" i="23" a="1"/>
  <c r="AS11" i="23" s="1"/>
  <c r="AQ15" i="23" a="1"/>
  <c r="AQ15" i="23" s="1"/>
  <c r="AQ11" i="23" a="1"/>
  <c r="AQ11" i="23" s="1"/>
  <c r="P11" i="27" l="1"/>
  <c r="Y11" i="27"/>
  <c r="Y12" i="27" s="1"/>
  <c r="AK8" i="27"/>
  <c r="AL8" i="27" s="1"/>
  <c r="Z10" i="27"/>
  <c r="V8" i="27"/>
  <c r="W8" i="27" s="1"/>
  <c r="Z9" i="27"/>
  <c r="Z8" i="27"/>
  <c r="G8" i="27"/>
  <c r="J9" i="27"/>
  <c r="S11" i="27"/>
  <c r="AH10" i="27"/>
  <c r="D7" i="27"/>
  <c r="D8" i="27" s="1"/>
  <c r="AR8" i="27"/>
  <c r="AR9" i="27"/>
  <c r="AQ10" i="27"/>
  <c r="AR7" i="27"/>
  <c r="AF7" i="27"/>
  <c r="AO6" i="27"/>
  <c r="AE9" i="27"/>
  <c r="AF9" i="27" s="1"/>
  <c r="AN7" i="27"/>
  <c r="AN8" i="27" s="1"/>
  <c r="AN9" i="27" s="1"/>
  <c r="AN10" i="27" s="1"/>
  <c r="AF8" i="27"/>
  <c r="M10" i="27"/>
  <c r="AB13" i="27"/>
  <c r="AC13" i="27" s="1"/>
  <c r="A8" i="27"/>
  <c r="A9" i="27" s="1"/>
  <c r="BD61" i="23" a="1"/>
  <c r="BD66" i="23" s="1"/>
  <c r="Z46" i="23" a="1"/>
  <c r="Z46" i="23" s="1"/>
  <c r="N11" i="23"/>
  <c r="AR11" i="23"/>
  <c r="P12" i="27" l="1"/>
  <c r="Z11" i="27"/>
  <c r="AK9" i="27"/>
  <c r="AK10" i="27" s="1"/>
  <c r="AK11" i="27" s="1"/>
  <c r="AK12" i="27" s="1"/>
  <c r="AK13" i="27" s="1"/>
  <c r="V9" i="27"/>
  <c r="W9" i="27" s="1"/>
  <c r="S12" i="27"/>
  <c r="G9" i="27"/>
  <c r="J10" i="27"/>
  <c r="AI10" i="27"/>
  <c r="AH11" i="27"/>
  <c r="D9" i="27"/>
  <c r="AO9" i="27"/>
  <c r="AN11" i="27"/>
  <c r="AO11" i="27" s="1"/>
  <c r="AO10" i="27"/>
  <c r="AB14" i="27"/>
  <c r="AO8" i="27"/>
  <c r="Y13" i="27"/>
  <c r="Z12" i="27"/>
  <c r="AE10" i="27"/>
  <c r="M11" i="27"/>
  <c r="AR10" i="27"/>
  <c r="AQ11" i="27"/>
  <c r="AO7" i="27"/>
  <c r="A10" i="27"/>
  <c r="BD67" i="23"/>
  <c r="BD62" i="23"/>
  <c r="BD63" i="23"/>
  <c r="BD65" i="23"/>
  <c r="BD68" i="23"/>
  <c r="BD64" i="23"/>
  <c r="BD61" i="23"/>
  <c r="AA11" i="23"/>
  <c r="P13" i="27" l="1"/>
  <c r="P14" i="27" s="1"/>
  <c r="Q3" i="27"/>
  <c r="AL9" i="27"/>
  <c r="V10" i="27"/>
  <c r="W10" i="27" s="1"/>
  <c r="S13" i="27"/>
  <c r="AN12" i="27"/>
  <c r="AN13" i="27" s="1"/>
  <c r="G10" i="27"/>
  <c r="J11" i="27"/>
  <c r="AH12" i="27"/>
  <c r="AI12" i="27" s="1"/>
  <c r="AI11" i="27"/>
  <c r="D10" i="27"/>
  <c r="M12" i="27"/>
  <c r="M13" i="27" s="1"/>
  <c r="M14" i="27" s="1"/>
  <c r="M15" i="27" s="1"/>
  <c r="M16" i="27" s="1"/>
  <c r="M17" i="27" s="1"/>
  <c r="M18" i="27" s="1"/>
  <c r="M19" i="27" s="1"/>
  <c r="M20" i="27" s="1"/>
  <c r="M21" i="27" s="1"/>
  <c r="M22" i="27" s="1"/>
  <c r="M23" i="27" s="1"/>
  <c r="M24" i="27" s="1"/>
  <c r="M25" i="27" s="1"/>
  <c r="M26" i="27" s="1"/>
  <c r="M27" i="27" s="1"/>
  <c r="AQ12" i="27"/>
  <c r="AR12" i="27" s="1"/>
  <c r="AB15" i="27"/>
  <c r="AB16" i="27" s="1"/>
  <c r="AB17" i="27" s="1"/>
  <c r="AB18" i="27" s="1"/>
  <c r="AB19" i="27" s="1"/>
  <c r="AB20" i="27" s="1"/>
  <c r="AB21" i="27" s="1"/>
  <c r="AB22" i="27" s="1"/>
  <c r="AB23" i="27" s="1"/>
  <c r="AB24" i="27" s="1"/>
  <c r="AB25" i="27" s="1"/>
  <c r="AB26" i="27" s="1"/>
  <c r="AB27" i="27" s="1"/>
  <c r="AL12" i="27"/>
  <c r="AE11" i="27"/>
  <c r="AE12" i="27" s="1"/>
  <c r="AE13" i="27" s="1"/>
  <c r="AE14" i="27" s="1"/>
  <c r="AE15" i="27" s="1"/>
  <c r="AE16" i="27" s="1"/>
  <c r="AE17" i="27" s="1"/>
  <c r="AE18" i="27" s="1"/>
  <c r="AE19" i="27" s="1"/>
  <c r="AE20" i="27" s="1"/>
  <c r="AE21" i="27" s="1"/>
  <c r="AE22" i="27" s="1"/>
  <c r="AE23" i="27" s="1"/>
  <c r="AE24" i="27" s="1"/>
  <c r="AE25" i="27" s="1"/>
  <c r="AE26" i="27" s="1"/>
  <c r="AE27" i="27" s="1"/>
  <c r="AK14" i="27"/>
  <c r="AL11" i="27"/>
  <c r="Y14" i="27"/>
  <c r="A11" i="27"/>
  <c r="U5" i="23"/>
  <c r="S14" i="27" l="1"/>
  <c r="S15" i="27" s="1"/>
  <c r="Q4" i="27"/>
  <c r="P15" i="27"/>
  <c r="Q6" i="27" s="1"/>
  <c r="V11" i="27"/>
  <c r="W11" i="27" s="1"/>
  <c r="G11" i="27"/>
  <c r="G12" i="27" s="1"/>
  <c r="G13" i="27" s="1"/>
  <c r="G14" i="27" s="1"/>
  <c r="G15" i="27" s="1"/>
  <c r="G16" i="27" s="1"/>
  <c r="G17" i="27" s="1"/>
  <c r="G18" i="27" s="1"/>
  <c r="G19" i="27" s="1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AO12" i="27"/>
  <c r="AO13" i="27"/>
  <c r="AN14" i="27"/>
  <c r="J12" i="27"/>
  <c r="J13" i="27" s="1"/>
  <c r="J14" i="27" s="1"/>
  <c r="J15" i="27" s="1"/>
  <c r="J16" i="27" s="1"/>
  <c r="J17" i="27" s="1"/>
  <c r="J18" i="27" s="1"/>
  <c r="J19" i="27" s="1"/>
  <c r="J20" i="27" s="1"/>
  <c r="J21" i="27" s="1"/>
  <c r="J22" i="27" s="1"/>
  <c r="J23" i="27" s="1"/>
  <c r="J24" i="27" s="1"/>
  <c r="J25" i="27" s="1"/>
  <c r="J26" i="27" s="1"/>
  <c r="J27" i="27" s="1"/>
  <c r="J28" i="27" s="1"/>
  <c r="J29" i="27" s="1"/>
  <c r="J30" i="27" s="1"/>
  <c r="J31" i="27" s="1"/>
  <c r="J32" i="27" s="1"/>
  <c r="J33" i="27" s="1"/>
  <c r="J34" i="27" s="1"/>
  <c r="J35" i="27" s="1"/>
  <c r="J36" i="27" s="1"/>
  <c r="J37" i="27" s="1"/>
  <c r="J38" i="27" s="1"/>
  <c r="J39" i="27" s="1"/>
  <c r="J40" i="27" s="1"/>
  <c r="AH13" i="27"/>
  <c r="AH14" i="27" s="1"/>
  <c r="D11" i="27"/>
  <c r="M28" i="27"/>
  <c r="M29" i="27" s="1"/>
  <c r="M30" i="27" s="1"/>
  <c r="M31" i="27" s="1"/>
  <c r="M32" i="27" s="1"/>
  <c r="M33" i="27" s="1"/>
  <c r="M34" i="27" s="1"/>
  <c r="M35" i="27" s="1"/>
  <c r="M36" i="27" s="1"/>
  <c r="M37" i="27" s="1"/>
  <c r="M38" i="27" s="1"/>
  <c r="M39" i="27" s="1"/>
  <c r="M40" i="27" s="1"/>
  <c r="M41" i="27" s="1"/>
  <c r="M42" i="27" s="1"/>
  <c r="M43" i="27" s="1"/>
  <c r="M44" i="27" s="1"/>
  <c r="M45" i="27" s="1"/>
  <c r="M46" i="27" s="1"/>
  <c r="M47" i="27" s="1"/>
  <c r="M48" i="27" s="1"/>
  <c r="M49" i="27" s="1"/>
  <c r="M50" i="27" s="1"/>
  <c r="M51" i="27" s="1"/>
  <c r="M52" i="27" s="1"/>
  <c r="M53" i="27" s="1"/>
  <c r="M54" i="27" s="1"/>
  <c r="M55" i="27" s="1"/>
  <c r="M56" i="27" s="1"/>
  <c r="M57" i="27" s="1"/>
  <c r="AE28" i="27"/>
  <c r="AE29" i="27" s="1"/>
  <c r="AE30" i="27" s="1"/>
  <c r="AE31" i="27" s="1"/>
  <c r="AE32" i="27" s="1"/>
  <c r="AE33" i="27" s="1"/>
  <c r="AE34" i="27" s="1"/>
  <c r="AE35" i="27" s="1"/>
  <c r="AE36" i="27" s="1"/>
  <c r="AE37" i="27" s="1"/>
  <c r="AE38" i="27" s="1"/>
  <c r="AE39" i="27" s="1"/>
  <c r="AE40" i="27" s="1"/>
  <c r="AE41" i="27" s="1"/>
  <c r="AE42" i="27" s="1"/>
  <c r="AE43" i="27" s="1"/>
  <c r="AE44" i="27" s="1"/>
  <c r="AE45" i="27" s="1"/>
  <c r="AE46" i="27" s="1"/>
  <c r="AE47" i="27" s="1"/>
  <c r="AE48" i="27" s="1"/>
  <c r="AE49" i="27" s="1"/>
  <c r="AE50" i="27" s="1"/>
  <c r="AE51" i="27" s="1"/>
  <c r="AE52" i="27" s="1"/>
  <c r="AE53" i="27" s="1"/>
  <c r="AE54" i="27" s="1"/>
  <c r="AE55" i="27" s="1"/>
  <c r="AE56" i="27" s="1"/>
  <c r="AE57" i="27" s="1"/>
  <c r="AF44" i="27" s="1"/>
  <c r="AB28" i="27"/>
  <c r="AB29" i="27" s="1"/>
  <c r="AB30" i="27" s="1"/>
  <c r="AB31" i="27" s="1"/>
  <c r="AB32" i="27" s="1"/>
  <c r="AB33" i="27" s="1"/>
  <c r="AB34" i="27" s="1"/>
  <c r="AB35" i="27" s="1"/>
  <c r="AB36" i="27" s="1"/>
  <c r="AB37" i="27" s="1"/>
  <c r="AB38" i="27" s="1"/>
  <c r="AB39" i="27" s="1"/>
  <c r="AB40" i="27" s="1"/>
  <c r="AB41" i="27" s="1"/>
  <c r="AB42" i="27" s="1"/>
  <c r="AB43" i="27" s="1"/>
  <c r="AB44" i="27" s="1"/>
  <c r="AB45" i="27" s="1"/>
  <c r="AB46" i="27" s="1"/>
  <c r="AB47" i="27" s="1"/>
  <c r="AB48" i="27" s="1"/>
  <c r="AB49" i="27" s="1"/>
  <c r="AB50" i="27" s="1"/>
  <c r="AB51" i="27" s="1"/>
  <c r="AB52" i="27" s="1"/>
  <c r="AB53" i="27" s="1"/>
  <c r="AB54" i="27" s="1"/>
  <c r="AB55" i="27" s="1"/>
  <c r="AB56" i="27" s="1"/>
  <c r="AB57" i="27" s="1"/>
  <c r="AC51" i="27" s="1"/>
  <c r="AF13" i="27"/>
  <c r="AC16" i="27"/>
  <c r="AF14" i="27"/>
  <c r="AF12" i="27"/>
  <c r="AC27" i="27"/>
  <c r="AC21" i="27"/>
  <c r="AF22" i="27"/>
  <c r="Y15" i="27"/>
  <c r="AK15" i="27"/>
  <c r="AL15" i="27" s="1"/>
  <c r="AL14" i="27"/>
  <c r="AF17" i="27"/>
  <c r="AF16" i="27"/>
  <c r="AF27" i="27"/>
  <c r="AQ13" i="27"/>
  <c r="AQ14" i="27" s="1"/>
  <c r="AQ15" i="27" s="1"/>
  <c r="AQ16" i="27" s="1"/>
  <c r="AQ17" i="27" s="1"/>
  <c r="AQ18" i="27" s="1"/>
  <c r="AQ19" i="27" s="1"/>
  <c r="AQ20" i="27" s="1"/>
  <c r="AQ21" i="27" s="1"/>
  <c r="AQ22" i="27" s="1"/>
  <c r="AQ23" i="27" s="1"/>
  <c r="AQ24" i="27" s="1"/>
  <c r="AQ25" i="27" s="1"/>
  <c r="AQ26" i="27" s="1"/>
  <c r="AQ27" i="27" s="1"/>
  <c r="AF19" i="27"/>
  <c r="AF23" i="27"/>
  <c r="AF26" i="27"/>
  <c r="AC20" i="27"/>
  <c r="AC23" i="27"/>
  <c r="AC14" i="27"/>
  <c r="AC17" i="27"/>
  <c r="AC22" i="27"/>
  <c r="AC24" i="27"/>
  <c r="AC18" i="27"/>
  <c r="AC26" i="27"/>
  <c r="AC25" i="27"/>
  <c r="AC15" i="27"/>
  <c r="AC19" i="27"/>
  <c r="AF15" i="27"/>
  <c r="AF18" i="27"/>
  <c r="AF11" i="27"/>
  <c r="AF25" i="27"/>
  <c r="AF20" i="27"/>
  <c r="AF10" i="27"/>
  <c r="AF21" i="27"/>
  <c r="AF24" i="27"/>
  <c r="A12" i="27"/>
  <c r="A13" i="27" s="1"/>
  <c r="AB9" i="23"/>
  <c r="AA13" i="23"/>
  <c r="AA9" i="23"/>
  <c r="AE2" i="23"/>
  <c r="AI22" i="23"/>
  <c r="S16" i="27" l="1"/>
  <c r="S17" i="27" s="1"/>
  <c r="P16" i="27"/>
  <c r="V12" i="27"/>
  <c r="V13" i="27" s="1"/>
  <c r="AO14" i="27"/>
  <c r="AF31" i="27"/>
  <c r="AN15" i="27"/>
  <c r="AO15" i="27" s="1"/>
  <c r="AF28" i="27"/>
  <c r="J41" i="27"/>
  <c r="J42" i="27" s="1"/>
  <c r="J43" i="27" s="1"/>
  <c r="J44" i="27" s="1"/>
  <c r="J45" i="27" s="1"/>
  <c r="J46" i="27" s="1"/>
  <c r="J47" i="27" s="1"/>
  <c r="J48" i="27" s="1"/>
  <c r="J49" i="27" s="1"/>
  <c r="J50" i="27" s="1"/>
  <c r="J51" i="27" s="1"/>
  <c r="J52" i="27" s="1"/>
  <c r="J53" i="27" s="1"/>
  <c r="J54" i="27" s="1"/>
  <c r="J55" i="27" s="1"/>
  <c r="J56" i="27" s="1"/>
  <c r="J57" i="27" s="1"/>
  <c r="J58" i="27" s="1"/>
  <c r="J59" i="27" s="1"/>
  <c r="AF43" i="27"/>
  <c r="AH15" i="27"/>
  <c r="AH16" i="27" s="1"/>
  <c r="AH17" i="27" s="1"/>
  <c r="AH18" i="27" s="1"/>
  <c r="AH19" i="27" s="1"/>
  <c r="AH20" i="27" s="1"/>
  <c r="AH21" i="27" s="1"/>
  <c r="AH22" i="27" s="1"/>
  <c r="AH23" i="27" s="1"/>
  <c r="AH24" i="27" s="1"/>
  <c r="AH25" i="27" s="1"/>
  <c r="AH26" i="27" s="1"/>
  <c r="AH27" i="27" s="1"/>
  <c r="H2" i="27"/>
  <c r="AF40" i="27"/>
  <c r="AF29" i="27"/>
  <c r="AF33" i="27"/>
  <c r="AC32" i="27"/>
  <c r="AF34" i="27"/>
  <c r="AF36" i="27"/>
  <c r="AF38" i="27"/>
  <c r="AF37" i="27"/>
  <c r="AF42" i="27"/>
  <c r="AF50" i="27"/>
  <c r="AF54" i="27"/>
  <c r="AF41" i="27"/>
  <c r="AF45" i="27"/>
  <c r="AF46" i="27"/>
  <c r="AF57" i="27"/>
  <c r="AE58" i="27"/>
  <c r="AF53" i="27"/>
  <c r="AF52" i="27"/>
  <c r="AF47" i="27"/>
  <c r="AF30" i="27"/>
  <c r="AC55" i="27"/>
  <c r="AC38" i="27"/>
  <c r="AC45" i="27"/>
  <c r="AC37" i="27"/>
  <c r="AC35" i="27"/>
  <c r="AC29" i="27"/>
  <c r="AC31" i="27"/>
  <c r="AC54" i="27"/>
  <c r="AC34" i="27"/>
  <c r="AC30" i="27"/>
  <c r="AC56" i="27"/>
  <c r="AC47" i="27"/>
  <c r="AC28" i="27"/>
  <c r="AC43" i="27"/>
  <c r="AC53" i="27"/>
  <c r="AC40" i="27"/>
  <c r="AC36" i="27"/>
  <c r="AC52" i="27"/>
  <c r="AC50" i="27"/>
  <c r="AC41" i="27"/>
  <c r="AB58" i="27"/>
  <c r="D12" i="27"/>
  <c r="AQ28" i="27"/>
  <c r="AQ29" i="27" s="1"/>
  <c r="AQ30" i="27" s="1"/>
  <c r="AQ31" i="27" s="1"/>
  <c r="AQ32" i="27" s="1"/>
  <c r="AQ33" i="27" s="1"/>
  <c r="AQ34" i="27" s="1"/>
  <c r="AQ35" i="27" s="1"/>
  <c r="AQ36" i="27" s="1"/>
  <c r="AQ37" i="27" s="1"/>
  <c r="AQ38" i="27" s="1"/>
  <c r="AQ39" i="27" s="1"/>
  <c r="AQ40" i="27" s="1"/>
  <c r="AQ41" i="27" s="1"/>
  <c r="AQ42" i="27" s="1"/>
  <c r="AQ43" i="27" s="1"/>
  <c r="AQ44" i="27" s="1"/>
  <c r="AQ45" i="27" s="1"/>
  <c r="AQ46" i="27" s="1"/>
  <c r="AQ47" i="27" s="1"/>
  <c r="AQ48" i="27" s="1"/>
  <c r="AQ49" i="27" s="1"/>
  <c r="AQ50" i="27" s="1"/>
  <c r="AQ51" i="27" s="1"/>
  <c r="AQ52" i="27" s="1"/>
  <c r="AQ53" i="27" s="1"/>
  <c r="AQ54" i="27" s="1"/>
  <c r="AQ55" i="27" s="1"/>
  <c r="AQ56" i="27" s="1"/>
  <c r="AQ57" i="27" s="1"/>
  <c r="AR38" i="27" s="1"/>
  <c r="AF55" i="27"/>
  <c r="AF35" i="27"/>
  <c r="AC49" i="27"/>
  <c r="AC33" i="27"/>
  <c r="AC44" i="27"/>
  <c r="AC46" i="27"/>
  <c r="AF39" i="27"/>
  <c r="H14" i="27"/>
  <c r="AF56" i="27"/>
  <c r="AF32" i="27"/>
  <c r="AF51" i="27"/>
  <c r="AC57" i="27"/>
  <c r="AC42" i="27"/>
  <c r="AC48" i="27"/>
  <c r="AF48" i="27"/>
  <c r="AC39" i="27"/>
  <c r="AF49" i="27"/>
  <c r="M58" i="27"/>
  <c r="AI13" i="27"/>
  <c r="AI14" i="27"/>
  <c r="AR21" i="27"/>
  <c r="Y16" i="27"/>
  <c r="Y17" i="27" s="1"/>
  <c r="Y18" i="27" s="1"/>
  <c r="Y19" i="27" s="1"/>
  <c r="Y20" i="27" s="1"/>
  <c r="Y21" i="27" s="1"/>
  <c r="Y22" i="27" s="1"/>
  <c r="Y23" i="27" s="1"/>
  <c r="Y24" i="27" s="1"/>
  <c r="Y25" i="27" s="1"/>
  <c r="Y26" i="27" s="1"/>
  <c r="Y27" i="27" s="1"/>
  <c r="AK16" i="27"/>
  <c r="AK17" i="27" s="1"/>
  <c r="AK18" i="27" s="1"/>
  <c r="AK19" i="27" s="1"/>
  <c r="AK20" i="27" s="1"/>
  <c r="AK21" i="27" s="1"/>
  <c r="AK22" i="27" s="1"/>
  <c r="AK23" i="27" s="1"/>
  <c r="AK24" i="27" s="1"/>
  <c r="AK25" i="27" s="1"/>
  <c r="AK26" i="27" s="1"/>
  <c r="AK27" i="27" s="1"/>
  <c r="AR20" i="27"/>
  <c r="AR24" i="27"/>
  <c r="AR25" i="27"/>
  <c r="AR18" i="27"/>
  <c r="AR11" i="27"/>
  <c r="AR13" i="27"/>
  <c r="AR22" i="27"/>
  <c r="AR27" i="27"/>
  <c r="AR19" i="27"/>
  <c r="AR16" i="27"/>
  <c r="AR23" i="27"/>
  <c r="AR15" i="27"/>
  <c r="AR26" i="27"/>
  <c r="AR14" i="27"/>
  <c r="AR17" i="27"/>
  <c r="A14" i="27"/>
  <c r="AH22" i="23"/>
  <c r="P17" i="27" l="1"/>
  <c r="Q7" i="27"/>
  <c r="V14" i="27"/>
  <c r="V15" i="27" s="1"/>
  <c r="W12" i="27"/>
  <c r="S18" i="27"/>
  <c r="AB59" i="27"/>
  <c r="AC61" i="27" s="1"/>
  <c r="AE59" i="27"/>
  <c r="AF61" i="27" s="1"/>
  <c r="N12" i="27"/>
  <c r="M59" i="27"/>
  <c r="AI24" i="27"/>
  <c r="AI18" i="27"/>
  <c r="AN16" i="27"/>
  <c r="AO16" i="27" s="1"/>
  <c r="AI27" i="27"/>
  <c r="AI21" i="27"/>
  <c r="AI16" i="27"/>
  <c r="AI17" i="27"/>
  <c r="AI23" i="27"/>
  <c r="AI15" i="27"/>
  <c r="AI22" i="27"/>
  <c r="AI25" i="27"/>
  <c r="AH28" i="27"/>
  <c r="AH29" i="27" s="1"/>
  <c r="AH30" i="27" s="1"/>
  <c r="AH31" i="27" s="1"/>
  <c r="AH32" i="27" s="1"/>
  <c r="AH33" i="27" s="1"/>
  <c r="AH34" i="27" s="1"/>
  <c r="AH35" i="27" s="1"/>
  <c r="AH36" i="27" s="1"/>
  <c r="AH37" i="27" s="1"/>
  <c r="AH38" i="27" s="1"/>
  <c r="AH39" i="27" s="1"/>
  <c r="AH40" i="27" s="1"/>
  <c r="AH41" i="27" s="1"/>
  <c r="AH42" i="27" s="1"/>
  <c r="AH43" i="27" s="1"/>
  <c r="AH44" i="27" s="1"/>
  <c r="AH45" i="27" s="1"/>
  <c r="AH46" i="27" s="1"/>
  <c r="AH47" i="27" s="1"/>
  <c r="AH48" i="27" s="1"/>
  <c r="AH49" i="27" s="1"/>
  <c r="AH50" i="27" s="1"/>
  <c r="AH51" i="27" s="1"/>
  <c r="AH52" i="27" s="1"/>
  <c r="AH53" i="27" s="1"/>
  <c r="AH54" i="27" s="1"/>
  <c r="AH55" i="27" s="1"/>
  <c r="AH56" i="27" s="1"/>
  <c r="AH57" i="27" s="1"/>
  <c r="AI57" i="27" s="1"/>
  <c r="AI20" i="27"/>
  <c r="AI19" i="27"/>
  <c r="AI26" i="27"/>
  <c r="N52" i="27"/>
  <c r="N51" i="27"/>
  <c r="N40" i="27"/>
  <c r="N13" i="27"/>
  <c r="N28" i="27"/>
  <c r="N41" i="27"/>
  <c r="N38" i="27"/>
  <c r="N24" i="27"/>
  <c r="N42" i="27"/>
  <c r="N37" i="27"/>
  <c r="N4" i="27"/>
  <c r="N3" i="27"/>
  <c r="N6" i="27"/>
  <c r="N5" i="27"/>
  <c r="N8" i="27"/>
  <c r="N11" i="27"/>
  <c r="N45" i="27"/>
  <c r="N7" i="27"/>
  <c r="N34" i="27"/>
  <c r="N55" i="27"/>
  <c r="N33" i="27"/>
  <c r="N9" i="27"/>
  <c r="N57" i="27"/>
  <c r="N29" i="27"/>
  <c r="N10" i="27"/>
  <c r="N48" i="27"/>
  <c r="N35" i="27"/>
  <c r="N32" i="27"/>
  <c r="N18" i="27"/>
  <c r="N27" i="27"/>
  <c r="N46" i="27"/>
  <c r="N54" i="27"/>
  <c r="N44" i="27"/>
  <c r="N21" i="27"/>
  <c r="N23" i="27"/>
  <c r="N50" i="27"/>
  <c r="N43" i="27"/>
  <c r="N53" i="27"/>
  <c r="N39" i="27"/>
  <c r="N26" i="27"/>
  <c r="N15" i="27"/>
  <c r="N36" i="27"/>
  <c r="N31" i="27"/>
  <c r="N30" i="27"/>
  <c r="N25" i="27"/>
  <c r="N16" i="27"/>
  <c r="N49" i="27"/>
  <c r="N56" i="27"/>
  <c r="N47" i="27"/>
  <c r="N20" i="27"/>
  <c r="N17" i="27"/>
  <c r="N22" i="27"/>
  <c r="N19" i="27"/>
  <c r="N14" i="27"/>
  <c r="H7" i="27"/>
  <c r="H20" i="27"/>
  <c r="H11" i="27"/>
  <c r="H19" i="27"/>
  <c r="H12" i="27"/>
  <c r="H15" i="27"/>
  <c r="AF58" i="27"/>
  <c r="H6" i="27"/>
  <c r="H13" i="27"/>
  <c r="H18" i="27"/>
  <c r="H8" i="27"/>
  <c r="H22" i="27"/>
  <c r="H16" i="27"/>
  <c r="H17" i="27"/>
  <c r="H21" i="27"/>
  <c r="H9" i="27"/>
  <c r="H10" i="27"/>
  <c r="H5" i="27"/>
  <c r="H3" i="27"/>
  <c r="H4" i="27"/>
  <c r="AC58" i="27"/>
  <c r="AR51" i="27"/>
  <c r="AR43" i="27"/>
  <c r="AR34" i="27"/>
  <c r="D13" i="27"/>
  <c r="AR36" i="27"/>
  <c r="AR35" i="27"/>
  <c r="AR42" i="27"/>
  <c r="AR47" i="27"/>
  <c r="AR30" i="27"/>
  <c r="AR39" i="27"/>
  <c r="AR40" i="27"/>
  <c r="AR50" i="27"/>
  <c r="AR41" i="27"/>
  <c r="AR49" i="27"/>
  <c r="AR28" i="27"/>
  <c r="N58" i="27"/>
  <c r="AR44" i="27"/>
  <c r="AR54" i="27"/>
  <c r="AR31" i="27"/>
  <c r="AR32" i="27"/>
  <c r="AK28" i="27"/>
  <c r="AK29" i="27" s="1"/>
  <c r="AK30" i="27" s="1"/>
  <c r="AK31" i="27" s="1"/>
  <c r="AK32" i="27" s="1"/>
  <c r="AK33" i="27" s="1"/>
  <c r="AK34" i="27" s="1"/>
  <c r="AK35" i="27" s="1"/>
  <c r="AK36" i="27" s="1"/>
  <c r="AK37" i="27" s="1"/>
  <c r="AK38" i="27" s="1"/>
  <c r="AK39" i="27" s="1"/>
  <c r="AK40" i="27" s="1"/>
  <c r="AK41" i="27" s="1"/>
  <c r="AK42" i="27" s="1"/>
  <c r="AK43" i="27" s="1"/>
  <c r="AK44" i="27" s="1"/>
  <c r="AK45" i="27" s="1"/>
  <c r="AK46" i="27" s="1"/>
  <c r="AK47" i="27" s="1"/>
  <c r="AK48" i="27" s="1"/>
  <c r="AK49" i="27" s="1"/>
  <c r="AK50" i="27" s="1"/>
  <c r="AK51" i="27" s="1"/>
  <c r="AK52" i="27" s="1"/>
  <c r="AK53" i="27" s="1"/>
  <c r="AK54" i="27" s="1"/>
  <c r="AK55" i="27" s="1"/>
  <c r="AK56" i="27" s="1"/>
  <c r="AK57" i="27" s="1"/>
  <c r="AR45" i="27"/>
  <c r="AR33" i="27"/>
  <c r="AR56" i="27"/>
  <c r="AR29" i="27"/>
  <c r="AR48" i="27"/>
  <c r="AR46" i="27"/>
  <c r="AR37" i="27"/>
  <c r="AR55" i="27"/>
  <c r="Y28" i="27"/>
  <c r="Y29" i="27" s="1"/>
  <c r="Y30" i="27" s="1"/>
  <c r="Y31" i="27" s="1"/>
  <c r="Y32" i="27" s="1"/>
  <c r="Y33" i="27" s="1"/>
  <c r="Y34" i="27" s="1"/>
  <c r="Y35" i="27" s="1"/>
  <c r="Y36" i="27" s="1"/>
  <c r="Y37" i="27" s="1"/>
  <c r="Y38" i="27" s="1"/>
  <c r="Y39" i="27" s="1"/>
  <c r="Y40" i="27" s="1"/>
  <c r="Y41" i="27" s="1"/>
  <c r="Y42" i="27" s="1"/>
  <c r="Y43" i="27" s="1"/>
  <c r="Y44" i="27" s="1"/>
  <c r="Y45" i="27" s="1"/>
  <c r="Y46" i="27" s="1"/>
  <c r="Y47" i="27" s="1"/>
  <c r="Y48" i="27" s="1"/>
  <c r="Y49" i="27" s="1"/>
  <c r="Y50" i="27" s="1"/>
  <c r="Y51" i="27" s="1"/>
  <c r="Y52" i="27" s="1"/>
  <c r="Y53" i="27" s="1"/>
  <c r="Y54" i="27" s="1"/>
  <c r="Y55" i="27" s="1"/>
  <c r="Y56" i="27" s="1"/>
  <c r="Y57" i="27" s="1"/>
  <c r="AR53" i="27"/>
  <c r="AR52" i="27"/>
  <c r="AR57" i="27"/>
  <c r="AQ58" i="27"/>
  <c r="Z23" i="27"/>
  <c r="Z27" i="27"/>
  <c r="AL17" i="27"/>
  <c r="Z21" i="27"/>
  <c r="Z15" i="27"/>
  <c r="Z19" i="27"/>
  <c r="Z14" i="27"/>
  <c r="Z13" i="27"/>
  <c r="Z17" i="27"/>
  <c r="Z25" i="27"/>
  <c r="Z22" i="27"/>
  <c r="Z24" i="27"/>
  <c r="Z20" i="27"/>
  <c r="Z18" i="27"/>
  <c r="Z16" i="27"/>
  <c r="AL13" i="27"/>
  <c r="AL23" i="27"/>
  <c r="AL10" i="27"/>
  <c r="AL26" i="27"/>
  <c r="AL27" i="27"/>
  <c r="AL21" i="27"/>
  <c r="AL25" i="27"/>
  <c r="AL16" i="27"/>
  <c r="AL22" i="27"/>
  <c r="AL19" i="27"/>
  <c r="AL20" i="27"/>
  <c r="AL18" i="27"/>
  <c r="AL24" i="27"/>
  <c r="Z26" i="27"/>
  <c r="W13" i="27"/>
  <c r="A15" i="27"/>
  <c r="AD2" i="23"/>
  <c r="P18" i="27" l="1"/>
  <c r="Q9" i="27"/>
  <c r="Q8" i="27"/>
  <c r="N61" i="27"/>
  <c r="N2" i="27"/>
  <c r="W14" i="27"/>
  <c r="V16" i="27"/>
  <c r="V17" i="27" s="1"/>
  <c r="V18" i="27" s="1"/>
  <c r="V19" i="27" s="1"/>
  <c r="V20" i="27" s="1"/>
  <c r="V21" i="27" s="1"/>
  <c r="V22" i="27" s="1"/>
  <c r="V23" i="27" s="1"/>
  <c r="V24" i="27" s="1"/>
  <c r="V25" i="27" s="1"/>
  <c r="V26" i="27" s="1"/>
  <c r="V27" i="27" s="1"/>
  <c r="N62" i="27"/>
  <c r="N60" i="27"/>
  <c r="N59" i="27"/>
  <c r="W15" i="27"/>
  <c r="AF62" i="27"/>
  <c r="S19" i="27"/>
  <c r="AC59" i="27"/>
  <c r="AC62" i="27"/>
  <c r="AC60" i="27"/>
  <c r="AF60" i="27"/>
  <c r="AF59" i="27"/>
  <c r="AQ59" i="27"/>
  <c r="AR62" i="27" s="1"/>
  <c r="AN17" i="27"/>
  <c r="AO17" i="27" s="1"/>
  <c r="AI40" i="27"/>
  <c r="AI37" i="27"/>
  <c r="AI43" i="27"/>
  <c r="AI42" i="27"/>
  <c r="AI38" i="27"/>
  <c r="AI55" i="27"/>
  <c r="AI33" i="27"/>
  <c r="AI31" i="27"/>
  <c r="AI49" i="27"/>
  <c r="AI41" i="27"/>
  <c r="AI48" i="27"/>
  <c r="AI39" i="27"/>
  <c r="AI34" i="27"/>
  <c r="AI28" i="27"/>
  <c r="AI53" i="27"/>
  <c r="AI46" i="27"/>
  <c r="AI30" i="27"/>
  <c r="AI52" i="27"/>
  <c r="AI54" i="27"/>
  <c r="AI36" i="27"/>
  <c r="AI32" i="27"/>
  <c r="AI47" i="27"/>
  <c r="AI45" i="27"/>
  <c r="AI44" i="27"/>
  <c r="AI35" i="27"/>
  <c r="AI50" i="27"/>
  <c r="AI29" i="27"/>
  <c r="AI56" i="27"/>
  <c r="AI51" i="27"/>
  <c r="AH58" i="27"/>
  <c r="K2" i="27"/>
  <c r="Z31" i="27"/>
  <c r="Z34" i="27"/>
  <c r="Z28" i="27"/>
  <c r="Z53" i="27"/>
  <c r="Z33" i="27"/>
  <c r="Z32" i="27"/>
  <c r="Z38" i="27"/>
  <c r="Z30" i="27"/>
  <c r="Z29" i="27"/>
  <c r="AL35" i="27"/>
  <c r="AL28" i="27"/>
  <c r="AL39" i="27"/>
  <c r="AL50" i="27"/>
  <c r="Z42" i="27"/>
  <c r="AL37" i="27"/>
  <c r="Z51" i="27"/>
  <c r="Z56" i="27"/>
  <c r="AL41" i="27"/>
  <c r="Z47" i="27"/>
  <c r="Z44" i="27"/>
  <c r="AL43" i="27"/>
  <c r="Z57" i="27"/>
  <c r="Z46" i="27"/>
  <c r="Z43" i="27"/>
  <c r="D14" i="27"/>
  <c r="Z49" i="27"/>
  <c r="Z52" i="27"/>
  <c r="Z39" i="27"/>
  <c r="Z36" i="27"/>
  <c r="AL34" i="27"/>
  <c r="AL40" i="27"/>
  <c r="AL32" i="27"/>
  <c r="AL51" i="27"/>
  <c r="AL48" i="27"/>
  <c r="Z54" i="27"/>
  <c r="Z41" i="27"/>
  <c r="AL52" i="27"/>
  <c r="AL53" i="27"/>
  <c r="AL42" i="27"/>
  <c r="AL36" i="27"/>
  <c r="Y58" i="27"/>
  <c r="AL54" i="27"/>
  <c r="AL55" i="27"/>
  <c r="AL44" i="27"/>
  <c r="K12" i="27"/>
  <c r="AR58" i="27"/>
  <c r="AL49" i="27"/>
  <c r="AL47" i="27"/>
  <c r="AL57" i="27"/>
  <c r="AL38" i="27"/>
  <c r="AL30" i="27"/>
  <c r="AL29" i="27"/>
  <c r="Z50" i="27"/>
  <c r="Z55" i="27"/>
  <c r="Z37" i="27"/>
  <c r="AL56" i="27"/>
  <c r="AL31" i="27"/>
  <c r="AL45" i="27"/>
  <c r="AL33" i="27"/>
  <c r="AL46" i="27"/>
  <c r="Z40" i="27"/>
  <c r="Z45" i="27"/>
  <c r="Z48" i="27"/>
  <c r="Z35" i="27"/>
  <c r="AK58" i="27"/>
  <c r="A16" i="27"/>
  <c r="AC2" i="23"/>
  <c r="B1" i="2"/>
  <c r="AA15" i="23" s="1"/>
  <c r="P19" i="27" l="1"/>
  <c r="W27" i="27"/>
  <c r="W17" i="27"/>
  <c r="W25" i="27"/>
  <c r="W24" i="27"/>
  <c r="W23" i="27"/>
  <c r="W18" i="27"/>
  <c r="W26" i="27"/>
  <c r="W22" i="27"/>
  <c r="W16" i="27"/>
  <c r="V28" i="27"/>
  <c r="V29" i="27" s="1"/>
  <c r="V30" i="27" s="1"/>
  <c r="V31" i="27" s="1"/>
  <c r="V32" i="27" s="1"/>
  <c r="V33" i="27" s="1"/>
  <c r="V34" i="27" s="1"/>
  <c r="V35" i="27" s="1"/>
  <c r="V36" i="27" s="1"/>
  <c r="V37" i="27" s="1"/>
  <c r="V38" i="27" s="1"/>
  <c r="V39" i="27" s="1"/>
  <c r="V40" i="27" s="1"/>
  <c r="V41" i="27" s="1"/>
  <c r="V42" i="27" s="1"/>
  <c r="V43" i="27" s="1"/>
  <c r="V44" i="27" s="1"/>
  <c r="V45" i="27" s="1"/>
  <c r="V46" i="27" s="1"/>
  <c r="V47" i="27" s="1"/>
  <c r="V48" i="27" s="1"/>
  <c r="V49" i="27" s="1"/>
  <c r="V50" i="27" s="1"/>
  <c r="V51" i="27" s="1"/>
  <c r="V52" i="27" s="1"/>
  <c r="V53" i="27" s="1"/>
  <c r="V54" i="27" s="1"/>
  <c r="V55" i="27" s="1"/>
  <c r="V56" i="27" s="1"/>
  <c r="V57" i="27" s="1"/>
  <c r="W21" i="27" s="1"/>
  <c r="W20" i="27"/>
  <c r="W19" i="27"/>
  <c r="AR59" i="27"/>
  <c r="O2" i="27" a="1"/>
  <c r="O2" i="27" s="1"/>
  <c r="AN18" i="27"/>
  <c r="AN19" i="27" s="1"/>
  <c r="AN20" i="27" s="1"/>
  <c r="AN21" i="27" s="1"/>
  <c r="AN22" i="27" s="1"/>
  <c r="AN23" i="27" s="1"/>
  <c r="AN24" i="27" s="1"/>
  <c r="AN25" i="27" s="1"/>
  <c r="AN26" i="27" s="1"/>
  <c r="AN27" i="27" s="1"/>
  <c r="AD2" i="27" a="1"/>
  <c r="AD2" i="27" s="1"/>
  <c r="S20" i="27"/>
  <c r="AR61" i="27"/>
  <c r="AR60" i="27"/>
  <c r="AG2" i="27" a="1"/>
  <c r="AG2" i="27" s="1"/>
  <c r="Y59" i="27"/>
  <c r="Z61" i="27" s="1"/>
  <c r="AK59" i="27"/>
  <c r="AL62" i="27" s="1"/>
  <c r="AH59" i="27"/>
  <c r="AI60" i="27" s="1"/>
  <c r="AI58" i="27"/>
  <c r="K10" i="27"/>
  <c r="K7" i="27"/>
  <c r="K20" i="27"/>
  <c r="K19" i="27"/>
  <c r="K18" i="27"/>
  <c r="K22" i="27"/>
  <c r="K16" i="27"/>
  <c r="K8" i="27"/>
  <c r="K13" i="27"/>
  <c r="K9" i="27"/>
  <c r="K17" i="27"/>
  <c r="K14" i="27"/>
  <c r="K5" i="27"/>
  <c r="K11" i="27"/>
  <c r="K21" i="27"/>
  <c r="K15" i="27"/>
  <c r="K3" i="27"/>
  <c r="K6" i="27"/>
  <c r="K4" i="27"/>
  <c r="D15" i="27"/>
  <c r="Z58" i="27"/>
  <c r="AL58" i="27"/>
  <c r="A17" i="27"/>
  <c r="AA5" i="23"/>
  <c r="AA7" i="23"/>
  <c r="P20" i="27" l="1"/>
  <c r="Q10" i="27"/>
  <c r="Q11" i="27"/>
  <c r="W28" i="27"/>
  <c r="W36" i="27"/>
  <c r="W45" i="27"/>
  <c r="W34" i="27"/>
  <c r="W31" i="27"/>
  <c r="W33" i="27"/>
  <c r="W37" i="27"/>
  <c r="W41" i="27"/>
  <c r="W32" i="27"/>
  <c r="W47" i="27"/>
  <c r="W29" i="27"/>
  <c r="W30" i="27"/>
  <c r="W48" i="27"/>
  <c r="W43" i="27"/>
  <c r="W53" i="27"/>
  <c r="W46" i="27"/>
  <c r="W35" i="27"/>
  <c r="W44" i="27"/>
  <c r="W42" i="27"/>
  <c r="W40" i="27"/>
  <c r="W55" i="27"/>
  <c r="W56" i="27"/>
  <c r="W52" i="27"/>
  <c r="W50" i="27"/>
  <c r="W38" i="27"/>
  <c r="W49" i="27"/>
  <c r="W54" i="27"/>
  <c r="W39" i="27"/>
  <c r="W51" i="27"/>
  <c r="V58" i="27"/>
  <c r="V59" i="27" s="1"/>
  <c r="W57" i="27"/>
  <c r="AO26" i="27"/>
  <c r="AN28" i="27"/>
  <c r="AN29" i="27" s="1"/>
  <c r="AN30" i="27" s="1"/>
  <c r="AN31" i="27" s="1"/>
  <c r="AN32" i="27" s="1"/>
  <c r="AN33" i="27" s="1"/>
  <c r="AN34" i="27" s="1"/>
  <c r="AN35" i="27" s="1"/>
  <c r="AN36" i="27" s="1"/>
  <c r="AN37" i="27" s="1"/>
  <c r="AN38" i="27" s="1"/>
  <c r="AN39" i="27" s="1"/>
  <c r="AN40" i="27" s="1"/>
  <c r="AN41" i="27" s="1"/>
  <c r="AN42" i="27" s="1"/>
  <c r="AN43" i="27" s="1"/>
  <c r="AN44" i="27" s="1"/>
  <c r="AN45" i="27" s="1"/>
  <c r="AN46" i="27" s="1"/>
  <c r="AN47" i="27" s="1"/>
  <c r="AN48" i="27" s="1"/>
  <c r="AN49" i="27" s="1"/>
  <c r="AN50" i="27" s="1"/>
  <c r="AN51" i="27" s="1"/>
  <c r="AN52" i="27" s="1"/>
  <c r="AN53" i="27" s="1"/>
  <c r="AN54" i="27" s="1"/>
  <c r="AN55" i="27" s="1"/>
  <c r="AN56" i="27" s="1"/>
  <c r="AN57" i="27" s="1"/>
  <c r="AO45" i="27" s="1"/>
  <c r="AO25" i="27"/>
  <c r="AO27" i="27"/>
  <c r="AO21" i="27"/>
  <c r="AO23" i="27"/>
  <c r="AO19" i="27"/>
  <c r="AO18" i="27"/>
  <c r="AO24" i="27"/>
  <c r="AO22" i="27"/>
  <c r="AO20" i="27"/>
  <c r="S21" i="27"/>
  <c r="AS2" i="27" a="1"/>
  <c r="AS2" i="27" s="1"/>
  <c r="AL60" i="27"/>
  <c r="AL59" i="27"/>
  <c r="Z60" i="27"/>
  <c r="Z59" i="27"/>
  <c r="Z62" i="27"/>
  <c r="AI62" i="27"/>
  <c r="AI59" i="27"/>
  <c r="AL61" i="27"/>
  <c r="AI61" i="27"/>
  <c r="D16" i="27"/>
  <c r="A18" i="27"/>
  <c r="A19" i="27" s="1"/>
  <c r="F7" i="23"/>
  <c r="J7" i="23"/>
  <c r="H7" i="23"/>
  <c r="U13" i="23"/>
  <c r="AB13" i="23" s="1"/>
  <c r="AB5" i="23"/>
  <c r="AB11" i="23"/>
  <c r="P21" i="27" l="1"/>
  <c r="W62" i="27"/>
  <c r="W60" i="27"/>
  <c r="W58" i="27"/>
  <c r="W61" i="27"/>
  <c r="W59" i="27"/>
  <c r="AO39" i="27"/>
  <c r="AO31" i="27"/>
  <c r="AO29" i="27"/>
  <c r="AO40" i="27"/>
  <c r="AO38" i="27"/>
  <c r="AO34" i="27"/>
  <c r="AO28" i="27"/>
  <c r="AO50" i="27"/>
  <c r="AO56" i="27"/>
  <c r="AO54" i="27"/>
  <c r="AO35" i="27"/>
  <c r="AN58" i="27"/>
  <c r="AN59" i="27" s="1"/>
  <c r="AO59" i="27" s="1"/>
  <c r="AO30" i="27"/>
  <c r="AO41" i="27"/>
  <c r="AO33" i="27"/>
  <c r="AO51" i="27"/>
  <c r="AO48" i="27"/>
  <c r="AO57" i="27"/>
  <c r="AO52" i="27"/>
  <c r="AO43" i="27"/>
  <c r="AO47" i="27"/>
  <c r="AO46" i="27"/>
  <c r="AO55" i="27"/>
  <c r="AO44" i="27"/>
  <c r="AO37" i="27"/>
  <c r="AO32" i="27"/>
  <c r="AO49" i="27"/>
  <c r="AO42" i="27"/>
  <c r="AO36" i="27"/>
  <c r="AO53" i="27"/>
  <c r="AA2" i="27" a="1"/>
  <c r="AA2" i="27" s="1"/>
  <c r="S22" i="27"/>
  <c r="AM2" i="27" a="1"/>
  <c r="AM2" i="27" s="1"/>
  <c r="AJ2" i="27" a="1"/>
  <c r="AJ2" i="27" s="1"/>
  <c r="D17" i="27"/>
  <c r="D18" i="27" s="1"/>
  <c r="D19" i="27" s="1"/>
  <c r="A20" i="27"/>
  <c r="E2" i="26"/>
  <c r="P22" i="27" l="1"/>
  <c r="Q12" i="27"/>
  <c r="X2" i="27" a="1"/>
  <c r="X2" i="27" s="1"/>
  <c r="AO58" i="27"/>
  <c r="S23" i="27"/>
  <c r="AO62" i="27"/>
  <c r="AO60" i="27"/>
  <c r="AO61" i="27"/>
  <c r="D20" i="27"/>
  <c r="A21" i="27"/>
  <c r="E5" i="26"/>
  <c r="E6" i="26"/>
  <c r="E9" i="26"/>
  <c r="E12" i="26"/>
  <c r="E4" i="26"/>
  <c r="E14" i="26"/>
  <c r="E15" i="26"/>
  <c r="E7" i="26"/>
  <c r="E13" i="26"/>
  <c r="E10" i="26"/>
  <c r="E53" i="26"/>
  <c r="E11" i="26"/>
  <c r="E3" i="26"/>
  <c r="E8" i="26"/>
  <c r="E32" i="26"/>
  <c r="E26" i="26"/>
  <c r="E59" i="26"/>
  <c r="E34" i="26"/>
  <c r="E69" i="26"/>
  <c r="E41" i="26"/>
  <c r="E16" i="26"/>
  <c r="E29" i="26"/>
  <c r="E33" i="26"/>
  <c r="E71" i="26"/>
  <c r="E28" i="26"/>
  <c r="E55" i="26"/>
  <c r="E48" i="26"/>
  <c r="E82" i="26"/>
  <c r="E23" i="26"/>
  <c r="E81" i="26"/>
  <c r="E17" i="26"/>
  <c r="E36" i="26"/>
  <c r="E37" i="26"/>
  <c r="E30" i="26"/>
  <c r="E63" i="26"/>
  <c r="E47" i="26"/>
  <c r="E65" i="26"/>
  <c r="E46" i="26"/>
  <c r="E54" i="26"/>
  <c r="E18" i="26"/>
  <c r="E21" i="26"/>
  <c r="E61" i="26"/>
  <c r="E51" i="26"/>
  <c r="E40" i="26"/>
  <c r="E24" i="26"/>
  <c r="E42" i="26"/>
  <c r="E19" i="26"/>
  <c r="E22" i="26"/>
  <c r="E38" i="26"/>
  <c r="E56" i="26"/>
  <c r="E20" i="26"/>
  <c r="E72" i="26"/>
  <c r="E66" i="26"/>
  <c r="E77" i="26"/>
  <c r="E57" i="26"/>
  <c r="E58" i="26"/>
  <c r="E39" i="26"/>
  <c r="E50" i="26"/>
  <c r="E74" i="26"/>
  <c r="E49" i="26"/>
  <c r="E52" i="26"/>
  <c r="E31" i="26"/>
  <c r="E27" i="26"/>
  <c r="E68" i="26"/>
  <c r="E80" i="26"/>
  <c r="E83" i="26"/>
  <c r="E44" i="26"/>
  <c r="E62" i="26"/>
  <c r="E70" i="26"/>
  <c r="E43" i="26"/>
  <c r="E78" i="26"/>
  <c r="E79" i="26"/>
  <c r="E64" i="26"/>
  <c r="E60" i="26"/>
  <c r="E84" i="26"/>
  <c r="E45" i="26"/>
  <c r="E35" i="26"/>
  <c r="E25" i="26"/>
  <c r="E75" i="26"/>
  <c r="E86" i="26"/>
  <c r="E87" i="26"/>
  <c r="E85" i="26"/>
  <c r="E73" i="26"/>
  <c r="E67" i="26"/>
  <c r="E76" i="26"/>
  <c r="E88" i="26"/>
  <c r="E281" i="26"/>
  <c r="E572" i="26"/>
  <c r="E302" i="26"/>
  <c r="E578" i="26"/>
  <c r="E373" i="26"/>
  <c r="E203" i="26"/>
  <c r="E198" i="26"/>
  <c r="E202" i="26"/>
  <c r="E576" i="26"/>
  <c r="E531" i="26"/>
  <c r="E592" i="26"/>
  <c r="E357" i="26"/>
  <c r="E434" i="26"/>
  <c r="E269" i="26"/>
  <c r="E398" i="26"/>
  <c r="E92" i="26"/>
  <c r="E256" i="26"/>
  <c r="E482" i="26"/>
  <c r="E318" i="26"/>
  <c r="E472" i="26"/>
  <c r="E546" i="26"/>
  <c r="E327" i="26"/>
  <c r="E453" i="26"/>
  <c r="E508" i="26"/>
  <c r="E141" i="26"/>
  <c r="E297" i="26"/>
  <c r="E317" i="26"/>
  <c r="E527" i="26"/>
  <c r="E346" i="26"/>
  <c r="E563" i="26"/>
  <c r="E495" i="26"/>
  <c r="E491" i="26"/>
  <c r="E268" i="26"/>
  <c r="E238" i="26"/>
  <c r="E528" i="26"/>
  <c r="E585" i="26"/>
  <c r="E132" i="26"/>
  <c r="E489" i="26"/>
  <c r="E470" i="26"/>
  <c r="E110" i="26"/>
  <c r="E426" i="26"/>
  <c r="E591" i="26"/>
  <c r="E217" i="26"/>
  <c r="E532" i="26"/>
  <c r="E497" i="26"/>
  <c r="E315" i="26"/>
  <c r="E440" i="26"/>
  <c r="E270" i="26"/>
  <c r="E400" i="26"/>
  <c r="E112" i="26"/>
  <c r="E98" i="26"/>
  <c r="E441" i="26"/>
  <c r="E254" i="26"/>
  <c r="E542" i="26"/>
  <c r="E146" i="26"/>
  <c r="E539" i="26"/>
  <c r="E97" i="26"/>
  <c r="E193" i="26"/>
  <c r="E188" i="26"/>
  <c r="E390" i="26"/>
  <c r="E150" i="26"/>
  <c r="E363" i="26"/>
  <c r="E90" i="26"/>
  <c r="E418" i="26"/>
  <c r="E258" i="26"/>
  <c r="E454" i="26"/>
  <c r="E355" i="26"/>
  <c r="E447" i="26"/>
  <c r="E336" i="26"/>
  <c r="E157" i="26"/>
  <c r="E153" i="26"/>
  <c r="E448" i="26"/>
  <c r="E293" i="26"/>
  <c r="E366" i="26"/>
  <c r="E227" i="26"/>
  <c r="E289" i="26"/>
  <c r="E590" i="26"/>
  <c r="E179" i="26"/>
  <c r="E168" i="26"/>
  <c r="E463" i="26"/>
  <c r="E383" i="26"/>
  <c r="E604" i="26"/>
  <c r="E285" i="26"/>
  <c r="E263" i="26"/>
  <c r="E183" i="26"/>
  <c r="E301" i="26"/>
  <c r="E277" i="26"/>
  <c r="E479" i="26"/>
  <c r="E549" i="26"/>
  <c r="E108" i="26"/>
  <c r="E160" i="26"/>
  <c r="E172" i="26"/>
  <c r="E171" i="26"/>
  <c r="E584" i="26"/>
  <c r="E442" i="26"/>
  <c r="E140" i="26"/>
  <c r="E534" i="26"/>
  <c r="E458" i="26"/>
  <c r="E457" i="26"/>
  <c r="E139" i="26"/>
  <c r="E413" i="26"/>
  <c r="E406" i="26"/>
  <c r="E376" i="26"/>
  <c r="E152" i="26"/>
  <c r="E410" i="26"/>
  <c r="E282" i="26"/>
  <c r="E208" i="26"/>
  <c r="E295" i="26"/>
  <c r="E299" i="26"/>
  <c r="E201" i="26"/>
  <c r="E557" i="26"/>
  <c r="E428" i="26"/>
  <c r="E353" i="26"/>
  <c r="E136" i="26"/>
  <c r="E144" i="26"/>
  <c r="E186" i="26"/>
  <c r="E313" i="26"/>
  <c r="E598" i="26"/>
  <c r="E537" i="26"/>
  <c r="E162" i="26"/>
  <c r="E163" i="26"/>
  <c r="E257" i="26"/>
  <c r="E273" i="26"/>
  <c r="E408" i="26"/>
  <c r="E114" i="26"/>
  <c r="E252" i="26"/>
  <c r="E573" i="26"/>
  <c r="E298" i="26"/>
  <c r="E330" i="26"/>
  <c r="E524" i="26"/>
  <c r="E506" i="26"/>
  <c r="E587" i="26"/>
  <c r="E276" i="26"/>
  <c r="E509" i="26"/>
  <c r="E319" i="26"/>
  <c r="E519" i="26"/>
  <c r="E371" i="26"/>
  <c r="E229" i="26"/>
  <c r="E364" i="26"/>
  <c r="E106" i="26"/>
  <c r="E292" i="26"/>
  <c r="E349" i="26"/>
  <c r="E138" i="26"/>
  <c r="E135" i="26"/>
  <c r="E247" i="26"/>
  <c r="E477" i="26"/>
  <c r="E165" i="26"/>
  <c r="E465" i="26"/>
  <c r="E275" i="26"/>
  <c r="E224" i="26"/>
  <c r="E303" i="26"/>
  <c r="E95" i="26"/>
  <c r="E374" i="26"/>
  <c r="E395" i="26"/>
  <c r="E486" i="26"/>
  <c r="E161" i="26"/>
  <c r="E603" i="26"/>
  <c r="E233" i="26"/>
  <c r="E555" i="26"/>
  <c r="E505" i="26"/>
  <c r="E354" i="26"/>
  <c r="E324" i="26"/>
  <c r="E547" i="26"/>
  <c r="E143" i="26"/>
  <c r="E369" i="26"/>
  <c r="E575" i="26"/>
  <c r="E278" i="26"/>
  <c r="E507" i="26"/>
  <c r="E215" i="26"/>
  <c r="E596" i="26"/>
  <c r="E468" i="26"/>
  <c r="E379" i="26"/>
  <c r="E478" i="26"/>
  <c r="E382" i="26"/>
  <c r="E255" i="26"/>
  <c r="E405" i="26"/>
  <c r="E101" i="26"/>
  <c r="E339" i="26"/>
  <c r="E431" i="26"/>
  <c r="E307" i="26"/>
  <c r="E99" i="26"/>
  <c r="E280" i="26"/>
  <c r="E158" i="26"/>
  <c r="E522" i="26"/>
  <c r="E226" i="26"/>
  <c r="E419" i="26"/>
  <c r="E464" i="26"/>
  <c r="E504" i="26"/>
  <c r="E296" i="26"/>
  <c r="E533" i="26"/>
  <c r="E450" i="26"/>
  <c r="E378" i="26"/>
  <c r="E511" i="26"/>
  <c r="E104" i="26"/>
  <c r="E154" i="26"/>
  <c r="E581" i="26"/>
  <c r="E548" i="26"/>
  <c r="E365" i="26"/>
  <c r="E109" i="26"/>
  <c r="E502" i="26"/>
  <c r="E260" i="26"/>
  <c r="E574" i="26"/>
  <c r="E540" i="26"/>
  <c r="E316" i="26"/>
  <c r="E306" i="26"/>
  <c r="E568" i="26"/>
  <c r="E267" i="26"/>
  <c r="E206" i="26"/>
  <c r="E552" i="26"/>
  <c r="E526" i="26"/>
  <c r="E335" i="26"/>
  <c r="E181" i="26"/>
  <c r="E287" i="26"/>
  <c r="E559" i="26"/>
  <c r="E389" i="26"/>
  <c r="E333" i="26"/>
  <c r="E570" i="26"/>
  <c r="E166" i="26"/>
  <c r="E597" i="26"/>
  <c r="E370" i="26"/>
  <c r="E347" i="26"/>
  <c r="E583" i="26"/>
  <c r="E262" i="26"/>
  <c r="E518" i="26"/>
  <c r="E340" i="26"/>
  <c r="E124" i="26"/>
  <c r="E123" i="26"/>
  <c r="E133" i="26"/>
  <c r="E550" i="26"/>
  <c r="E170" i="26"/>
  <c r="E445" i="26"/>
  <c r="E475" i="26"/>
  <c r="E156" i="26"/>
  <c r="E331" i="26"/>
  <c r="E241" i="26"/>
  <c r="E209" i="26"/>
  <c r="E471" i="26"/>
  <c r="E207" i="26"/>
  <c r="E155" i="26"/>
  <c r="E137" i="26"/>
  <c r="E235" i="26"/>
  <c r="E259" i="26"/>
  <c r="E111" i="26"/>
  <c r="E322" i="26"/>
  <c r="E118" i="26"/>
  <c r="E359" i="26"/>
  <c r="E351" i="26"/>
  <c r="E594" i="26"/>
  <c r="E439" i="26"/>
  <c r="E520" i="26"/>
  <c r="E314" i="26"/>
  <c r="E264" i="26"/>
  <c r="E195" i="26"/>
  <c r="E237" i="26"/>
  <c r="E399" i="26"/>
  <c r="E341" i="26"/>
  <c r="E449" i="26"/>
  <c r="E125" i="26"/>
  <c r="E430" i="26"/>
  <c r="E147" i="26"/>
  <c r="E127" i="26"/>
  <c r="E180" i="26"/>
  <c r="E174" i="26"/>
  <c r="E128" i="26"/>
  <c r="E421" i="26"/>
  <c r="E244" i="26"/>
  <c r="E554" i="26"/>
  <c r="E119" i="26"/>
  <c r="E432" i="26"/>
  <c r="E321" i="26"/>
  <c r="E312" i="26"/>
  <c r="E498" i="26"/>
  <c r="E91" i="26"/>
  <c r="E586" i="26"/>
  <c r="E411" i="26"/>
  <c r="E513" i="26"/>
  <c r="E485" i="26"/>
  <c r="E225" i="26"/>
  <c r="E577" i="26"/>
  <c r="E100" i="26"/>
  <c r="E602" i="26"/>
  <c r="E197" i="26"/>
  <c r="E499" i="26"/>
  <c r="E415" i="26"/>
  <c r="E484" i="26"/>
  <c r="E261" i="26"/>
  <c r="E221" i="26"/>
  <c r="E416" i="26"/>
  <c r="E102" i="26"/>
  <c r="E553" i="26"/>
  <c r="E232" i="26"/>
  <c r="E337" i="26"/>
  <c r="E240" i="26"/>
  <c r="E362" i="26"/>
  <c r="E345" i="26"/>
  <c r="E483" i="26"/>
  <c r="E228" i="26"/>
  <c r="E178" i="26"/>
  <c r="E492" i="26"/>
  <c r="E234" i="26"/>
  <c r="E469" i="26"/>
  <c r="E96" i="26"/>
  <c r="E239" i="26"/>
  <c r="E126" i="26"/>
  <c r="E488" i="26"/>
  <c r="E515" i="26"/>
  <c r="E222" i="26"/>
  <c r="E130" i="26"/>
  <c r="E328" i="26"/>
  <c r="E103" i="26"/>
  <c r="E192" i="26"/>
  <c r="E391" i="26"/>
  <c r="E251" i="26"/>
  <c r="E145" i="26"/>
  <c r="E565" i="26"/>
  <c r="E290" i="26"/>
  <c r="E564" i="26"/>
  <c r="E131" i="26"/>
  <c r="E558" i="26"/>
  <c r="E474" i="26"/>
  <c r="E189" i="26"/>
  <c r="E462" i="26"/>
  <c r="E250" i="26"/>
  <c r="E459" i="26"/>
  <c r="E334" i="26"/>
  <c r="E253" i="26"/>
  <c r="E535" i="26"/>
  <c r="E342" i="26"/>
  <c r="E223" i="26"/>
  <c r="E213" i="26"/>
  <c r="E199" i="26"/>
  <c r="E551" i="26"/>
  <c r="E372" i="26"/>
  <c r="E529" i="26"/>
  <c r="E561" i="26"/>
  <c r="E344" i="26"/>
  <c r="E325" i="26"/>
  <c r="E523" i="26"/>
  <c r="E196" i="26"/>
  <c r="E566" i="26"/>
  <c r="E420" i="26"/>
  <c r="E283" i="26"/>
  <c r="E348" i="26"/>
  <c r="E417" i="26"/>
  <c r="E367" i="26"/>
  <c r="E93" i="26"/>
  <c r="E503" i="26"/>
  <c r="E218" i="26"/>
  <c r="E455" i="26"/>
  <c r="E560" i="26"/>
  <c r="E451" i="26"/>
  <c r="E190" i="26"/>
  <c r="E343" i="26"/>
  <c r="E230" i="26"/>
  <c r="E438" i="26"/>
  <c r="E89" i="26"/>
  <c r="E466" i="26"/>
  <c r="E311" i="26"/>
  <c r="E121" i="26"/>
  <c r="E304" i="26"/>
  <c r="E429" i="26"/>
  <c r="E194" i="26"/>
  <c r="E356" i="26"/>
  <c r="E490" i="26"/>
  <c r="E493" i="26"/>
  <c r="E595" i="26"/>
  <c r="E310" i="26"/>
  <c r="E427" i="26"/>
  <c r="E107" i="26"/>
  <c r="E424" i="26"/>
  <c r="E176" i="26"/>
  <c r="E494" i="26"/>
  <c r="E571" i="26"/>
  <c r="E265" i="26"/>
  <c r="E129" i="26"/>
  <c r="E350" i="26"/>
  <c r="E545" i="26"/>
  <c r="E116" i="26"/>
  <c r="E396" i="26"/>
  <c r="E271" i="26"/>
  <c r="E94" i="26"/>
  <c r="E286" i="26"/>
  <c r="E409" i="26"/>
  <c r="E294" i="26"/>
  <c r="E300" i="26"/>
  <c r="E184" i="26"/>
  <c r="E177" i="26"/>
  <c r="E185" i="26"/>
  <c r="E501" i="26"/>
  <c r="E516" i="26"/>
  <c r="E326" i="26"/>
  <c r="E423" i="26"/>
  <c r="E210" i="26"/>
  <c r="E407" i="26"/>
  <c r="E435" i="26"/>
  <c r="E246" i="26"/>
  <c r="E456" i="26"/>
  <c r="E517" i="26"/>
  <c r="E512" i="26"/>
  <c r="E105" i="26"/>
  <c r="E305" i="26"/>
  <c r="E443" i="26"/>
  <c r="E117" i="26"/>
  <c r="E600" i="26"/>
  <c r="E530" i="26"/>
  <c r="E403" i="26"/>
  <c r="E329" i="26"/>
  <c r="E205" i="26"/>
  <c r="E452" i="26"/>
  <c r="E243" i="26"/>
  <c r="E115" i="26"/>
  <c r="E113" i="26"/>
  <c r="E444" i="26"/>
  <c r="E589" i="26"/>
  <c r="E381" i="26"/>
  <c r="E569" i="26"/>
  <c r="E377" i="26"/>
  <c r="E375" i="26"/>
  <c r="E245" i="26"/>
  <c r="E580" i="26"/>
  <c r="E414" i="26"/>
  <c r="E446" i="26"/>
  <c r="E358" i="26"/>
  <c r="E461" i="26"/>
  <c r="E149" i="26"/>
  <c r="E361" i="26"/>
  <c r="E579" i="26"/>
  <c r="E272" i="26"/>
  <c r="E525" i="26"/>
  <c r="E236" i="26"/>
  <c r="E460" i="26"/>
  <c r="E394" i="26"/>
  <c r="E120" i="26"/>
  <c r="E191" i="26"/>
  <c r="E231" i="26"/>
  <c r="E473" i="26"/>
  <c r="E481" i="26"/>
  <c r="E308" i="26"/>
  <c r="E480" i="26"/>
  <c r="E169" i="26"/>
  <c r="E467" i="26"/>
  <c r="E544" i="26"/>
  <c r="E200" i="26"/>
  <c r="E543" i="26"/>
  <c r="E148" i="26"/>
  <c r="E556" i="26"/>
  <c r="E437" i="26"/>
  <c r="E510" i="26"/>
  <c r="E248" i="26"/>
  <c r="E284" i="26"/>
  <c r="E541" i="26"/>
  <c r="E323" i="26"/>
  <c r="E384" i="26"/>
  <c r="E582" i="26"/>
  <c r="E219" i="26"/>
  <c r="E425" i="26"/>
  <c r="E134" i="26"/>
  <c r="E159" i="26"/>
  <c r="E397" i="26"/>
  <c r="E164" i="26"/>
  <c r="E368" i="26"/>
  <c r="E182" i="26"/>
  <c r="E404" i="26"/>
  <c r="E567" i="26"/>
  <c r="E216" i="26"/>
  <c r="E266" i="26"/>
  <c r="E593" i="26"/>
  <c r="E338" i="26"/>
  <c r="E279" i="26"/>
  <c r="E249" i="26"/>
  <c r="E352" i="26"/>
  <c r="E388" i="26"/>
  <c r="E211" i="26"/>
  <c r="E496" i="26"/>
  <c r="E538" i="26"/>
  <c r="E422" i="26"/>
  <c r="E320" i="26"/>
  <c r="E401" i="26"/>
  <c r="E599" i="26"/>
  <c r="E487" i="26"/>
  <c r="E288" i="26"/>
  <c r="E380" i="26"/>
  <c r="E220" i="26"/>
  <c r="E601" i="26"/>
  <c r="E291" i="26"/>
  <c r="E402" i="26"/>
  <c r="E212" i="26"/>
  <c r="E332" i="26"/>
  <c r="E214" i="26"/>
  <c r="E309" i="26"/>
  <c r="E514" i="26"/>
  <c r="E386" i="26"/>
  <c r="E536" i="26"/>
  <c r="E436" i="26"/>
  <c r="E521" i="26"/>
  <c r="E204" i="26"/>
  <c r="E175" i="26"/>
  <c r="E393" i="26"/>
  <c r="E500" i="26"/>
  <c r="E360" i="26"/>
  <c r="E242" i="26"/>
  <c r="E385" i="26"/>
  <c r="E187" i="26"/>
  <c r="E562" i="26"/>
  <c r="E412" i="26"/>
  <c r="E588" i="26"/>
  <c r="E122" i="26"/>
  <c r="E173" i="26"/>
  <c r="E476" i="26"/>
  <c r="E167" i="26"/>
  <c r="E142" i="26"/>
  <c r="E274" i="26"/>
  <c r="E433" i="26"/>
  <c r="E387" i="26"/>
  <c r="E151" i="26"/>
  <c r="E392" i="26"/>
  <c r="P23" i="27" l="1"/>
  <c r="S24" i="27"/>
  <c r="AP2" i="27" a="1"/>
  <c r="AP2" i="27" s="1"/>
  <c r="D21" i="27"/>
  <c r="A22" i="27"/>
  <c r="AN11" i="23"/>
  <c r="CG45" i="23" a="1"/>
  <c r="CG45" i="23" s="1"/>
  <c r="P24" i="27" l="1"/>
  <c r="S25" i="27"/>
  <c r="D22" i="27"/>
  <c r="A23" i="27"/>
  <c r="P25" i="27" l="1"/>
  <c r="S26" i="27"/>
  <c r="D23" i="27"/>
  <c r="A24" i="27"/>
  <c r="A25" i="27" s="1"/>
  <c r="A26" i="27" s="1"/>
  <c r="A27" i="27" s="1"/>
  <c r="P26" i="27" l="1"/>
  <c r="S27" i="27"/>
  <c r="D24" i="27"/>
  <c r="A28" i="27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P27" i="27" l="1"/>
  <c r="P28" i="27" s="1"/>
  <c r="P29" i="27" s="1"/>
  <c r="P30" i="27" s="1"/>
  <c r="P31" i="27" s="1"/>
  <c r="P32" i="27" s="1"/>
  <c r="P33" i="27" s="1"/>
  <c r="S28" i="27"/>
  <c r="S29" i="27" s="1"/>
  <c r="S30" i="27" s="1"/>
  <c r="S31" i="27" s="1"/>
  <c r="S32" i="27" s="1"/>
  <c r="S33" i="27" s="1"/>
  <c r="S34" i="27" s="1"/>
  <c r="S35" i="27" s="1"/>
  <c r="S36" i="27" s="1"/>
  <c r="S37" i="27" s="1"/>
  <c r="S38" i="27" s="1"/>
  <c r="S39" i="27" s="1"/>
  <c r="S40" i="27" s="1"/>
  <c r="S41" i="27" s="1"/>
  <c r="S42" i="27" s="1"/>
  <c r="S43" i="27" s="1"/>
  <c r="S44" i="27" s="1"/>
  <c r="S45" i="27" s="1"/>
  <c r="S46" i="27" s="1"/>
  <c r="S47" i="27" s="1"/>
  <c r="S48" i="27" s="1"/>
  <c r="S49" i="27" s="1"/>
  <c r="S50" i="27" s="1"/>
  <c r="S51" i="27" s="1"/>
  <c r="S52" i="27" s="1"/>
  <c r="S53" i="27" s="1"/>
  <c r="S54" i="27" s="1"/>
  <c r="S55" i="27" s="1"/>
  <c r="S56" i="27" s="1"/>
  <c r="S57" i="27" s="1"/>
  <c r="D25" i="27"/>
  <c r="A58" i="27"/>
  <c r="P34" i="27" l="1"/>
  <c r="P35" i="27" s="1"/>
  <c r="P36" i="27" s="1"/>
  <c r="S58" i="27"/>
  <c r="S59" i="27" s="1"/>
  <c r="A59" i="27"/>
  <c r="D26" i="27"/>
  <c r="B62" i="27" l="1"/>
  <c r="B2" i="27"/>
  <c r="P37" i="27"/>
  <c r="P38" i="27" s="1"/>
  <c r="T29" i="27"/>
  <c r="T40" i="27"/>
  <c r="T36" i="27"/>
  <c r="T28" i="27"/>
  <c r="T35" i="27"/>
  <c r="T43" i="27"/>
  <c r="T46" i="27"/>
  <c r="T27" i="27"/>
  <c r="T42" i="27"/>
  <c r="T38" i="27"/>
  <c r="T26" i="27"/>
  <c r="T2" i="27"/>
  <c r="T3" i="27"/>
  <c r="T8" i="27"/>
  <c r="T9" i="27"/>
  <c r="T37" i="27"/>
  <c r="T24" i="27"/>
  <c r="T45" i="27"/>
  <c r="T47" i="27"/>
  <c r="T31" i="27"/>
  <c r="T32" i="27"/>
  <c r="T25" i="27"/>
  <c r="T33" i="27"/>
  <c r="T39" i="27"/>
  <c r="T34" i="27"/>
  <c r="T30" i="27"/>
  <c r="T44" i="27"/>
  <c r="T41" i="27"/>
  <c r="T53" i="27"/>
  <c r="T48" i="27"/>
  <c r="T61" i="27"/>
  <c r="T4" i="27"/>
  <c r="T7" i="27"/>
  <c r="T6" i="27"/>
  <c r="T5" i="27"/>
  <c r="T14" i="27"/>
  <c r="T12" i="27"/>
  <c r="T11" i="27"/>
  <c r="T10" i="27"/>
  <c r="T17" i="27"/>
  <c r="T13" i="27"/>
  <c r="T16" i="27"/>
  <c r="T15" i="27"/>
  <c r="T18" i="27"/>
  <c r="T19" i="27"/>
  <c r="T23" i="27"/>
  <c r="T20" i="27"/>
  <c r="T21" i="27"/>
  <c r="T22" i="27"/>
  <c r="T52" i="27"/>
  <c r="T56" i="27"/>
  <c r="T57" i="27"/>
  <c r="T51" i="27"/>
  <c r="T50" i="27"/>
  <c r="T49" i="27"/>
  <c r="T55" i="27"/>
  <c r="T54" i="27"/>
  <c r="B3" i="27"/>
  <c r="T60" i="27"/>
  <c r="T58" i="27"/>
  <c r="T59" i="27"/>
  <c r="T62" i="27"/>
  <c r="B26" i="27"/>
  <c r="B46" i="27"/>
  <c r="B4" i="27"/>
  <c r="B29" i="27"/>
  <c r="B17" i="27"/>
  <c r="B40" i="27"/>
  <c r="B21" i="27"/>
  <c r="B5" i="27"/>
  <c r="B33" i="27"/>
  <c r="B22" i="27"/>
  <c r="B10" i="27"/>
  <c r="B58" i="27"/>
  <c r="B37" i="27"/>
  <c r="B44" i="27"/>
  <c r="B12" i="27"/>
  <c r="B6" i="27"/>
  <c r="B50" i="27"/>
  <c r="B15" i="27"/>
  <c r="B55" i="27"/>
  <c r="B30" i="27"/>
  <c r="B13" i="27"/>
  <c r="B11" i="27"/>
  <c r="B35" i="27"/>
  <c r="B56" i="27"/>
  <c r="B14" i="27"/>
  <c r="B31" i="27"/>
  <c r="B43" i="27"/>
  <c r="B9" i="27"/>
  <c r="B53" i="27"/>
  <c r="B16" i="27"/>
  <c r="B38" i="27"/>
  <c r="B48" i="27"/>
  <c r="B34" i="27"/>
  <c r="B24" i="27"/>
  <c r="B51" i="27"/>
  <c r="B49" i="27"/>
  <c r="B52" i="27"/>
  <c r="B45" i="27"/>
  <c r="B47" i="27"/>
  <c r="B39" i="27"/>
  <c r="B23" i="27"/>
  <c r="B57" i="27"/>
  <c r="B25" i="27"/>
  <c r="B20" i="27"/>
  <c r="B32" i="27"/>
  <c r="B28" i="27"/>
  <c r="B41" i="27"/>
  <c r="B19" i="27"/>
  <c r="B7" i="27"/>
  <c r="B36" i="27"/>
  <c r="B8" i="27"/>
  <c r="B18" i="27"/>
  <c r="B27" i="27"/>
  <c r="B42" i="27"/>
  <c r="B54" i="27"/>
  <c r="B61" i="27"/>
  <c r="B60" i="27"/>
  <c r="B59" i="27"/>
  <c r="D27" i="27"/>
  <c r="P39" i="27" l="1"/>
  <c r="Q39" i="27" s="1"/>
  <c r="Q13" i="27"/>
  <c r="Q16" i="27"/>
  <c r="Q14" i="27"/>
  <c r="Q18" i="27"/>
  <c r="Q17" i="27"/>
  <c r="Q15" i="27"/>
  <c r="Q20" i="27"/>
  <c r="Q19" i="27"/>
  <c r="Q22" i="27"/>
  <c r="Q21" i="27"/>
  <c r="Q23" i="27"/>
  <c r="Q2" i="27"/>
  <c r="Q5" i="27"/>
  <c r="Q26" i="27"/>
  <c r="Q24" i="27"/>
  <c r="Q25" i="27"/>
  <c r="Q27" i="27"/>
  <c r="Q28" i="27"/>
  <c r="Q29" i="27"/>
  <c r="Q30" i="27"/>
  <c r="Q32" i="27"/>
  <c r="Q31" i="27"/>
  <c r="Q34" i="27"/>
  <c r="Q35" i="27"/>
  <c r="Q33" i="27"/>
  <c r="Q37" i="27"/>
  <c r="Q36" i="27"/>
  <c r="U2" i="27" a="1"/>
  <c r="U2" i="27" s="1"/>
  <c r="C2" i="27" a="1"/>
  <c r="C2" i="27" s="1"/>
  <c r="D28" i="27"/>
  <c r="P40" i="27" l="1"/>
  <c r="P41" i="27" s="1"/>
  <c r="D29" i="27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Q41" i="27" l="1"/>
  <c r="P42" i="27"/>
  <c r="Q40" i="27"/>
  <c r="D40" i="27"/>
  <c r="D41" i="27" s="1"/>
  <c r="Q42" i="27" l="1"/>
  <c r="P43" i="27"/>
  <c r="P44" i="27" s="1"/>
  <c r="P45" i="27" s="1"/>
  <c r="P46" i="27" s="1"/>
  <c r="P47" i="27" s="1"/>
  <c r="P48" i="27" s="1"/>
  <c r="P49" i="27" s="1"/>
  <c r="P50" i="27" s="1"/>
  <c r="P51" i="27" s="1"/>
  <c r="P52" i="27" s="1"/>
  <c r="P53" i="27" s="1"/>
  <c r="P54" i="27" s="1"/>
  <c r="P55" i="27" s="1"/>
  <c r="P56" i="27" s="1"/>
  <c r="P57" i="27" s="1"/>
  <c r="D42" i="27"/>
  <c r="P58" i="27" l="1"/>
  <c r="P59" i="27" s="1"/>
  <c r="Q62" i="27" s="1"/>
  <c r="Q50" i="27"/>
  <c r="Q49" i="27"/>
  <c r="Q43" i="27"/>
  <c r="Q52" i="27"/>
  <c r="Q45" i="27"/>
  <c r="Q51" i="27"/>
  <c r="Q47" i="27"/>
  <c r="Q46" i="27"/>
  <c r="Q48" i="27"/>
  <c r="Q56" i="27"/>
  <c r="Q54" i="27"/>
  <c r="Q57" i="27"/>
  <c r="Q53" i="27"/>
  <c r="Q44" i="27"/>
  <c r="D43" i="27"/>
  <c r="D44" i="27" s="1"/>
  <c r="Q58" i="27" l="1"/>
  <c r="Q59" i="27"/>
  <c r="Q61" i="27"/>
  <c r="Q38" i="27"/>
  <c r="Q60" i="27"/>
  <c r="Q55" i="27"/>
  <c r="D45" i="27"/>
  <c r="D46" i="27" s="1"/>
  <c r="D47" i="27" s="1"/>
  <c r="D48" i="27" s="1"/>
  <c r="R2" i="27" l="1" a="1"/>
  <c r="R2" i="27" s="1"/>
  <c r="D49" i="27"/>
  <c r="D50" i="27" s="1"/>
  <c r="D51" i="27" l="1"/>
  <c r="D52" i="27" l="1"/>
  <c r="D53" i="27" l="1"/>
  <c r="D54" i="27" l="1"/>
  <c r="D55" i="27" l="1"/>
  <c r="D56" i="27" l="1"/>
  <c r="D57" i="27" l="1"/>
  <c r="D58" i="27" s="1"/>
  <c r="D59" i="27" s="1"/>
  <c r="E2" i="27" l="1"/>
  <c r="E3" i="27"/>
  <c r="E8" i="27"/>
  <c r="E4" i="27"/>
  <c r="E7" i="27"/>
  <c r="E5" i="27"/>
  <c r="E6" i="27"/>
  <c r="E10" i="27"/>
  <c r="E9" i="27"/>
  <c r="H25" i="27"/>
  <c r="H46" i="27"/>
  <c r="H23" i="27"/>
  <c r="H31" i="27"/>
  <c r="H34" i="27"/>
  <c r="H60" i="27"/>
  <c r="H24" i="27"/>
  <c r="H53" i="27"/>
  <c r="H51" i="27"/>
  <c r="H42" i="27"/>
  <c r="H40" i="27"/>
  <c r="H47" i="27"/>
  <c r="H54" i="27"/>
  <c r="H57" i="27"/>
  <c r="H44" i="27"/>
  <c r="H56" i="27"/>
  <c r="H49" i="27"/>
  <c r="H29" i="27"/>
  <c r="H41" i="27"/>
  <c r="H39" i="27"/>
  <c r="H61" i="27"/>
  <c r="H59" i="27"/>
  <c r="H50" i="27"/>
  <c r="H52" i="27"/>
  <c r="H26" i="27"/>
  <c r="H38" i="27"/>
  <c r="H58" i="27"/>
  <c r="H36" i="27"/>
  <c r="H35" i="27"/>
  <c r="H45" i="27"/>
  <c r="H28" i="27"/>
  <c r="H27" i="27"/>
  <c r="H30" i="27"/>
  <c r="H43" i="27"/>
  <c r="H55" i="27"/>
  <c r="H48" i="27"/>
  <c r="H62" i="27"/>
  <c r="H33" i="27"/>
  <c r="H32" i="27"/>
  <c r="H37" i="27"/>
  <c r="K28" i="27"/>
  <c r="K40" i="27"/>
  <c r="K48" i="27"/>
  <c r="K62" i="27"/>
  <c r="K36" i="27"/>
  <c r="K35" i="27"/>
  <c r="K23" i="27"/>
  <c r="K52" i="27"/>
  <c r="K24" i="27"/>
  <c r="K60" i="27"/>
  <c r="K37" i="27"/>
  <c r="K38" i="27"/>
  <c r="K33" i="27"/>
  <c r="K26" i="27"/>
  <c r="K39" i="27"/>
  <c r="K27" i="27"/>
  <c r="K25" i="27"/>
  <c r="K57" i="27"/>
  <c r="K61" i="27"/>
  <c r="K30" i="27"/>
  <c r="K34" i="27"/>
  <c r="K29" i="27"/>
  <c r="K55" i="27"/>
  <c r="K47" i="27"/>
  <c r="K56" i="27"/>
  <c r="K32" i="27"/>
  <c r="K44" i="27"/>
  <c r="K41" i="27"/>
  <c r="K46" i="27"/>
  <c r="K49" i="27"/>
  <c r="K31" i="27"/>
  <c r="K51" i="27"/>
  <c r="K50" i="27"/>
  <c r="K45" i="27"/>
  <c r="K59" i="27"/>
  <c r="K53" i="27"/>
  <c r="K58" i="27"/>
  <c r="K42" i="27"/>
  <c r="K54" i="27"/>
  <c r="K43" i="27"/>
  <c r="E39" i="27"/>
  <c r="E56" i="27"/>
  <c r="E20" i="27"/>
  <c r="E11" i="27"/>
  <c r="E38" i="27"/>
  <c r="E31" i="27"/>
  <c r="E26" i="27"/>
  <c r="E27" i="27"/>
  <c r="E23" i="27"/>
  <c r="E62" i="27"/>
  <c r="E47" i="27"/>
  <c r="E14" i="27"/>
  <c r="E19" i="27"/>
  <c r="E33" i="27"/>
  <c r="E30" i="27"/>
  <c r="E46" i="27"/>
  <c r="E35" i="27"/>
  <c r="E32" i="27"/>
  <c r="E34" i="27"/>
  <c r="E13" i="27"/>
  <c r="E43" i="27"/>
  <c r="E15" i="27"/>
  <c r="E42" i="27"/>
  <c r="E21" i="27"/>
  <c r="E48" i="27"/>
  <c r="E58" i="27"/>
  <c r="E44" i="27"/>
  <c r="E24" i="27"/>
  <c r="E17" i="27"/>
  <c r="E59" i="27"/>
  <c r="E60" i="27"/>
  <c r="E41" i="27"/>
  <c r="E40" i="27"/>
  <c r="E54" i="27"/>
  <c r="E12" i="27"/>
  <c r="E52" i="27"/>
  <c r="E18" i="27"/>
  <c r="E51" i="27"/>
  <c r="E37" i="27"/>
  <c r="E29" i="27"/>
  <c r="E49" i="27"/>
  <c r="E36" i="27"/>
  <c r="E45" i="27"/>
  <c r="E57" i="27"/>
  <c r="E28" i="27"/>
  <c r="E22" i="27"/>
  <c r="E55" i="27"/>
  <c r="E50" i="27"/>
  <c r="E53" i="27"/>
  <c r="E16" i="27"/>
  <c r="E25" i="27"/>
  <c r="E61" i="27"/>
  <c r="I2" i="27" l="1" a="1"/>
  <c r="I2" i="27" s="1"/>
  <c r="F2" i="27" a="1"/>
  <c r="F2" i="27" s="1"/>
  <c r="L2" i="27" a="1"/>
  <c r="L2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NITTO-01</author>
  </authors>
  <commentList>
    <comment ref="S7" authorId="0" shapeId="0" xr:uid="{5C6C3C94-A10E-4553-B35E-E00427755196}">
      <text>
        <r>
          <rPr>
            <sz val="11"/>
            <color indexed="81"/>
            <rFont val="Tahoma"/>
            <family val="2"/>
          </rPr>
          <t>Type of Work:
Rework
Change standard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<sst xmlns="http://schemas.openxmlformats.org/spreadsheetml/2006/main" count="5674" uniqueCount="1559">
  <si>
    <t>Product code</t>
  </si>
  <si>
    <t>Month</t>
  </si>
  <si>
    <t>Total NG</t>
  </si>
  <si>
    <t>O-I</t>
  </si>
  <si>
    <t>Year</t>
  </si>
  <si>
    <t>Day</t>
  </si>
  <si>
    <t>Customer</t>
  </si>
  <si>
    <t>Product type</t>
  </si>
  <si>
    <t>Month-Year</t>
  </si>
  <si>
    <t>Total NG from machine</t>
  </si>
  <si>
    <t>Product Type</t>
  </si>
  <si>
    <t>Code</t>
  </si>
  <si>
    <t>MFG Date</t>
  </si>
  <si>
    <t>dd</t>
  </si>
  <si>
    <t>mm</t>
  </si>
  <si>
    <t>yyyy</t>
  </si>
  <si>
    <t>Register Date</t>
  </si>
  <si>
    <t>Content</t>
  </si>
  <si>
    <t>品番</t>
  </si>
  <si>
    <t>アイテムコード</t>
  </si>
  <si>
    <t>お客様</t>
  </si>
  <si>
    <t>TANSHI APPEARANCE CHECKSHEET</t>
  </si>
  <si>
    <t>Inputter</t>
  </si>
  <si>
    <t>MFG&amp;Code</t>
  </si>
  <si>
    <t>Machine type</t>
  </si>
  <si>
    <t>O-O</t>
  </si>
  <si>
    <t>Automatic</t>
  </si>
  <si>
    <t>Semi-Automatic</t>
  </si>
  <si>
    <t>Reason for machine</t>
  </si>
  <si>
    <t>Reason for Incoming material</t>
  </si>
  <si>
    <t>Rework</t>
  </si>
  <si>
    <t>Change Standard</t>
  </si>
  <si>
    <t>Note</t>
  </si>
  <si>
    <t>Weeknum</t>
  </si>
  <si>
    <t>137E100422</t>
  </si>
  <si>
    <t>0405569100/W5348MCP1C</t>
  </si>
  <si>
    <t>STANLEY</t>
  </si>
  <si>
    <t>137E100423</t>
  </si>
  <si>
    <t>1002404800/W5351MCP1C</t>
  </si>
  <si>
    <t>137E100415</t>
  </si>
  <si>
    <t>7063042700/W5350MCP1</t>
  </si>
  <si>
    <t>137E100416</t>
  </si>
  <si>
    <t>0528865700/W5350MCP2</t>
  </si>
  <si>
    <t>137E100444</t>
  </si>
  <si>
    <t>7063042700/W5350MCP1C</t>
  </si>
  <si>
    <t>137E100393</t>
  </si>
  <si>
    <t>2250354500W2966MCP1B-S</t>
  </si>
  <si>
    <t>137ES00178</t>
  </si>
  <si>
    <t>W2966MCP1Bｾｯﾍﾟﾝ-S ｼｻｸ</t>
  </si>
  <si>
    <t>137ES00165</t>
  </si>
  <si>
    <t>W2966MCP1B-S ｼｻｸ</t>
  </si>
  <si>
    <t>137ES00173</t>
  </si>
  <si>
    <t>W2966MCP1B-S ｸﾐﾀﾃ ｼｻｸ</t>
  </si>
  <si>
    <t>137E100247</t>
  </si>
  <si>
    <t>0590190101W2356MCP1B-S</t>
  </si>
  <si>
    <t>137E100373</t>
  </si>
  <si>
    <t>8642416901/W3049MCPD-S</t>
  </si>
  <si>
    <t>137E100447</t>
  </si>
  <si>
    <t>8119542000W2967MCP2B-S</t>
  </si>
  <si>
    <t>137ES00174</t>
  </si>
  <si>
    <t>W4043MCP1-M ｸﾐﾀﾃ ｼｻｸ</t>
  </si>
  <si>
    <t>137ES00177</t>
  </si>
  <si>
    <t>W4043MCP1-M SEMI ｼｻｸ</t>
  </si>
  <si>
    <t>137ES00175</t>
  </si>
  <si>
    <t>W4415-3 ｸﾐﾀﾃ ｼｻｸ</t>
  </si>
  <si>
    <t>137ES00176</t>
  </si>
  <si>
    <t>W4415MCP1C-M ｸﾐﾀﾃ ｼｻｸ</t>
  </si>
  <si>
    <t>131U100836</t>
  </si>
  <si>
    <t>TTR-40</t>
  </si>
  <si>
    <t>86P MIITSUAKI</t>
  </si>
  <si>
    <t>131U100858</t>
  </si>
  <si>
    <t>TTR-40-1-S</t>
  </si>
  <si>
    <t>139W100003</t>
  </si>
  <si>
    <t>M349400</t>
  </si>
  <si>
    <t>HATING</t>
  </si>
  <si>
    <t>139W100004</t>
  </si>
  <si>
    <t>M342496</t>
  </si>
  <si>
    <t>139W100005</t>
  </si>
  <si>
    <t xml:space="preserve">M342498-S </t>
  </si>
  <si>
    <t>139W100006</t>
  </si>
  <si>
    <t>M342499</t>
  </si>
  <si>
    <t>139W100001</t>
  </si>
  <si>
    <t>2M16882 3.5MM</t>
  </si>
  <si>
    <t>139W100002</t>
  </si>
  <si>
    <t>F127810-S</t>
  </si>
  <si>
    <t>HEIWA</t>
  </si>
  <si>
    <t>138M100016</t>
  </si>
  <si>
    <t>CCA18004=4-S</t>
  </si>
  <si>
    <t>134P100601</t>
  </si>
  <si>
    <t>CSA19003=4HIW-S</t>
  </si>
  <si>
    <t>134P100602</t>
  </si>
  <si>
    <t>CSA19004=5HIW-S</t>
  </si>
  <si>
    <t>134P100603</t>
  </si>
  <si>
    <t>CSA19008=5HIW-S</t>
  </si>
  <si>
    <t>134P100604</t>
  </si>
  <si>
    <t>CSA19009=4HIW-S</t>
  </si>
  <si>
    <t>134P100621</t>
  </si>
  <si>
    <t>CSB15153=3HIW-S</t>
  </si>
  <si>
    <t>134P100622</t>
  </si>
  <si>
    <t>CSB15154=3HIW-S</t>
  </si>
  <si>
    <t>137Q100104</t>
  </si>
  <si>
    <t>CCA18160=3NSK-S</t>
  </si>
  <si>
    <t>134P100620</t>
  </si>
  <si>
    <t>CSB15152=2HIW-S</t>
  </si>
  <si>
    <t>134P100618</t>
  </si>
  <si>
    <t>CSB15150=2HIW-S</t>
  </si>
  <si>
    <t>134P100573</t>
  </si>
  <si>
    <t>CSA18102=4HIW-S</t>
  </si>
  <si>
    <t>134P100574</t>
  </si>
  <si>
    <t>CSA18103=2HIW-S</t>
  </si>
  <si>
    <t>134P100590</t>
  </si>
  <si>
    <t>CSA18127=2HIW-S</t>
  </si>
  <si>
    <t>134P100598</t>
  </si>
  <si>
    <t>CSC18311=2HIW-S</t>
  </si>
  <si>
    <t>134P100599</t>
  </si>
  <si>
    <t>CSC18312=3HIW-S</t>
  </si>
  <si>
    <t>134P100587</t>
  </si>
  <si>
    <t>CSA18124=1HIW-S</t>
  </si>
  <si>
    <t>134P100588</t>
  </si>
  <si>
    <t>CSA18125=1HIW-S</t>
  </si>
  <si>
    <t>134P100589</t>
  </si>
  <si>
    <t>CSA18126=1HIW-S</t>
  </si>
  <si>
    <t>134P100593</t>
  </si>
  <si>
    <t>CSC18306=1HIW-S</t>
  </si>
  <si>
    <t>134P100594</t>
  </si>
  <si>
    <t>CSC18307=1HIW-S</t>
  </si>
  <si>
    <t>134P100595</t>
  </si>
  <si>
    <t>CSC18308=1HIW-S</t>
  </si>
  <si>
    <t>134P100596</t>
  </si>
  <si>
    <t>CSC18309=1HIW-S</t>
  </si>
  <si>
    <t>134P100597</t>
  </si>
  <si>
    <t>CSC18310=3HIW-S</t>
  </si>
  <si>
    <t>134P100600</t>
  </si>
  <si>
    <t>CSA19002=4HIW-S</t>
  </si>
  <si>
    <t>134P100561</t>
  </si>
  <si>
    <t>CSA18020=1HIW-S</t>
  </si>
  <si>
    <t>134P100580</t>
  </si>
  <si>
    <t>CSA18110=3HIW-S</t>
  </si>
  <si>
    <t>134P100581</t>
  </si>
  <si>
    <t>CSA18111=2HIW-S</t>
  </si>
  <si>
    <t>134P100606</t>
  </si>
  <si>
    <t>CS15007=4HIW-S</t>
  </si>
  <si>
    <t>134P100605</t>
  </si>
  <si>
    <t>CS15006=4HIW-S</t>
  </si>
  <si>
    <t>134P100609</t>
  </si>
  <si>
    <t>CS15102=3HIW-S</t>
  </si>
  <si>
    <t>134P100608</t>
  </si>
  <si>
    <t>CS15034=1HIW-S</t>
  </si>
  <si>
    <t>134P100615</t>
  </si>
  <si>
    <t>CS15172=1HIW-S</t>
  </si>
  <si>
    <t>134P100583</t>
  </si>
  <si>
    <t>CSA18116=1HIW-S</t>
  </si>
  <si>
    <t>134P100582</t>
  </si>
  <si>
    <t>CSA18113=2HIW-S</t>
  </si>
  <si>
    <t>134P100554</t>
  </si>
  <si>
    <t>CSA18013=5HIW-S</t>
  </si>
  <si>
    <t>134P100563</t>
  </si>
  <si>
    <t>CSA18022=3HIW-S</t>
  </si>
  <si>
    <t>134P100564</t>
  </si>
  <si>
    <t>CSA18023=3HIW-S</t>
  </si>
  <si>
    <t>134P100565</t>
  </si>
  <si>
    <t>CSA18024=3HIW-S</t>
  </si>
  <si>
    <t>134P100551</t>
  </si>
  <si>
    <t>CSA18006=2HIW-S</t>
  </si>
  <si>
    <t>134P100552</t>
  </si>
  <si>
    <t>CSA18011=3HIW-S</t>
  </si>
  <si>
    <t>134P100553</t>
  </si>
  <si>
    <t>CSA18012=4HIW-S</t>
  </si>
  <si>
    <t>134P100628</t>
  </si>
  <si>
    <t>CSC18340=1HIW-S</t>
  </si>
  <si>
    <t>134P100626</t>
  </si>
  <si>
    <t>CSC18337=1HIW-S</t>
  </si>
  <si>
    <t>134P100627</t>
  </si>
  <si>
    <t>CSC18339=1HIW-S</t>
  </si>
  <si>
    <t>134P100568</t>
  </si>
  <si>
    <t>CSA18072=2HIW-S</t>
  </si>
  <si>
    <t>134P100571</t>
  </si>
  <si>
    <t>CSA18075=2HIW-S</t>
  </si>
  <si>
    <t>134P100566</t>
  </si>
  <si>
    <t>CSA18070=3HIW-S</t>
  </si>
  <si>
    <t>134P100567</t>
  </si>
  <si>
    <t>CSA18071=4HIW-S</t>
  </si>
  <si>
    <t>134P100549</t>
  </si>
  <si>
    <t>CCA18052=1HIW-S</t>
  </si>
  <si>
    <t>134P100630</t>
  </si>
  <si>
    <t>CSA18109=2HIWｺﾈｸﾀﾍﾝｺｳS</t>
  </si>
  <si>
    <t>138M100032</t>
  </si>
  <si>
    <t>CCA18005=3AIW-S</t>
  </si>
  <si>
    <t>AIWA</t>
  </si>
  <si>
    <t>138M100033</t>
  </si>
  <si>
    <t>CCA18006=2AIW-S</t>
  </si>
  <si>
    <t>138M100035</t>
  </si>
  <si>
    <t>CCA18008=3AIW-S</t>
  </si>
  <si>
    <t>138M100039</t>
  </si>
  <si>
    <t>CCA18014=2AIW-S</t>
  </si>
  <si>
    <t>138M100031</t>
  </si>
  <si>
    <t>CCA18004=4AIW-S</t>
  </si>
  <si>
    <t>138M100045</t>
  </si>
  <si>
    <t>CCA19005=4AIW-S</t>
  </si>
  <si>
    <t>138M100036</t>
  </si>
  <si>
    <t>CCA18009=3AIW-S</t>
  </si>
  <si>
    <t>138M100040</t>
  </si>
  <si>
    <t>CCA18016=2AIW-S</t>
  </si>
  <si>
    <t>137Q100107</t>
  </si>
  <si>
    <t>CCA19050=3NSK-S</t>
  </si>
  <si>
    <t>NISHIKI</t>
  </si>
  <si>
    <t>137Q100101</t>
  </si>
  <si>
    <t>CCA18155=2NSK-S</t>
  </si>
  <si>
    <t>137Q100102</t>
  </si>
  <si>
    <t>CCA18157=3NSK-S</t>
  </si>
  <si>
    <t>137Q100103</t>
  </si>
  <si>
    <t>CCA18159=3NSK-S</t>
  </si>
  <si>
    <t>3P5JQ9549Aﾜｲﾔｰﾆﾎﾝｾｲ-S</t>
  </si>
  <si>
    <t>HITACHI TAGA</t>
  </si>
  <si>
    <t>3P5JQ9549Bﾜｲﾔｰﾆﾎﾝｾｲ-S</t>
  </si>
  <si>
    <t>3P5JR0528A-S</t>
  </si>
  <si>
    <t>3P5JN9377Eﾜｲﾔｰﾆﾎﾝｾｲ-S</t>
  </si>
  <si>
    <t>3P5JP8411Aﾜｲﾔｰﾆﾎﾝｾｲ</t>
  </si>
  <si>
    <t>3P5JQ5225Aﾜｲﾔｰﾆﾎﾝｾｲ-S</t>
  </si>
  <si>
    <t>3P5JN9377F ﾜｲﾔｰﾆﾎﾝｾｲ-S</t>
  </si>
  <si>
    <t>3P5JP4067Aﾜｲﾔｰﾆﾎﾝｾｲ</t>
  </si>
  <si>
    <t>3P5JP4067Bﾜｲﾔｰﾆﾎﾝｾｲ</t>
  </si>
  <si>
    <t>3P5JP9766Aﾜｲﾔｰﾆﾎﾝｾｲ-S</t>
  </si>
  <si>
    <t>3P5JP9766Bﾜｲﾔｰﾆﾎﾝｾｲ-S</t>
  </si>
  <si>
    <t>3P5JP9767Aﾜｲﾔｰﾆﾎﾝｾｲ-S</t>
  </si>
  <si>
    <t>3P5JP9767Bﾜｲﾔｰﾆﾎﾝｾｲ-S</t>
  </si>
  <si>
    <t>3P5JP9767Cﾜｲﾔｰﾆﾎﾝｾｲ</t>
  </si>
  <si>
    <t>3P5JP4067Cﾜｲﾔｰﾆﾎﾝｾｲ-S</t>
  </si>
  <si>
    <t>3P5JP9767Dﾜｲﾔｰﾆﾎﾝｾｲ-S</t>
  </si>
  <si>
    <t>3P7ZP3926B-S</t>
  </si>
  <si>
    <t>3P7ZP3926C</t>
  </si>
  <si>
    <t>3B1ZP8683C-S</t>
  </si>
  <si>
    <t>2R4PL71151-S</t>
  </si>
  <si>
    <t>3P5JP4068Aﾜｲﾔｰﾆﾎﾝｾｲ</t>
  </si>
  <si>
    <t>3P5JP4070Aﾜｲﾔｰﾆﾎﾝｾｲ</t>
  </si>
  <si>
    <t>3P5JP4072Cﾜｲﾔｰﾆﾎﾝｾｲ</t>
  </si>
  <si>
    <t>3P5JQ4048Aﾜｲﾔｰﾆﾎﾝｾｲ-S</t>
  </si>
  <si>
    <t>2R4PL90782-S</t>
  </si>
  <si>
    <t>2R4PL90903-S</t>
  </si>
  <si>
    <t>2R4PL90904-S</t>
  </si>
  <si>
    <t>3P5JN1497C-S</t>
  </si>
  <si>
    <t>3P5JN9376Bﾜｲﾔｰﾆﾎﾝｾｲ-S</t>
  </si>
  <si>
    <t>3P5JP4038Aﾜｲﾔｰﾆﾎﾝｾｲ-S</t>
  </si>
  <si>
    <t>3P7ZN1577C-S</t>
  </si>
  <si>
    <t>3B2ZN8450A-S</t>
  </si>
  <si>
    <t>3B2ZN8451C-S</t>
  </si>
  <si>
    <t>3P5JQ7347A-S</t>
  </si>
  <si>
    <t>3P7ZN1580D-S</t>
  </si>
  <si>
    <t>3B1ZP8683A-S</t>
  </si>
  <si>
    <t>3P5JR1850A-S</t>
  </si>
  <si>
    <t>3P5JR2509Aﾜｲﾔｰﾆﾎﾝｾｲ-Ｓ</t>
  </si>
  <si>
    <t>3P5JQ9549C-S</t>
  </si>
  <si>
    <t>3P5JQ9549D-S</t>
  </si>
  <si>
    <t>3P5JP4067F-S</t>
  </si>
  <si>
    <t>3P5JP9767F-S</t>
  </si>
  <si>
    <t>3P5JP9767H-S</t>
  </si>
  <si>
    <t>3P7ZN1578B-S</t>
  </si>
  <si>
    <t>2R4PL71191-S</t>
  </si>
  <si>
    <t>3B2ZN8451D-S</t>
  </si>
  <si>
    <t>137C100162</t>
  </si>
  <si>
    <t>BB0046385A-002</t>
  </si>
  <si>
    <t>HITACHI TOCHIGI</t>
  </si>
  <si>
    <t>137C100163</t>
  </si>
  <si>
    <t>BB0046386A-006</t>
  </si>
  <si>
    <t>137C100220</t>
  </si>
  <si>
    <t>BB0045282A-009-S</t>
  </si>
  <si>
    <t>137C100156</t>
  </si>
  <si>
    <t>BB0045968A-009</t>
  </si>
  <si>
    <t>137C100160</t>
  </si>
  <si>
    <t>BB0045968E-009</t>
  </si>
  <si>
    <t>137C100280</t>
  </si>
  <si>
    <t>BB0044147A-012-S</t>
  </si>
  <si>
    <t>137C100281</t>
  </si>
  <si>
    <t>BB0044147H-012-S</t>
  </si>
  <si>
    <t>137C100205</t>
  </si>
  <si>
    <t>BB0045302A-007-S</t>
  </si>
  <si>
    <t>137C100206</t>
  </si>
  <si>
    <t>BB0045303A-008-S</t>
  </si>
  <si>
    <t>137C100164</t>
  </si>
  <si>
    <t>BB0050166A-004</t>
  </si>
  <si>
    <t>137C100294</t>
  </si>
  <si>
    <t>BB0050167A-006-S</t>
  </si>
  <si>
    <t>137C100165</t>
  </si>
  <si>
    <t>BB0050166B-004</t>
  </si>
  <si>
    <t>137C100295</t>
  </si>
  <si>
    <t>BB0050167B-006-S</t>
  </si>
  <si>
    <t>137C100261</t>
  </si>
  <si>
    <t>BB0045280A-013</t>
  </si>
  <si>
    <t>137C100239</t>
  </si>
  <si>
    <t>BB0045285A-004-S</t>
  </si>
  <si>
    <t>137C100217</t>
  </si>
  <si>
    <t>BB0041543A-004-S</t>
  </si>
  <si>
    <t>137C100219</t>
  </si>
  <si>
    <t>BB0041543B-004-S</t>
  </si>
  <si>
    <t>137C100282</t>
  </si>
  <si>
    <t>BB0056152A-004</t>
  </si>
  <si>
    <t>137C100366</t>
  </si>
  <si>
    <t>BB0056152A004(187PU)-S</t>
  </si>
  <si>
    <t>137C100372</t>
  </si>
  <si>
    <t>BB0056152A004XIN(187PU)-S</t>
  </si>
  <si>
    <t>137C100283</t>
  </si>
  <si>
    <t>BB0056152B-004</t>
  </si>
  <si>
    <t>137C100367</t>
  </si>
  <si>
    <t>BB0056152B004(187PU)-S</t>
  </si>
  <si>
    <t>137C100373</t>
  </si>
  <si>
    <t>BB0056152B004XIN(187PU)-S</t>
  </si>
  <si>
    <t>137C100284</t>
  </si>
  <si>
    <t>BB0056152C-004-S</t>
  </si>
  <si>
    <t>137C100285</t>
  </si>
  <si>
    <t>BB0056152D-004-S</t>
  </si>
  <si>
    <t>137C100286</t>
  </si>
  <si>
    <t>BB0056152E-004</t>
  </si>
  <si>
    <t>137C100370</t>
  </si>
  <si>
    <t>BB0056152E004(187PU)-S</t>
  </si>
  <si>
    <t>137C100376</t>
  </si>
  <si>
    <t>BB0056152E004XIN(187PU)-S</t>
  </si>
  <si>
    <t>137C100287</t>
  </si>
  <si>
    <t>BB0056152F-004</t>
  </si>
  <si>
    <t>137C100371</t>
  </si>
  <si>
    <t>BB0056152F004(187PU)-S</t>
  </si>
  <si>
    <t>137C100315</t>
  </si>
  <si>
    <t>BB0055942A0061347/1353</t>
  </si>
  <si>
    <t>137C100319</t>
  </si>
  <si>
    <t>BB0055942A0061352/1353</t>
  </si>
  <si>
    <t>137C100317</t>
  </si>
  <si>
    <t>BB0055941A0061352/1353</t>
  </si>
  <si>
    <t>137C100318</t>
  </si>
  <si>
    <t>BB0055941B0061352/1353</t>
  </si>
  <si>
    <t>137C100320</t>
  </si>
  <si>
    <t>BB0055942B0061352/1353</t>
  </si>
  <si>
    <t>137C100232</t>
  </si>
  <si>
    <t>BB0046697A-007-S</t>
  </si>
  <si>
    <t>137C100233</t>
  </si>
  <si>
    <t>BB0046697B-007-S</t>
  </si>
  <si>
    <t>137C100324</t>
  </si>
  <si>
    <t>BB0055941B008(ﾗｲﾚｷ7)-S</t>
  </si>
  <si>
    <t>137C100326</t>
  </si>
  <si>
    <t>BB0055942B007(ﾗｲﾚｷ6)-S</t>
  </si>
  <si>
    <t>137C100323</t>
  </si>
  <si>
    <t>BB0055941A008(ﾗｲﾚｷ7)-S</t>
  </si>
  <si>
    <t>137C100325</t>
  </si>
  <si>
    <t>BB0055942A007(ﾗｲﾚｷ6)-S</t>
  </si>
  <si>
    <t>137C100300</t>
  </si>
  <si>
    <t>NN0015241D-004-S</t>
  </si>
  <si>
    <t>137C100301</t>
  </si>
  <si>
    <t>NN0015241E-004-S</t>
  </si>
  <si>
    <t>137C100303</t>
  </si>
  <si>
    <t>BB0054862B-005N-S</t>
  </si>
  <si>
    <t>137C100302</t>
  </si>
  <si>
    <t>BB0052145A-006N-S</t>
  </si>
  <si>
    <t>137C100342</t>
  </si>
  <si>
    <t>NN0020378A-001-S</t>
  </si>
  <si>
    <t>137CS00240</t>
  </si>
  <si>
    <t>NN0020378A-S SISAKU</t>
  </si>
  <si>
    <t>137C100391</t>
  </si>
  <si>
    <t>NN0020378B-002-S</t>
  </si>
  <si>
    <t>137C100343</t>
  </si>
  <si>
    <t>BB0045282A011(ﾗｲﾚｷ10-S</t>
  </si>
  <si>
    <t>137C100378</t>
  </si>
  <si>
    <t>BB0056152A005(ﾗｲﾚｷ4)-S</t>
  </si>
  <si>
    <t>137C100379</t>
  </si>
  <si>
    <t>BB0056152B005(ﾗｲﾚｷ4)-S</t>
  </si>
  <si>
    <t>137C100382</t>
  </si>
  <si>
    <t>BB0056152E005(ﾗｲﾚｷ4)-S</t>
  </si>
  <si>
    <t>137C100383</t>
  </si>
  <si>
    <t>BB0056152F005(ﾗｲﾚｷ4)-S</t>
  </si>
  <si>
    <t>137C100328</t>
  </si>
  <si>
    <t>BB0045280D017(ﾗｲﾚｷ15-S</t>
  </si>
  <si>
    <t>137C100381</t>
  </si>
  <si>
    <t>BB0056152D005(ﾗｲﾚｷ4)-S</t>
  </si>
  <si>
    <t>137C100331</t>
  </si>
  <si>
    <t>BB0045285A005(ﾗｲﾚｷ4)-S</t>
  </si>
  <si>
    <t>137C100389</t>
  </si>
  <si>
    <t>BB0045280A018(RAI16)-S</t>
  </si>
  <si>
    <t>137C100231</t>
  </si>
  <si>
    <t>BB0045277B-011-S</t>
  </si>
  <si>
    <t>131U100881</t>
  </si>
  <si>
    <t>99214X2160-2-S</t>
  </si>
  <si>
    <t>OIZUMI</t>
  </si>
  <si>
    <t>131U100882</t>
  </si>
  <si>
    <t>99214X2162-2-S</t>
  </si>
  <si>
    <t>131U100885</t>
  </si>
  <si>
    <t>99214X2164-1-S</t>
  </si>
  <si>
    <t>135N100037</t>
  </si>
  <si>
    <t>99124X2038-S</t>
  </si>
  <si>
    <t>131U100435</t>
  </si>
  <si>
    <t>02574X2905-3-S</t>
  </si>
  <si>
    <t>131U100918</t>
  </si>
  <si>
    <t>02574X2905-3ﾂｲｽﾄ-S</t>
  </si>
  <si>
    <t>131U100437</t>
  </si>
  <si>
    <t>02614X2001-1-S</t>
  </si>
  <si>
    <t>131U100545</t>
  </si>
  <si>
    <t>PX8Y-50040-00-S</t>
  </si>
  <si>
    <t>131U100791</t>
  </si>
  <si>
    <t>99213Y3050-1-S(ﾏｹﾞ)</t>
  </si>
  <si>
    <t>131U100926</t>
  </si>
  <si>
    <t>99213Y3050-1BLHS(マゲ)</t>
  </si>
  <si>
    <t>131U100735</t>
  </si>
  <si>
    <t>99214X2072-5-S</t>
  </si>
  <si>
    <t>131U100693</t>
  </si>
  <si>
    <t>99214X2058-1-S(T)</t>
  </si>
  <si>
    <t>131U100694</t>
  </si>
  <si>
    <t>99214X2059-1-S(T)</t>
  </si>
  <si>
    <t>131U100704</t>
  </si>
  <si>
    <t>99214X2089-S(T)</t>
  </si>
  <si>
    <t>131U100695</t>
  </si>
  <si>
    <t>99214X2070-1-S(T)</t>
  </si>
  <si>
    <t>131U100696</t>
  </si>
  <si>
    <t>99214X2071-1-S(T)</t>
  </si>
  <si>
    <t>131U100699</t>
  </si>
  <si>
    <t>99214X2075-2-S(T)</t>
  </si>
  <si>
    <t>131U100700</t>
  </si>
  <si>
    <t>99214X2076-1-S(T)</t>
  </si>
  <si>
    <t>131U100709</t>
  </si>
  <si>
    <t>99214X2078-4-S</t>
  </si>
  <si>
    <t>131U100706</t>
  </si>
  <si>
    <t>99214X2079-2-S(T)</t>
  </si>
  <si>
    <t>131U100701</t>
  </si>
  <si>
    <t>99214X2080-2-S(T)</t>
  </si>
  <si>
    <t>131U100707</t>
  </si>
  <si>
    <t>99214X2084-1-S(T)</t>
  </si>
  <si>
    <t>131U100708</t>
  </si>
  <si>
    <t>02724X2051-2-S(T)</t>
  </si>
  <si>
    <t>131U100871</t>
  </si>
  <si>
    <t>02754X2001-1-S(T)</t>
  </si>
  <si>
    <t>131U100697</t>
  </si>
  <si>
    <t>99214X2073-S(T)</t>
  </si>
  <si>
    <t>131U100698</t>
  </si>
  <si>
    <t>99214X2074-S(T)</t>
  </si>
  <si>
    <t>131U100705</t>
  </si>
  <si>
    <t>99214X2090-S(T)</t>
  </si>
  <si>
    <t>131U100692</t>
  </si>
  <si>
    <t>99214X2057-S(T)</t>
  </si>
  <si>
    <t>131U100691</t>
  </si>
  <si>
    <t>99214X2053-S(T)</t>
  </si>
  <si>
    <t>131U100689</t>
  </si>
  <si>
    <t>02734X2952-1-S(T)</t>
  </si>
  <si>
    <t>131U100702</t>
  </si>
  <si>
    <t>99214X2083-3-S(T)</t>
  </si>
  <si>
    <t>131U100455</t>
  </si>
  <si>
    <t>02604X2001-2-S</t>
  </si>
  <si>
    <t>132B100006</t>
  </si>
  <si>
    <t>VRA2044-A-03(LTK)-S</t>
  </si>
  <si>
    <t>132B100007</t>
  </si>
  <si>
    <t>VRA5275-A-01-S</t>
  </si>
  <si>
    <t>132B100008</t>
  </si>
  <si>
    <t>1022F547 VUS4D-S</t>
  </si>
  <si>
    <t>135N100144</t>
  </si>
  <si>
    <t>D00109287E-S</t>
  </si>
  <si>
    <t>131U100847</t>
  </si>
  <si>
    <t>02644X2910-S</t>
  </si>
  <si>
    <t>131U100883</t>
  </si>
  <si>
    <t>99214X2161-3-S</t>
  </si>
  <si>
    <t>131U100884</t>
  </si>
  <si>
    <t>99214X2163-1-S</t>
  </si>
  <si>
    <t>131U100903</t>
  </si>
  <si>
    <t>99213Y3050-1ｺﾝﾊﾟﾁ-S</t>
  </si>
  <si>
    <t>131U100904</t>
  </si>
  <si>
    <t>99214X2053-2ｺﾝﾊﾟﾁ-S</t>
  </si>
  <si>
    <t>131U100906</t>
  </si>
  <si>
    <t>99214X2058-2ｺﾝﾊﾟﾁ-S</t>
  </si>
  <si>
    <t>131U100907</t>
  </si>
  <si>
    <t>99214X2059-2ｺﾝﾊﾟﾁ-S</t>
  </si>
  <si>
    <t>131U100911</t>
  </si>
  <si>
    <t>99214X2078-5ｺﾝﾊﾟﾁ-S</t>
  </si>
  <si>
    <t>131U100912</t>
  </si>
  <si>
    <t>99214X2080-4ｺﾝﾊﾟﾁ-S</t>
  </si>
  <si>
    <t>131U100913</t>
  </si>
  <si>
    <t>99214X2083-4ｺﾝﾊﾟﾁ-S</t>
  </si>
  <si>
    <t>131U100908</t>
  </si>
  <si>
    <t>99214X2073-1ｺﾝﾊﾟﾁ-S</t>
  </si>
  <si>
    <t>131U100909</t>
  </si>
  <si>
    <t>99214X2074-1ｺﾝﾊﾟﾁ-S</t>
  </si>
  <si>
    <t>131U100910</t>
  </si>
  <si>
    <t>99214X2075-3ｺﾝﾊﾟﾁ-S</t>
  </si>
  <si>
    <t>131U100914</t>
  </si>
  <si>
    <t>99214X2160-3ｺﾝﾊﾟﾁ-S</t>
  </si>
  <si>
    <t>131U100915</t>
  </si>
  <si>
    <t>99214X2163-2ｺﾝﾊﾟﾁ-S</t>
  </si>
  <si>
    <t>131U100916</t>
  </si>
  <si>
    <t>99214X2165-2ｺﾝﾊﾟﾁ-S</t>
  </si>
  <si>
    <t>131U100932</t>
  </si>
  <si>
    <t>99214X2165-2(ZER07S)-S</t>
  </si>
  <si>
    <t>131U100917</t>
  </si>
  <si>
    <t>99214X2166-2ｺﾝﾊﾟﾁ-S</t>
  </si>
  <si>
    <t>131U100905</t>
  </si>
  <si>
    <t>99214X2057-1ｺﾝﾊﾟﾁ-S</t>
  </si>
  <si>
    <t>131U100938</t>
  </si>
  <si>
    <t>99214X2079-2XINDA-S(T)</t>
  </si>
  <si>
    <t>131U100950</t>
  </si>
  <si>
    <t>99214X2080-2CJT/XIN(T)</t>
  </si>
  <si>
    <t>131U100954</t>
  </si>
  <si>
    <t>99214X2053-2PUDP-XIN(T</t>
  </si>
  <si>
    <t>131U100955</t>
  </si>
  <si>
    <t>99214X2057-1PUDP-XIN(T</t>
  </si>
  <si>
    <t>131U100956</t>
  </si>
  <si>
    <t>99214X2160-3PUDP-XIN-S</t>
  </si>
  <si>
    <t>131U100957</t>
  </si>
  <si>
    <t>99214X2161-3PUDP-XIN-S</t>
  </si>
  <si>
    <t>131U100958</t>
  </si>
  <si>
    <t>99214X2070-1PUDP-XIN(T</t>
  </si>
  <si>
    <t>131U100959</t>
  </si>
  <si>
    <t>99214X2071-1PUDP-XIN(T</t>
  </si>
  <si>
    <t>131US01495</t>
  </si>
  <si>
    <t>99213Y3050-1XINDAﾏｹﾞｼｻ</t>
  </si>
  <si>
    <t>131U100965</t>
  </si>
  <si>
    <t>99213Y3050-1CJT/XIN-S</t>
  </si>
  <si>
    <t>131U100945</t>
  </si>
  <si>
    <t>99214X2057CJT/XIN-S(T)</t>
  </si>
  <si>
    <t>131U100942</t>
  </si>
  <si>
    <t>99214X2161-3XINDA-S</t>
  </si>
  <si>
    <t>131U100946</t>
  </si>
  <si>
    <t>99214X2163-1CJT/XIN-S</t>
  </si>
  <si>
    <t>131U100948</t>
  </si>
  <si>
    <t>99214X2053CJT/XIN-S(T)</t>
  </si>
  <si>
    <t>131U100949</t>
  </si>
  <si>
    <t>99214X2078-4CJT/XIN-S</t>
  </si>
  <si>
    <t>131US01510</t>
  </si>
  <si>
    <t>99214X2163-1KUMITATETP</t>
  </si>
  <si>
    <t>131US01503</t>
  </si>
  <si>
    <t>99214X2160-2XINDA-S ｼｻ</t>
  </si>
  <si>
    <t>131US01505</t>
  </si>
  <si>
    <t>99214X2163-1XINDA-S ｼｻ</t>
  </si>
  <si>
    <t>131US01507</t>
  </si>
  <si>
    <t>99214X2166-1XINDA-S ｼｻ</t>
  </si>
  <si>
    <t>133E100114</t>
  </si>
  <si>
    <t>SM68HCU13-S</t>
  </si>
  <si>
    <t>ORIENT SYSTEM</t>
  </si>
  <si>
    <t>138E100157</t>
  </si>
  <si>
    <t>ｵｼﾛｵｼﾛ7ﾊｲｾﾝBR21F1-S</t>
  </si>
  <si>
    <t>SANKYO</t>
  </si>
  <si>
    <t>138E100158</t>
  </si>
  <si>
    <t>ｵｼﾛｵｼﾛ8ﾊｲｾﾝBR35F2-S</t>
  </si>
  <si>
    <t>138E100168</t>
  </si>
  <si>
    <t>ｵｼﾛｵﾑﾗｻｷ8ﾊｲｾﾝBR49F1-S</t>
  </si>
  <si>
    <t>138E100172</t>
  </si>
  <si>
    <t>ｵｼﾛｵｱｵ6ﾊｲｾﾝBR23-S</t>
  </si>
  <si>
    <t>138E100173</t>
  </si>
  <si>
    <t>ｵｼﾛｵｱｶ6ﾊｲｾﾝBR24-S</t>
  </si>
  <si>
    <t>138E100174</t>
  </si>
  <si>
    <t>ｵｼﾛｵｼﾛ6ﾊｲｾﾝBR21-S</t>
  </si>
  <si>
    <t>138E100262</t>
  </si>
  <si>
    <t>ｵｼﾛｵｱｵ6ﾊｲｾﾝBR23-S(SK</t>
  </si>
  <si>
    <t>138E100263</t>
  </si>
  <si>
    <t>ｵｼﾛｵｱｶ6ﾊｲｾﾝBR24-S(SK</t>
  </si>
  <si>
    <t>138E100264</t>
  </si>
  <si>
    <t>ｵｼﾛｵｼﾛ6ﾊｲｾﾝBR21-S(SK</t>
  </si>
  <si>
    <t>138E100161</t>
  </si>
  <si>
    <t>ｴｼﾛｴｱｶ3ﾊｲｾﾝBR40F2-S</t>
  </si>
  <si>
    <t>138E100162</t>
  </si>
  <si>
    <t>ｵｼﾛｵｼﾛ11ﾊｲｾﾝBR31F1-S</t>
  </si>
  <si>
    <t>13AB100001</t>
  </si>
  <si>
    <t>ｽﾋﾟｰｶｰﾊｰﾈｽ-S</t>
  </si>
  <si>
    <t>エレマテック浜松</t>
  </si>
  <si>
    <t>13AD100003</t>
  </si>
  <si>
    <t>C000156-S</t>
  </si>
  <si>
    <t>PHEONIX CONTACT</t>
  </si>
  <si>
    <t>13AD100007</t>
  </si>
  <si>
    <t>1319513-S</t>
  </si>
  <si>
    <t>13AD100020</t>
  </si>
  <si>
    <t>1319513-ST-S</t>
  </si>
  <si>
    <t>13AD100008</t>
  </si>
  <si>
    <t>1319511-S</t>
  </si>
  <si>
    <t>13AD100004</t>
  </si>
  <si>
    <t>C000157-S</t>
  </si>
  <si>
    <t>フェニックスコンタクト</t>
  </si>
  <si>
    <t>13AD100009</t>
  </si>
  <si>
    <t>1319509-ST-S</t>
  </si>
  <si>
    <t>13AD100010</t>
  </si>
  <si>
    <t>1319510-S</t>
  </si>
  <si>
    <t>13AD100018</t>
  </si>
  <si>
    <t>1378556-ST-S</t>
  </si>
  <si>
    <t>13AD100019</t>
  </si>
  <si>
    <t>1378557-ST-S</t>
  </si>
  <si>
    <t>13AD100021</t>
  </si>
  <si>
    <t>1319511-ST-S</t>
  </si>
  <si>
    <t>139E100001</t>
  </si>
  <si>
    <t>17F11790-A-S</t>
  </si>
  <si>
    <t>HITACHI SHIMIZU</t>
  </si>
  <si>
    <t>139E100002</t>
  </si>
  <si>
    <t>17F11792-A-S</t>
  </si>
  <si>
    <t>139E100003</t>
  </si>
  <si>
    <t>17F11794-A-S</t>
  </si>
  <si>
    <t>139E100004</t>
  </si>
  <si>
    <t>17H12975-A-S</t>
  </si>
  <si>
    <t>139E100005</t>
  </si>
  <si>
    <t>17H19731-A-S</t>
  </si>
  <si>
    <t>139E100006</t>
  </si>
  <si>
    <t>17H19735-A-S</t>
  </si>
  <si>
    <t>139E100009</t>
  </si>
  <si>
    <t>17H20355-A-S</t>
  </si>
  <si>
    <t>139E100010</t>
  </si>
  <si>
    <t>17H20356-A-S</t>
  </si>
  <si>
    <t>139E100014</t>
  </si>
  <si>
    <t>17H20361-A-S</t>
  </si>
  <si>
    <t>139E100015</t>
  </si>
  <si>
    <t>17H20362-A-S</t>
  </si>
  <si>
    <t>139E100016</t>
  </si>
  <si>
    <t>17H20364-A-S</t>
  </si>
  <si>
    <t>139E100017</t>
  </si>
  <si>
    <t>17H20365-A-S</t>
  </si>
  <si>
    <t>139E100018</t>
  </si>
  <si>
    <t>17H20366-A-S</t>
  </si>
  <si>
    <t>139E100019</t>
  </si>
  <si>
    <t>17H20367-A-S</t>
  </si>
  <si>
    <t>139E100020</t>
  </si>
  <si>
    <t>17H20368-A-S</t>
  </si>
  <si>
    <t>139E100032</t>
  </si>
  <si>
    <t>17H20368-A1-S</t>
  </si>
  <si>
    <t>139E100021</t>
  </si>
  <si>
    <t>17H20369-A-S</t>
  </si>
  <si>
    <t>139E100022</t>
  </si>
  <si>
    <t>17H20370-A-S</t>
  </si>
  <si>
    <t>139E100023</t>
  </si>
  <si>
    <t>17H20371-A-S</t>
  </si>
  <si>
    <t>139E100024</t>
  </si>
  <si>
    <t>17H20382-A-S</t>
  </si>
  <si>
    <t>3P5JQ5270Aﾜｲﾔｰﾆﾎﾝｾｲ</t>
  </si>
  <si>
    <t>13BE100001</t>
  </si>
  <si>
    <t>17F24840A</t>
  </si>
  <si>
    <t>TOHKAI</t>
  </si>
  <si>
    <t>13BE100002</t>
  </si>
  <si>
    <t>17F24840B-S</t>
  </si>
  <si>
    <t>13BE100012</t>
  </si>
  <si>
    <t>49D33174A-S</t>
  </si>
  <si>
    <t>13BE100015</t>
  </si>
  <si>
    <t>49D16054K-S</t>
  </si>
  <si>
    <t>13BE100021</t>
  </si>
  <si>
    <t>49D18919-03-A-S</t>
  </si>
  <si>
    <t>13BE100022</t>
  </si>
  <si>
    <t>49D18919-03-B-S</t>
  </si>
  <si>
    <t>13BE100008</t>
  </si>
  <si>
    <t>49D28114A-S</t>
  </si>
  <si>
    <t>13BE100009</t>
  </si>
  <si>
    <t>49D28393A-S</t>
  </si>
  <si>
    <t>13BE100010</t>
  </si>
  <si>
    <t>49D28826B-S</t>
  </si>
  <si>
    <t>13BE100013</t>
  </si>
  <si>
    <t>49D16054D-S</t>
  </si>
  <si>
    <t>13BE100014</t>
  </si>
  <si>
    <t>49D16054E-S</t>
  </si>
  <si>
    <t>13BE100017</t>
  </si>
  <si>
    <t>49D18817A-S</t>
  </si>
  <si>
    <t>13BE100005</t>
  </si>
  <si>
    <t>17H29947B-L4</t>
  </si>
  <si>
    <t>13BE100027</t>
  </si>
  <si>
    <t>17H29947B-L4-S（TS）</t>
  </si>
  <si>
    <t>13BE100023</t>
  </si>
  <si>
    <t>49D17880-1-A-S</t>
  </si>
  <si>
    <t>13BE100024</t>
  </si>
  <si>
    <t>49D17880-1-B-S</t>
  </si>
  <si>
    <t>13BE100020</t>
  </si>
  <si>
    <t>49D28826A-S</t>
  </si>
  <si>
    <t>13BE100029</t>
  </si>
  <si>
    <t>49D18821B-S</t>
  </si>
  <si>
    <t>13BE100030</t>
  </si>
  <si>
    <t>49D18821A-S</t>
  </si>
  <si>
    <t>13BE100016</t>
  </si>
  <si>
    <t>49D16054L-S</t>
  </si>
  <si>
    <t>13BE100032</t>
  </si>
  <si>
    <t>49D27926A-S</t>
  </si>
  <si>
    <t>13BE100033</t>
  </si>
  <si>
    <t>49D27926B-S</t>
  </si>
  <si>
    <t>13BE100034</t>
  </si>
  <si>
    <t>49D27926H-S</t>
  </si>
  <si>
    <t>13BE100035</t>
  </si>
  <si>
    <t>49D27926J-S</t>
  </si>
  <si>
    <t>13BE100036</t>
  </si>
  <si>
    <t>49D27926K-S</t>
  </si>
  <si>
    <t>13BE100037</t>
  </si>
  <si>
    <t>49D27926L-S</t>
  </si>
  <si>
    <t>13BE100038</t>
  </si>
  <si>
    <t>49D27926M-S</t>
  </si>
  <si>
    <t>13BE100039</t>
  </si>
  <si>
    <t>49D27926R-S</t>
  </si>
  <si>
    <t>13R6100415</t>
  </si>
  <si>
    <t>LTKA0009801-Kﾀｲﾊﾞﾝﾄﾞ-S</t>
  </si>
  <si>
    <t>東芝ライテック</t>
  </si>
  <si>
    <t>13BE100028</t>
  </si>
  <si>
    <t>17H29947J-L2-S(TS)</t>
  </si>
  <si>
    <t>137C100157</t>
  </si>
  <si>
    <t>BB0045968B-009</t>
  </si>
  <si>
    <t>137C100158</t>
  </si>
  <si>
    <t>BB0045968C-009</t>
  </si>
  <si>
    <t>137C100159</t>
  </si>
  <si>
    <t>BB0045968D-009</t>
  </si>
  <si>
    <t>137C100339</t>
  </si>
  <si>
    <t>BB0060517A-002-S</t>
  </si>
  <si>
    <t>137C100340</t>
  </si>
  <si>
    <t>BB0060519A-002-S</t>
  </si>
  <si>
    <t>137C100327</t>
  </si>
  <si>
    <t>BB0045280A017(ﾗｲﾚｷ15-S</t>
  </si>
  <si>
    <t>137C100347</t>
  </si>
  <si>
    <t>BB0044147H-012NDK</t>
  </si>
  <si>
    <t>13AES00001</t>
  </si>
  <si>
    <t>N2-68064-S ｼｻｸ</t>
  </si>
  <si>
    <t>日立オートモティブシステムズ</t>
  </si>
  <si>
    <t>13AES00002 </t>
  </si>
  <si>
    <t>N2-68065-S ｼｻｸ</t>
  </si>
  <si>
    <t>13AES00001N</t>
  </si>
  <si>
    <t xml:space="preserve">N2-68064-S </t>
  </si>
  <si>
    <t>13AES00002</t>
  </si>
  <si>
    <t xml:space="preserve">N2-68065-S </t>
  </si>
  <si>
    <t>13AK100002</t>
  </si>
  <si>
    <t>CBC6040-450010-S</t>
  </si>
  <si>
    <t>東和電機</t>
  </si>
  <si>
    <t>13AK100003</t>
  </si>
  <si>
    <t>CBC6040-450020-S</t>
  </si>
  <si>
    <t>13AK100001</t>
  </si>
  <si>
    <t>CBC6040-120010-S</t>
  </si>
  <si>
    <t>139G100141</t>
  </si>
  <si>
    <t>VVQ5000-45A-1-1-S</t>
  </si>
  <si>
    <t>SMC</t>
  </si>
  <si>
    <t>139G100140</t>
  </si>
  <si>
    <t>VVQ5000-42A-1-1-S</t>
  </si>
  <si>
    <t>139G100142</t>
  </si>
  <si>
    <t>SY30M-31-1A-2-S</t>
  </si>
  <si>
    <t>139G100143</t>
  </si>
  <si>
    <t>SY30M-31-1A-3-S</t>
  </si>
  <si>
    <t>139G100144</t>
  </si>
  <si>
    <t>SY30M-31-1A-4-S</t>
  </si>
  <si>
    <t>139G100145</t>
  </si>
  <si>
    <t>SY30M-31-1A-5-S</t>
  </si>
  <si>
    <t>139G100146</t>
  </si>
  <si>
    <t>SY30M-31-1A-6-S</t>
  </si>
  <si>
    <t>139G100147</t>
  </si>
  <si>
    <t>SY30M-31-1A-7-S</t>
  </si>
  <si>
    <t>139G100148</t>
  </si>
  <si>
    <t>SY30M-31-1A-8-S</t>
  </si>
  <si>
    <t>139G100149</t>
  </si>
  <si>
    <t>SY30M-31-1A-9-S</t>
  </si>
  <si>
    <t>139G100150</t>
  </si>
  <si>
    <t>SY30M-31-1A-10-S</t>
  </si>
  <si>
    <t>139G100151</t>
  </si>
  <si>
    <t>SY30M-31-1A-11-S</t>
  </si>
  <si>
    <t>139G100152</t>
  </si>
  <si>
    <t>SY30M-31-1A-12-S</t>
  </si>
  <si>
    <t>139G100159</t>
  </si>
  <si>
    <t>SSQ1000-43A-FD25-D12-S</t>
  </si>
  <si>
    <t>139G100160</t>
  </si>
  <si>
    <t>SSQ1000-43A-FD25-S01-S</t>
  </si>
  <si>
    <t>139G100161</t>
  </si>
  <si>
    <t>SSQ1000-43A-PD26-D12-S</t>
  </si>
  <si>
    <t>139G100162</t>
  </si>
  <si>
    <t>SSQ1000-43A-SD-D08-S</t>
  </si>
  <si>
    <t>139G100167</t>
  </si>
  <si>
    <t>IN-581P-SP-22A0-S</t>
  </si>
  <si>
    <t>139G100215</t>
  </si>
  <si>
    <t>SY70M-31-1A-12-S</t>
  </si>
  <si>
    <t>139G100226</t>
  </si>
  <si>
    <t>SSQ1000-43A-PD26-D11-S</t>
  </si>
  <si>
    <t>139G100197</t>
  </si>
  <si>
    <t>SSQ2000-43A-SD-D08-S</t>
  </si>
  <si>
    <t>139G100192</t>
  </si>
  <si>
    <t>SSQ1000-43A-FD25-D06-S</t>
  </si>
  <si>
    <t>139G100195</t>
  </si>
  <si>
    <t>SSQ2000-43A-FD25-D01-S</t>
  </si>
  <si>
    <t>139G100193</t>
  </si>
  <si>
    <t>SSQ1000-43A-FD25-D09-S</t>
  </si>
  <si>
    <t>139G100194</t>
  </si>
  <si>
    <t>SSQ1000-43A-FD25-D11-S</t>
  </si>
  <si>
    <t>139G100196</t>
  </si>
  <si>
    <t>SSQ2000-43A-FD25-D12-S</t>
  </si>
  <si>
    <t>139G100214</t>
  </si>
  <si>
    <t>SY50M-31-1A-12-S</t>
  </si>
  <si>
    <t>139G100225</t>
  </si>
  <si>
    <t>SSQ1000-43A-PD26-D10-S</t>
  </si>
  <si>
    <t>139G100198</t>
  </si>
  <si>
    <t>SSQ1000-43A-PD26-D05-S</t>
  </si>
  <si>
    <t>13ATS00001</t>
  </si>
  <si>
    <t>400-089-416-002-S ｼｻｸ</t>
  </si>
  <si>
    <t>TAKAIGHI SHOKAI</t>
  </si>
  <si>
    <t>13ATS00004</t>
  </si>
  <si>
    <t xml:space="preserve">400-089-778-073-S ｼｻｸ </t>
  </si>
  <si>
    <t>13ATS00008</t>
  </si>
  <si>
    <t>400-089-778-002-S ｼｻｸ</t>
  </si>
  <si>
    <t>13ATS00009</t>
  </si>
  <si>
    <t>400-089-778-028-S ｼｻｸ</t>
  </si>
  <si>
    <t>13ATS00010</t>
  </si>
  <si>
    <t>400-093-376-002-S ｼｻｸ</t>
  </si>
  <si>
    <t>13AT100009</t>
  </si>
  <si>
    <t>400-089-778-002</t>
  </si>
  <si>
    <t>13AT100054</t>
  </si>
  <si>
    <t>WRMT41418-1</t>
  </si>
  <si>
    <t>13AT100055</t>
  </si>
  <si>
    <t>WRMT41418-2</t>
  </si>
  <si>
    <t>13AT100040</t>
  </si>
  <si>
    <t>WRMT41418-4</t>
  </si>
  <si>
    <t>13AT100056</t>
  </si>
  <si>
    <t>WRMT41418-6</t>
  </si>
  <si>
    <t>13ATS00018</t>
  </si>
  <si>
    <t>400-002-405-3-S ｼｻｸ</t>
  </si>
  <si>
    <t>13ATS00019</t>
  </si>
  <si>
    <t>400-048-668-002-7-S ｼｻ</t>
  </si>
  <si>
    <t>13ATS00020</t>
  </si>
  <si>
    <t>400-048-669-002-5-S ｼｻ</t>
  </si>
  <si>
    <t>13ATS00021</t>
  </si>
  <si>
    <t>400-048-684-002-7-S ｼｻ</t>
  </si>
  <si>
    <t>13ATS00022</t>
  </si>
  <si>
    <t>400-048-691-001-5-S ｼｻ</t>
  </si>
  <si>
    <t>13ATS00023</t>
  </si>
  <si>
    <t>400-055-745-002-5-S ｼｻ</t>
  </si>
  <si>
    <t>13AT100002</t>
  </si>
  <si>
    <t>400-089-416-002</t>
  </si>
  <si>
    <t>13AT100005</t>
  </si>
  <si>
    <t>400-089-416-007</t>
  </si>
  <si>
    <t>13AT100003</t>
  </si>
  <si>
    <t>400-089-416-004</t>
  </si>
  <si>
    <t>13AT100007</t>
  </si>
  <si>
    <t>400-089-416-010</t>
  </si>
  <si>
    <t>13AT100012</t>
  </si>
  <si>
    <t>400-089-778-025</t>
  </si>
  <si>
    <t>13AT100004</t>
  </si>
  <si>
    <t>400-089-416-006</t>
  </si>
  <si>
    <t>13AT100006</t>
  </si>
  <si>
    <t>400-089-416-009</t>
  </si>
  <si>
    <t>13AT100011</t>
  </si>
  <si>
    <t>400-089-778-024</t>
  </si>
  <si>
    <t>13AT100015</t>
  </si>
  <si>
    <t>400-089-778-028</t>
  </si>
  <si>
    <t>13AT100013</t>
  </si>
  <si>
    <t>400-089-778-026</t>
  </si>
  <si>
    <t>13AT100014</t>
  </si>
  <si>
    <t>400-089-778-027</t>
  </si>
  <si>
    <t>13AT100016</t>
  </si>
  <si>
    <t>400-089-778-029</t>
  </si>
  <si>
    <t>13AT100017</t>
  </si>
  <si>
    <t>400-089-778-030</t>
  </si>
  <si>
    <t>13AT100018</t>
  </si>
  <si>
    <t>400-089-778-031</t>
  </si>
  <si>
    <t>13AT100019</t>
  </si>
  <si>
    <t>400-089-778-032</t>
  </si>
  <si>
    <t>13AT100020</t>
  </si>
  <si>
    <t>400-089-778-038</t>
  </si>
  <si>
    <t>13AT100021</t>
  </si>
  <si>
    <t>400-089-778-039</t>
  </si>
  <si>
    <t>13AT100022</t>
  </si>
  <si>
    <t>400-089-778-073</t>
  </si>
  <si>
    <t>13AT100023</t>
  </si>
  <si>
    <t>400-089-778-074</t>
  </si>
  <si>
    <t>13AT100024</t>
  </si>
  <si>
    <t>400-089-778-075</t>
  </si>
  <si>
    <t>13AT100025</t>
  </si>
  <si>
    <t>400-089-778-076</t>
  </si>
  <si>
    <t>13AT100028</t>
  </si>
  <si>
    <t>400-093-376-001</t>
  </si>
  <si>
    <t>13AT100029</t>
  </si>
  <si>
    <t>400-093-376-002</t>
  </si>
  <si>
    <t>13AT100030</t>
  </si>
  <si>
    <t>400-093-376-003</t>
  </si>
  <si>
    <t>13AT100031</t>
  </si>
  <si>
    <t>400-093-376-004</t>
  </si>
  <si>
    <t>13AT100032</t>
  </si>
  <si>
    <t>400-093-376-005</t>
  </si>
  <si>
    <t>13AT100033</t>
  </si>
  <si>
    <t>400-098-478-001</t>
  </si>
  <si>
    <t>13AT100026</t>
  </si>
  <si>
    <t>400-089-778-077</t>
  </si>
  <si>
    <t>13AT100027</t>
  </si>
  <si>
    <t>400-089-896-002</t>
  </si>
  <si>
    <t>13AT100034</t>
  </si>
  <si>
    <t>400-098-478-002</t>
  </si>
  <si>
    <t>13AT100058</t>
  </si>
  <si>
    <t>400-089-778-021</t>
  </si>
  <si>
    <t>13AT100059</t>
  </si>
  <si>
    <t>400-089-778-022</t>
  </si>
  <si>
    <t>13AT100060</t>
  </si>
  <si>
    <t>400-089-778-023</t>
  </si>
  <si>
    <t>13AT100061</t>
  </si>
  <si>
    <t>400-048-668-003</t>
  </si>
  <si>
    <t>13AT100062</t>
  </si>
  <si>
    <t>400-048-669-003</t>
  </si>
  <si>
    <t>13AT100063</t>
  </si>
  <si>
    <t>400-048-684-003</t>
  </si>
  <si>
    <t>13AT100064</t>
  </si>
  <si>
    <t>400-048-691-002</t>
  </si>
  <si>
    <t>13AT100039</t>
  </si>
  <si>
    <t>WRMT41418-3</t>
  </si>
  <si>
    <t>13AT100041</t>
  </si>
  <si>
    <t>WRMT41418-5</t>
  </si>
  <si>
    <t>13AT100042</t>
  </si>
  <si>
    <t>WRMT41418-7</t>
  </si>
  <si>
    <t>13AT100043</t>
  </si>
  <si>
    <t>WRMT41418-8</t>
  </si>
  <si>
    <t>13AT100044</t>
  </si>
  <si>
    <t>WRMT41418-9</t>
  </si>
  <si>
    <t>13AT100045</t>
  </si>
  <si>
    <t>WRMT41418-10</t>
  </si>
  <si>
    <t>13AT100046</t>
  </si>
  <si>
    <t>WRMT41418-13</t>
  </si>
  <si>
    <t>13AT100047</t>
  </si>
  <si>
    <t>WRMT41418-101</t>
  </si>
  <si>
    <t>13AT100048</t>
  </si>
  <si>
    <t>WRMT41418-104</t>
  </si>
  <si>
    <t>13AT100049</t>
  </si>
  <si>
    <t>WRMT41418-105</t>
  </si>
  <si>
    <t>13AT100050</t>
  </si>
  <si>
    <t>WRMT41418-113</t>
  </si>
  <si>
    <t>13AT100051</t>
  </si>
  <si>
    <t>WRMT41418-901</t>
  </si>
  <si>
    <t>13AT100052</t>
  </si>
  <si>
    <t>WRMT41418-902</t>
  </si>
  <si>
    <t>13AT100053</t>
  </si>
  <si>
    <t>WRMT41418-912</t>
  </si>
  <si>
    <t>13ATS00030</t>
  </si>
  <si>
    <t>400-089-778-022STRIPTP</t>
  </si>
  <si>
    <t>13ATS00031</t>
  </si>
  <si>
    <t>400-089-778-022ACCHATP</t>
  </si>
  <si>
    <t>13ATS00032</t>
  </si>
  <si>
    <t>400-089-778-028STRIPTP</t>
  </si>
  <si>
    <t>13ATS00033</t>
  </si>
  <si>
    <t>400-089-778-028ACCHATP</t>
  </si>
  <si>
    <t>13AN100005</t>
  </si>
  <si>
    <t>A1V021-2000-1-S</t>
  </si>
  <si>
    <t>KUBO</t>
  </si>
  <si>
    <t>13AN100006</t>
  </si>
  <si>
    <t>A1V041-2000-2-S</t>
  </si>
  <si>
    <t>13AV100060</t>
  </si>
  <si>
    <t>3663-01-4-401-S(UL)</t>
  </si>
  <si>
    <t>NIPRON</t>
  </si>
  <si>
    <t>13AV100061</t>
  </si>
  <si>
    <t>3663-01-4-402-S(UL)</t>
  </si>
  <si>
    <t>13AV100062</t>
  </si>
  <si>
    <t>3663-01-4-403-S(UL)</t>
  </si>
  <si>
    <t>13AV100063</t>
  </si>
  <si>
    <t>3663-01-4-404-S(UL)</t>
  </si>
  <si>
    <t>13AV100067</t>
  </si>
  <si>
    <t>3734-01-4-401A-S(UL)</t>
  </si>
  <si>
    <t>13AV100002</t>
  </si>
  <si>
    <t>2785-04-3-401C-S(UL)</t>
  </si>
  <si>
    <t>13AV100003</t>
  </si>
  <si>
    <t>2805-01-4-404-S(UL)</t>
  </si>
  <si>
    <t>13AV100004</t>
  </si>
  <si>
    <t>2805-01-4-405-S(UL)</t>
  </si>
  <si>
    <t>13AV100005</t>
  </si>
  <si>
    <t>2805-01-4-406A-S(UL)</t>
  </si>
  <si>
    <t>13AV100006</t>
  </si>
  <si>
    <t>2805-01-4-407-S(UL)</t>
  </si>
  <si>
    <t>13AV100007</t>
  </si>
  <si>
    <t>2805-01-4-408A-S(UL)</t>
  </si>
  <si>
    <t>13AV100011</t>
  </si>
  <si>
    <t>3231-01-4-413A-S(UL)</t>
  </si>
  <si>
    <t>13AV100014</t>
  </si>
  <si>
    <t>3327-01-4-403-S(UL)</t>
  </si>
  <si>
    <t>13AV100015</t>
  </si>
  <si>
    <t>3410-01-4-402-S(UL)</t>
  </si>
  <si>
    <t>13AV100021</t>
  </si>
  <si>
    <t>3613-01-4-403-S(UL)</t>
  </si>
  <si>
    <t>13AV100022</t>
  </si>
  <si>
    <t>3613-01-4-404-S(UL)</t>
  </si>
  <si>
    <t>13AV100023</t>
  </si>
  <si>
    <t>3613-01-4-405-S(UL)</t>
  </si>
  <si>
    <t>13AV100024</t>
  </si>
  <si>
    <t>3613-01-4-406-S(UL)</t>
  </si>
  <si>
    <t>13AV100025</t>
  </si>
  <si>
    <t>3613-01-4-407-S(UL)</t>
  </si>
  <si>
    <t>13AV100026</t>
  </si>
  <si>
    <t>3613-01-4-408-S(UL)</t>
  </si>
  <si>
    <t>13AV100027</t>
  </si>
  <si>
    <t>3613-01-4-409-S(UL)</t>
  </si>
  <si>
    <t>13AV100028</t>
  </si>
  <si>
    <t>3613-01-4-410-S(UL)</t>
  </si>
  <si>
    <t>13AV100029</t>
  </si>
  <si>
    <t>3613-01-4-411-S(UL)</t>
  </si>
  <si>
    <t>13AV100030</t>
  </si>
  <si>
    <t>3613-01-4-413-S(UL)</t>
  </si>
  <si>
    <t>13AV100031</t>
  </si>
  <si>
    <t>3613-01-4-414B-S(UL)</t>
  </si>
  <si>
    <t>13AV100032</t>
  </si>
  <si>
    <t>3613-01-4-420-S(UL)</t>
  </si>
  <si>
    <t>13AV100033</t>
  </si>
  <si>
    <t>3613-01-4-421A-S(UL)</t>
  </si>
  <si>
    <t>13AV100034</t>
  </si>
  <si>
    <t>3690-01-4-404-S(UL)</t>
  </si>
  <si>
    <t>13AV100036</t>
  </si>
  <si>
    <t>3690-01-4-407-S(UL)</t>
  </si>
  <si>
    <t>13AV100037</t>
  </si>
  <si>
    <t>3690-01-4-408-S(UL)</t>
  </si>
  <si>
    <t>13AV100038</t>
  </si>
  <si>
    <t>3690-01-4-409-S(UL)</t>
  </si>
  <si>
    <t>13AV100039</t>
  </si>
  <si>
    <t>3690-01-4-410-S(UL)</t>
  </si>
  <si>
    <t>13AV100040</t>
  </si>
  <si>
    <t>3690-01-4-411-S(UL)</t>
  </si>
  <si>
    <t>13AV100041</t>
  </si>
  <si>
    <t>3690-01-4-412-S(UL)</t>
  </si>
  <si>
    <t>13AV100042</t>
  </si>
  <si>
    <t>3690-01-4-414-S(UL)</t>
  </si>
  <si>
    <t>13AV100045</t>
  </si>
  <si>
    <t>3690-01-4-421-S(UL)</t>
  </si>
  <si>
    <t>13AV100046</t>
  </si>
  <si>
    <t>3690-01-4-422-S(UL)</t>
  </si>
  <si>
    <t>13AV100047</t>
  </si>
  <si>
    <t>3690-01-4-430-S(UL)</t>
  </si>
  <si>
    <t>13AV100053</t>
  </si>
  <si>
    <t>6149-01-4-402-S(UL)</t>
  </si>
  <si>
    <t>13AV100054</t>
  </si>
  <si>
    <t>6165-01-4-401A-S(UL)</t>
  </si>
  <si>
    <t>13AV100055</t>
  </si>
  <si>
    <t>6165-01-4-403A-S(UL)</t>
  </si>
  <si>
    <t>13AV100059</t>
  </si>
  <si>
    <t>6208-03-4-401D-S(UL)</t>
  </si>
  <si>
    <t>13AV100070</t>
  </si>
  <si>
    <t>3696-01-4-405-S(UL)</t>
  </si>
  <si>
    <t>13AV100071</t>
  </si>
  <si>
    <t>3696-01-4-406-S(UL)</t>
  </si>
  <si>
    <t>13AV100072</t>
  </si>
  <si>
    <t>3696-01-4-407-S(UL)</t>
  </si>
  <si>
    <t>13AV100073</t>
  </si>
  <si>
    <t>3696-01-4-411-S(UL)</t>
  </si>
  <si>
    <t>13AV100087</t>
  </si>
  <si>
    <t>3726-01-4-441-S(UL)</t>
  </si>
  <si>
    <t>13AV100088</t>
  </si>
  <si>
    <t>3726-01-4-442-S(UL)</t>
  </si>
  <si>
    <t>13AV100080</t>
  </si>
  <si>
    <t>2961-03-4-427A-S(UL)</t>
  </si>
  <si>
    <t>13AVS00029</t>
  </si>
  <si>
    <t>2961-03-4-427A-S ｼｻｸ</t>
  </si>
  <si>
    <t>13AV100081</t>
  </si>
  <si>
    <t>2961-03-4-428B-S(UL)</t>
  </si>
  <si>
    <t>13AV100089</t>
  </si>
  <si>
    <t>3726-01-4-443-S(UL)</t>
  </si>
  <si>
    <t>13AVS00031</t>
  </si>
  <si>
    <t>3707-01-4-401-S ｼｻｸ</t>
  </si>
  <si>
    <t>13AV100076</t>
  </si>
  <si>
    <t>3724-01-4-405B-S(UL)</t>
  </si>
  <si>
    <t>13AV100019</t>
  </si>
  <si>
    <t>3613-01-4-401A-S(UL)</t>
  </si>
  <si>
    <t>13AV100082</t>
  </si>
  <si>
    <t>3707-01-4-401-S(UL)</t>
  </si>
  <si>
    <t>13AV100092</t>
  </si>
  <si>
    <t>3690-02-4-414-S(UL)</t>
  </si>
  <si>
    <t>13AVS00025</t>
  </si>
  <si>
    <t>3724-01-4-405B-S ｼｻｸ</t>
  </si>
  <si>
    <t>13AVS00026</t>
  </si>
  <si>
    <t>3724-01-4-407B-S ｼｻｸ</t>
  </si>
  <si>
    <t>13AVS00030</t>
  </si>
  <si>
    <t>2961-03-4-428B-S ｼｻｸ</t>
  </si>
  <si>
    <t>13AV100083</t>
  </si>
  <si>
    <t>3707-01-4-402-S(UL)</t>
  </si>
  <si>
    <t>13AVS00038</t>
  </si>
  <si>
    <t>3726-01-4-443-S ｼｻｸ</t>
  </si>
  <si>
    <t>13AVS00041</t>
  </si>
  <si>
    <t>3707-01-4-402ﾋﾀﾁ-S ｼｻｸ</t>
  </si>
  <si>
    <t>13AV100091</t>
  </si>
  <si>
    <t>6239-01-4-402-S(UL)</t>
  </si>
  <si>
    <t>13AV100077</t>
  </si>
  <si>
    <t>3724-01-4-407B-S(UL)</t>
  </si>
  <si>
    <t>13AVS00023</t>
  </si>
  <si>
    <t>3724-01-4-401-S ｼｻｸ</t>
  </si>
  <si>
    <t>13AV100084</t>
  </si>
  <si>
    <t>3707-01-4-403-S(UL)</t>
  </si>
  <si>
    <t>13AV100085</t>
  </si>
  <si>
    <t>3707-01-4-404-S(UL)</t>
  </si>
  <si>
    <t>13AV100095</t>
  </si>
  <si>
    <t>6239-01-4-404-S(UL)</t>
  </si>
  <si>
    <t>13AV100035</t>
  </si>
  <si>
    <t>3690-01-4-405-S(UL)</t>
  </si>
  <si>
    <t>13AV100078</t>
  </si>
  <si>
    <t>3724-01-4-409B-S(UL)</t>
  </si>
  <si>
    <t>13AVS00027</t>
  </si>
  <si>
    <t>3724-01-4-409B-S ｼｻｸ</t>
  </si>
  <si>
    <t>13AVS00024</t>
  </si>
  <si>
    <t>3724-01-4-403-S ｼｻｸ</t>
  </si>
  <si>
    <t>13AV100094</t>
  </si>
  <si>
    <t>6239-01-4-402A-S(UL)</t>
  </si>
  <si>
    <t>13AV100086</t>
  </si>
  <si>
    <t>3707-01-4-405-S(UL)</t>
  </si>
  <si>
    <t>13AV100090</t>
  </si>
  <si>
    <t>6239-01-4-401-S(UL)</t>
  </si>
  <si>
    <t>13AV100097</t>
  </si>
  <si>
    <t>6239-01-4-401A-S(UL)</t>
  </si>
  <si>
    <t>13AV100099</t>
  </si>
  <si>
    <t>6239-01-4-403-S(UL)</t>
  </si>
  <si>
    <t>13AVS00042</t>
  </si>
  <si>
    <t>3426-01-4-401-Sｼｻｸ</t>
  </si>
  <si>
    <t>13AVS00043</t>
  </si>
  <si>
    <t>3426-01-4-402-Sｼｻｸ</t>
  </si>
  <si>
    <t>13AVS00044</t>
  </si>
  <si>
    <t>3426-01-4-403-Sｼｻｸ</t>
  </si>
  <si>
    <t>13AVS00051</t>
  </si>
  <si>
    <t>3426-01-4-412-Sｼｻｸ</t>
  </si>
  <si>
    <t xml:space="preserve">13AV100101 </t>
  </si>
  <si>
    <t>6239-02-4-401(UL)</t>
  </si>
  <si>
    <t>13AVS00052</t>
  </si>
  <si>
    <t>3753-01-4-401-Sｼｻｸ</t>
  </si>
  <si>
    <t>13AVS00054</t>
  </si>
  <si>
    <t>3753-01-4-403-Sｼｻｸ</t>
  </si>
  <si>
    <t>13AVS00055</t>
  </si>
  <si>
    <t>3753-01-4-409-Sｼｻｸ</t>
  </si>
  <si>
    <t>13AVS00056</t>
  </si>
  <si>
    <t>3753-01-4-410-Sｼｻｸ</t>
  </si>
  <si>
    <t>13AVS00057</t>
  </si>
  <si>
    <t>3753-01-4-411A-Sｼｻｸ</t>
  </si>
  <si>
    <t xml:space="preserve">13AVS00045 </t>
  </si>
  <si>
    <t>3426-01-4-404-Sｼｻｸ</t>
  </si>
  <si>
    <t>13AVS00046</t>
  </si>
  <si>
    <t>3426-01-4-405-Sｼｻｸ</t>
  </si>
  <si>
    <t>13AVS00047</t>
  </si>
  <si>
    <t>3426-01-4-406-Sｼｻｸ</t>
  </si>
  <si>
    <t>13AVS00048</t>
  </si>
  <si>
    <t>3426-01-4-407-Sｼｻｸ</t>
  </si>
  <si>
    <t>13AVS00049</t>
  </si>
  <si>
    <t>3426-01-4-409-Sｼｻｸ</t>
  </si>
  <si>
    <t>13AVS00053</t>
  </si>
  <si>
    <t>3753-01-4-402-Sｼｻｸ</t>
  </si>
  <si>
    <t>13AVS00058</t>
  </si>
  <si>
    <t>3753-01-4-412-Sｼｻｸ</t>
  </si>
  <si>
    <t>13AVS00059</t>
  </si>
  <si>
    <t>3613-01-4-402ｼｻｸ</t>
  </si>
  <si>
    <t>13AV100074</t>
  </si>
  <si>
    <t>3724-01-4-401-S(UL)</t>
  </si>
  <si>
    <t>13AV100075</t>
  </si>
  <si>
    <t>3724-01-4-403-S(UL)</t>
  </si>
  <si>
    <t>13AV100079</t>
  </si>
  <si>
    <t>3724-01-4-411-S(UL)</t>
  </si>
  <si>
    <t>13AVS00028</t>
  </si>
  <si>
    <t>3724-01-4-411-S ｼｻｸ</t>
  </si>
  <si>
    <t>13AV100093</t>
  </si>
  <si>
    <t>2779-01-4-404E-S(UL)</t>
  </si>
  <si>
    <t xml:space="preserve">13AV100102 </t>
  </si>
  <si>
    <t>6239-02-4-402(UL)</t>
  </si>
  <si>
    <t>13AVS00050</t>
  </si>
  <si>
    <t>3426-01-4-410A-Sｼｻｸ</t>
  </si>
  <si>
    <t>138E100413</t>
  </si>
  <si>
    <t>20A1 ﾒｲﾝ1-1ﾊｰﾈｽ-S</t>
  </si>
  <si>
    <t>TOHKAI DENSEN</t>
  </si>
  <si>
    <t>138E100414</t>
  </si>
  <si>
    <t>20A1 ｽﾞｶﾞﾗﾋｮｳｼﾞﾊｰﾈｽ-S</t>
  </si>
  <si>
    <t>138E100415</t>
  </si>
  <si>
    <t>20A1 ﾒｲﾝ1-2ﾊｰﾈｽ-S</t>
  </si>
  <si>
    <t>138E100416</t>
  </si>
  <si>
    <t>20A1 ﾒｲﾝ1-3ﾊｰﾈｽ-S</t>
  </si>
  <si>
    <t>138ES00399</t>
  </si>
  <si>
    <t>20A1メイン1-1（SK）タンシシサ-S</t>
  </si>
  <si>
    <t>138ES00402</t>
  </si>
  <si>
    <t>SNKV 28AWG ｹﾝｼｮｳ ｼｻｸ</t>
  </si>
  <si>
    <t>138ES00400</t>
  </si>
  <si>
    <t>1061 AWG28 ｹﾝｼｮｳ ｼｻｸ</t>
  </si>
  <si>
    <t>138ES00401</t>
  </si>
  <si>
    <t>1061 AWG26 ｹﾝｼｮｳ ｼｻｸ</t>
  </si>
  <si>
    <t>138E100428</t>
  </si>
  <si>
    <t>W13619H1(MS)-S</t>
  </si>
  <si>
    <t>138E100436</t>
  </si>
  <si>
    <t>W13613H4(MS)-S</t>
  </si>
  <si>
    <t>138E100437</t>
  </si>
  <si>
    <t>W13615H2(MS)-S</t>
  </si>
  <si>
    <t>138E100438</t>
  </si>
  <si>
    <t>W13622H2(MS)-S</t>
  </si>
  <si>
    <t>138E100439</t>
  </si>
  <si>
    <t>W13623H2(MS)-S</t>
  </si>
  <si>
    <t>138E100440</t>
  </si>
  <si>
    <t>W13624H4(MS)-S</t>
  </si>
  <si>
    <t>138E100441</t>
  </si>
  <si>
    <t>W136MOTAH2(MS)-S</t>
  </si>
  <si>
    <t>138E100445</t>
  </si>
  <si>
    <t>W136MOTAH2(MS)1-S</t>
  </si>
  <si>
    <t>138E100442</t>
  </si>
  <si>
    <t>W136MOTBH2(MS)-S</t>
  </si>
  <si>
    <t>138E100443</t>
  </si>
  <si>
    <t>W136SOL2H2(MS)-S</t>
  </si>
  <si>
    <t>138ES00405</t>
  </si>
  <si>
    <t>BHKV0.08FSWｹﾝｼｮｳTP</t>
  </si>
  <si>
    <t>137L100063</t>
  </si>
  <si>
    <t>CCA18009=3MRD-S</t>
  </si>
  <si>
    <t>MRD</t>
  </si>
  <si>
    <t>137L100068</t>
  </si>
  <si>
    <t>CCA19011=4MRD-S</t>
  </si>
  <si>
    <t>137L100069</t>
  </si>
  <si>
    <t>CCA19012=3MRD-S</t>
  </si>
  <si>
    <t>137L100071</t>
  </si>
  <si>
    <t>CCA19014=3MRD-S</t>
  </si>
  <si>
    <t>137L100067</t>
  </si>
  <si>
    <t>CCA19010=3MRD-S</t>
  </si>
  <si>
    <t>137L100075</t>
  </si>
  <si>
    <t>CCA19016=3MRD-S</t>
  </si>
  <si>
    <t>137L100076</t>
  </si>
  <si>
    <t>CCA19017=5MRD-S</t>
  </si>
  <si>
    <t>137L100077</t>
  </si>
  <si>
    <t>CCA19051=2MRD-S</t>
  </si>
  <si>
    <t>137L100057</t>
  </si>
  <si>
    <t>CCA19103=3MRD-S</t>
  </si>
  <si>
    <t>137L100058</t>
  </si>
  <si>
    <t>CCA19104=3MRD-S</t>
  </si>
  <si>
    <t>13BB100001</t>
  </si>
  <si>
    <t>603-124A-00-S</t>
  </si>
  <si>
    <t>NAGOYA</t>
  </si>
  <si>
    <t>13BB100002</t>
  </si>
  <si>
    <t>683-242A-00-S</t>
  </si>
  <si>
    <t>13BB100003</t>
  </si>
  <si>
    <t>76A-251A-00-S</t>
  </si>
  <si>
    <t>13BQ100001</t>
  </si>
  <si>
    <t>JS0062-281X02-S(RN)</t>
  </si>
  <si>
    <t>RINNAI</t>
  </si>
  <si>
    <t>13BQ100002</t>
  </si>
  <si>
    <t>JS0062-280X03-S(RN)</t>
  </si>
  <si>
    <t>13BQ100003</t>
  </si>
  <si>
    <t>JS0062-270X02-S(RN)</t>
  </si>
  <si>
    <t>13BQ100004</t>
  </si>
  <si>
    <t>JS0062-283X03-S(RN)</t>
  </si>
  <si>
    <t>13BQ100005</t>
  </si>
  <si>
    <t>JS0062-282X02-S(RN)</t>
  </si>
  <si>
    <t>13BQ100006</t>
  </si>
  <si>
    <t>JS0062-284X03-S(RN)</t>
  </si>
  <si>
    <t>13BQS00002</t>
  </si>
  <si>
    <t>270ﾋｮｳｶﾗｲﾝﾏｰｸ-Sｼｻｸ(RN)</t>
  </si>
  <si>
    <t>13AG100009</t>
  </si>
  <si>
    <t>40078417-1-S(V1.25)</t>
  </si>
  <si>
    <t>KANETSU</t>
  </si>
  <si>
    <t>13AG100007</t>
  </si>
  <si>
    <t>40078417-1-S</t>
  </si>
  <si>
    <t>13AG100001</t>
  </si>
  <si>
    <t>40108478(1M)-S</t>
  </si>
  <si>
    <t>13AG100002</t>
  </si>
  <si>
    <t>40108479(2M)-S</t>
  </si>
  <si>
    <t>13AG100003</t>
  </si>
  <si>
    <t>40108480(3M)-S</t>
  </si>
  <si>
    <t>13AG100004</t>
  </si>
  <si>
    <t>40108481(5M)-S</t>
  </si>
  <si>
    <t>Others</t>
  </si>
  <si>
    <t>đứt dây</t>
  </si>
  <si>
    <t>dính dầu</t>
  </si>
  <si>
    <t>trầy dây</t>
  </si>
  <si>
    <t>NG content</t>
  </si>
  <si>
    <t>Reason for Others</t>
  </si>
  <si>
    <t>Remark</t>
  </si>
  <si>
    <t>Total OK</t>
  </si>
  <si>
    <t>Amount</t>
  </si>
  <si>
    <t>New Worker</t>
  </si>
  <si>
    <t>NG Type</t>
  </si>
  <si>
    <t>Sút pin
ピン抜け</t>
  </si>
  <si>
    <t>Sai phối màu 誤配色</t>
  </si>
  <si>
    <t>Tuột mấu ôm vỏ do tán cạn
浅打ちで被覆カシメ外れ</t>
  </si>
  <si>
    <t>Tanshi biến dạng vị trí Soket
ソケット位置に端子変形</t>
  </si>
  <si>
    <t>Sai kích thước 
寸法間違い</t>
  </si>
  <si>
    <t>Sai kích thước ống
チューブ寸法間違い</t>
  </si>
  <si>
    <t>Hở hộp nối
端子勘合部(接点）が開いている</t>
  </si>
  <si>
    <t>Mấu ôm vỏ biến dạng
IH変形</t>
  </si>
  <si>
    <t>Ngược Diode
ダイオード部圧着方向間違い</t>
  </si>
  <si>
    <t>Thiếu ống
チューブ欠品</t>
  </si>
  <si>
    <t>Tuột mấu ôm vỏ do tán cạn 浅打ちで被覆カシメ外れ</t>
  </si>
  <si>
    <t>Hở hộp nối 端子勘合部(接点）が開いている</t>
  </si>
  <si>
    <t>Contact bị cháy コン クト焼け</t>
  </si>
  <si>
    <t>Thiếu dấu marking PS PSマーキング不足</t>
  </si>
  <si>
    <t>Gờ tanshi bám ít vào gờ housing ランスのロックが不十分</t>
  </si>
  <si>
    <t>Sai ống チューブ間違い</t>
  </si>
  <si>
    <t>Material</t>
  </si>
  <si>
    <t>Dimension</t>
  </si>
  <si>
    <t>Lack of parts</t>
  </si>
  <si>
    <t>Incorrect-part</t>
  </si>
  <si>
    <t>Category</t>
  </si>
  <si>
    <t>Type of NG</t>
  </si>
  <si>
    <t>5300001U6-A</t>
  </si>
  <si>
    <t>MINEBEA C</t>
  </si>
  <si>
    <t>5300001YC-A</t>
  </si>
  <si>
    <t>5300001YM-A</t>
  </si>
  <si>
    <t>5300001H8-A</t>
  </si>
  <si>
    <t>5300001LT-A</t>
  </si>
  <si>
    <t>5300001MZ-A</t>
  </si>
  <si>
    <t>5300001G3-B</t>
  </si>
  <si>
    <t>5300000B4-A</t>
  </si>
  <si>
    <t>5300001Q9-A</t>
  </si>
  <si>
    <t>5300001E9-A</t>
  </si>
  <si>
    <t>5300001U4-A</t>
  </si>
  <si>
    <t>5300001U5-A</t>
  </si>
  <si>
    <t>CAMJ33-2</t>
  </si>
  <si>
    <t>5300001W2-A</t>
  </si>
  <si>
    <t>2501003180A</t>
  </si>
  <si>
    <t>2501003181A</t>
  </si>
  <si>
    <t>2501003179A</t>
  </si>
  <si>
    <t>2501003182A</t>
  </si>
  <si>
    <t>2501003178A</t>
  </si>
  <si>
    <t>5300001US-A</t>
  </si>
  <si>
    <t>5300001VS-A</t>
  </si>
  <si>
    <t>5300001UR-A</t>
  </si>
  <si>
    <t>5300001W5-A</t>
  </si>
  <si>
    <t>FE-ZLW750</t>
  </si>
  <si>
    <t>FE-ZLW751</t>
  </si>
  <si>
    <t>FE-ZLA816</t>
  </si>
  <si>
    <t>FE-ZLA829+A</t>
  </si>
  <si>
    <t>MINEBEA M</t>
  </si>
  <si>
    <t>A-9561</t>
  </si>
  <si>
    <t>TECHNO</t>
  </si>
  <si>
    <t>A-8229</t>
  </si>
  <si>
    <t>A-11243</t>
  </si>
  <si>
    <t xml:space="preserve"> A-11493</t>
  </si>
  <si>
    <t>A-11494</t>
  </si>
  <si>
    <t>A-11500</t>
  </si>
  <si>
    <t>K080000720</t>
  </si>
  <si>
    <t>NIDEC VN</t>
  </si>
  <si>
    <t>F160665310</t>
  </si>
  <si>
    <t>K160162810</t>
  </si>
  <si>
    <t>K160163010</t>
  </si>
  <si>
    <t>K160162910</t>
  </si>
  <si>
    <t>K080321600</t>
  </si>
  <si>
    <t>K080084900</t>
  </si>
  <si>
    <t>AD15436A</t>
  </si>
  <si>
    <t>NIDEC SV</t>
  </si>
  <si>
    <t>AS83633C01</t>
  </si>
  <si>
    <t>1A0UUDA0</t>
  </si>
  <si>
    <t>TOA</t>
  </si>
  <si>
    <t>1A0UTPA0</t>
  </si>
  <si>
    <t>1A0UU6A0</t>
  </si>
  <si>
    <t>1A0VMKA0</t>
  </si>
  <si>
    <t>1A0VN2A0</t>
  </si>
  <si>
    <t>1A0UTSA0</t>
  </si>
  <si>
    <t>1A0UU5A0</t>
  </si>
  <si>
    <t>1A0UUBA0</t>
  </si>
  <si>
    <t>1A0UUTA0</t>
  </si>
  <si>
    <t>1A0UUWA0</t>
  </si>
  <si>
    <t>1A0E5ZA0</t>
  </si>
  <si>
    <t>1A05S7B0</t>
  </si>
  <si>
    <t>1A05VTA0</t>
  </si>
  <si>
    <t>1A0UUXA0</t>
  </si>
  <si>
    <t>1A0UUYA0</t>
  </si>
  <si>
    <t>1A0UVYA0</t>
  </si>
  <si>
    <t>ANFT62A0</t>
  </si>
  <si>
    <t>1A0V45A0</t>
  </si>
  <si>
    <t>1A0VQYA0</t>
  </si>
  <si>
    <t>1A0UUVA0</t>
  </si>
  <si>
    <t>1A0UVPA0</t>
  </si>
  <si>
    <t>1A0UUJA0</t>
  </si>
  <si>
    <t>1A0UUKA0</t>
  </si>
  <si>
    <t>FE-ZLA828</t>
  </si>
  <si>
    <t>14AK57C</t>
  </si>
  <si>
    <t>MINEBEA TW</t>
  </si>
  <si>
    <t>14AK57D</t>
  </si>
  <si>
    <t>2810391A-1V</t>
  </si>
  <si>
    <t>KVL</t>
  </si>
  <si>
    <t>2810335AV</t>
  </si>
  <si>
    <t>2810308AV</t>
  </si>
  <si>
    <t>2800210AV</t>
  </si>
  <si>
    <t>2800275AV</t>
  </si>
  <si>
    <t>2800247AV</t>
  </si>
  <si>
    <t>2770230BV</t>
  </si>
  <si>
    <t>2800200AV</t>
  </si>
  <si>
    <t>2810372AV</t>
  </si>
  <si>
    <t>2800248AV</t>
  </si>
  <si>
    <t>2810465AV</t>
  </si>
  <si>
    <t>2801009A-1V</t>
  </si>
  <si>
    <t>2810200AV</t>
  </si>
  <si>
    <t>B2810399AV</t>
  </si>
  <si>
    <t>2800267AV</t>
  </si>
  <si>
    <t>C5000299V</t>
  </si>
  <si>
    <t>C5000299-2V</t>
  </si>
  <si>
    <t>2800075-13CV</t>
  </si>
  <si>
    <t>2700241AV</t>
  </si>
  <si>
    <t>B2810374AV</t>
  </si>
  <si>
    <t>2800075-17CV</t>
  </si>
  <si>
    <t>2800600AV</t>
  </si>
  <si>
    <t>B2810307AV</t>
  </si>
  <si>
    <t>2800209A-1V</t>
  </si>
  <si>
    <t>2810634AV-1</t>
  </si>
  <si>
    <t>2700170AV</t>
  </si>
  <si>
    <t>2810668AV</t>
  </si>
  <si>
    <t>2810700AV</t>
  </si>
  <si>
    <t>B2810309AV</t>
  </si>
  <si>
    <t>Tanshi dính HKH はん  着</t>
  </si>
  <si>
    <t>Total NG from material</t>
  </si>
  <si>
    <t>Reson for Others</t>
  </si>
  <si>
    <t>Housing</t>
  </si>
  <si>
    <t>Processing</t>
  </si>
  <si>
    <t>Wire</t>
  </si>
  <si>
    <t>Com.</t>
  </si>
  <si>
    <t>Terminal</t>
  </si>
  <si>
    <t>Oxi hóa</t>
  </si>
  <si>
    <t>NG, dính dơ, dị vật do NL</t>
  </si>
  <si>
    <t>Trầy, dơ do NL</t>
  </si>
  <si>
    <t>Tape</t>
  </si>
  <si>
    <t>MTD</t>
  </si>
  <si>
    <t>BTD</t>
  </si>
  <si>
    <t>Wrap button</t>
  </si>
  <si>
    <t>Thông dòng NG</t>
  </si>
  <si>
    <t>Dập sai</t>
  </si>
  <si>
    <t>Band</t>
  </si>
  <si>
    <t>Sai vị trí</t>
  </si>
  <si>
    <t>Tube</t>
  </si>
  <si>
    <t>Ngắn, dài</t>
  </si>
  <si>
    <t>Pin</t>
  </si>
  <si>
    <t>Sút</t>
  </si>
  <si>
    <t>Retainer</t>
  </si>
  <si>
    <t>Biến dạng</t>
  </si>
  <si>
    <t>Hở</t>
  </si>
  <si>
    <t>Bẩn, dơ</t>
  </si>
  <si>
    <t>Biến dạng vị trí Soket</t>
  </si>
  <si>
    <t>Bị bể, mẻ, cấn</t>
  </si>
  <si>
    <t>Xỏ ngược đầu</t>
  </si>
  <si>
    <t>Bị gãy khóa</t>
  </si>
  <si>
    <t>Rách</t>
  </si>
  <si>
    <t>Contact</t>
  </si>
  <si>
    <t>HKH NG</t>
  </si>
  <si>
    <t>Không đạt do NL</t>
  </si>
  <si>
    <t>Sai kích thước</t>
  </si>
  <si>
    <t>Dính dị vật 端子が異物付き</t>
  </si>
  <si>
    <t>Bị trầy xước</t>
  </si>
  <si>
    <t>Diode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</si>
  <si>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</si>
  <si>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</si>
  <si>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</si>
  <si>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</si>
  <si>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</si>
  <si>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</si>
  <si>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</si>
  <si>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</si>
  <si>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</si>
  <si>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</si>
  <si>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</si>
  <si>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</si>
  <si>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</si>
  <si>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</si>
  <si>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D31</t>
  </si>
  <si>
    <t>Total Produce</t>
  </si>
  <si>
    <t>Specific Amount</t>
  </si>
  <si>
    <t>Comp.</t>
  </si>
  <si>
    <t>Material (Caused by supplier or Warehouse)</t>
  </si>
  <si>
    <t>=OFFSET(Sheet2!$K$2,0,0,COUNTIF(Sheet2!$K:$K,"?*"))</t>
  </si>
  <si>
    <t>Who</t>
  </si>
  <si>
    <t>Tanshi</t>
  </si>
  <si>
    <t>Dây</t>
  </si>
  <si>
    <t>Băng keo</t>
  </si>
  <si>
    <t>Máy tự động</t>
  </si>
  <si>
    <t>Bán tự động</t>
  </si>
  <si>
    <t>Nút bọc</t>
  </si>
  <si>
    <t>Khác</t>
  </si>
  <si>
    <t>Ống</t>
  </si>
  <si>
    <t>Dây đai</t>
  </si>
  <si>
    <t>Nguyên Vật Liệu</t>
  </si>
  <si>
    <t>Qui Trình</t>
  </si>
  <si>
    <t>Ghi Chú</t>
  </si>
  <si>
    <t/>
  </si>
  <si>
    <t>A4V291-7000-02</t>
  </si>
  <si>
    <t>ICHIKOH</t>
  </si>
  <si>
    <t>A4V271-3000-01</t>
  </si>
  <si>
    <t>A4Q582-3000-03</t>
  </si>
  <si>
    <t>A4Q592-7000-04</t>
  </si>
  <si>
    <t>1101ICK0005</t>
  </si>
  <si>
    <t>1101ICK0006</t>
  </si>
  <si>
    <t>1101ICK0007</t>
  </si>
  <si>
    <t>1101ICK0008</t>
  </si>
  <si>
    <t>133U100060</t>
  </si>
  <si>
    <t>F-31117-A-S</t>
  </si>
  <si>
    <t>13BE100048</t>
  </si>
  <si>
    <t>A10127200A-S</t>
  </si>
  <si>
    <t>TOKAI SHISUTEMU</t>
  </si>
  <si>
    <t>134P100653</t>
  </si>
  <si>
    <t>CCA18053=4HIW-S</t>
  </si>
  <si>
    <t>Caused by preprocess</t>
  </si>
  <si>
    <t>Mẻ, lõm, biến dạng</t>
  </si>
  <si>
    <t>Ngược nút bọc</t>
  </si>
  <si>
    <t>Ngược Diode</t>
  </si>
  <si>
    <t>Thiếu dây</t>
  </si>
  <si>
    <t>Dây ngắn/dài</t>
  </si>
  <si>
    <t>Thiếu ống</t>
  </si>
  <si>
    <t>Cấn, trầy</t>
  </si>
  <si>
    <t>Cháy dây</t>
  </si>
  <si>
    <t>Tưa lõi</t>
  </si>
  <si>
    <t>Đứt Lõi</t>
  </si>
  <si>
    <t>Bk không đạt</t>
  </si>
  <si>
    <t>Đội gờ HS</t>
  </si>
  <si>
    <t>131U100947</t>
  </si>
  <si>
    <t>99214X2165-1CJT/XIN-S</t>
  </si>
  <si>
    <t>Type</t>
  </si>
  <si>
    <t>CCA18009=3HIW-S</t>
  </si>
  <si>
    <t>134P100645</t>
  </si>
  <si>
    <t>134P100656</t>
  </si>
  <si>
    <t>CCA18155=2HIW</t>
  </si>
  <si>
    <t>131U100940</t>
  </si>
  <si>
    <t>99214X2084-1XI/JS-S(T)</t>
  </si>
  <si>
    <t>Assembly error</t>
  </si>
  <si>
    <t>Appearance</t>
  </si>
  <si>
    <t>Tanshi biến dạng</t>
  </si>
  <si>
    <t>134P100660</t>
  </si>
  <si>
    <t>CCA18162=2HIW-S</t>
  </si>
  <si>
    <t>134P100657</t>
  </si>
  <si>
    <t>CCA18157=3HIW-S</t>
  </si>
  <si>
    <t>134P100664</t>
  </si>
  <si>
    <t>CSF18509=1HIW-S</t>
  </si>
  <si>
    <t>134P100661</t>
  </si>
  <si>
    <t>CCA18163=2HIW-S</t>
  </si>
  <si>
    <t>134P100665</t>
  </si>
  <si>
    <t>CSF18512=1HIW-S</t>
  </si>
  <si>
    <t>134P100667</t>
  </si>
  <si>
    <t>CSF18515=1HIW-S</t>
  </si>
  <si>
    <t>13BB100014</t>
  </si>
  <si>
    <t>AHC0004AAA3-S</t>
  </si>
  <si>
    <t>ProcessingOthers</t>
  </si>
  <si>
    <t>ProcessingTape</t>
  </si>
  <si>
    <t>ProcessingDiode</t>
  </si>
  <si>
    <t>ProcessingWrap button</t>
  </si>
  <si>
    <t>ProcessingContact</t>
  </si>
  <si>
    <t>ProcessingPin</t>
  </si>
  <si>
    <t>ProcessingBand</t>
  </si>
  <si>
    <t>ProcessingRetainer</t>
  </si>
  <si>
    <t>ProcessingTerminal</t>
  </si>
  <si>
    <t>ProcessingTube</t>
  </si>
  <si>
    <t>ProcessingHousing</t>
  </si>
  <si>
    <t>MaterialHousing</t>
  </si>
  <si>
    <t>ProcessingWire</t>
  </si>
  <si>
    <t>MaterialOthers</t>
  </si>
  <si>
    <t>MaterialBTD</t>
  </si>
  <si>
    <t>MaterialMTD</t>
  </si>
  <si>
    <t>MaterialTape</t>
  </si>
  <si>
    <t>134P100642</t>
  </si>
  <si>
    <t>CCA18006=2HIW-S</t>
  </si>
  <si>
    <t>134P100644</t>
  </si>
  <si>
    <t>CCA18008=3HIW-S</t>
  </si>
  <si>
    <t>13AV100117</t>
  </si>
  <si>
    <t>3720-01-4-413-S(UL)</t>
  </si>
  <si>
    <t>13AV100121</t>
  </si>
  <si>
    <t>3721-01-4-413-S(UL)</t>
  </si>
  <si>
    <t>5300001YC-A(JST)</t>
  </si>
  <si>
    <t>134P100641</t>
    <phoneticPr fontId="0"/>
  </si>
  <si>
    <t>CCA18005=3HIW-S</t>
    <phoneticPr fontId="0"/>
  </si>
  <si>
    <t>HEIWA</t>
    <phoneticPr fontId="0"/>
  </si>
  <si>
    <t>CCA18005=3HIW-S</t>
  </si>
  <si>
    <t>134P100641</t>
  </si>
  <si>
    <t>134P100659</t>
    <phoneticPr fontId="0"/>
  </si>
  <si>
    <t>CCA18160=3HIW-S</t>
    <phoneticPr fontId="0"/>
  </si>
  <si>
    <t>13BJ100003</t>
    <phoneticPr fontId="0"/>
  </si>
  <si>
    <t>RENSOUKE-BURUASSY</t>
    <phoneticPr fontId="0"/>
  </si>
  <si>
    <t>13BJ100002</t>
  </si>
  <si>
    <t>MUSENSINGOU2DAI</t>
  </si>
  <si>
    <t>13BJ100001</t>
  </si>
  <si>
    <t>MUSENSINGOU5M</t>
  </si>
  <si>
    <t>134P100648</t>
  </si>
  <si>
    <t>CCA18014=2HIW-S</t>
  </si>
  <si>
    <t>131U100951</t>
  </si>
  <si>
    <t>99214X2160-2CJ/XI/JS-S</t>
  </si>
  <si>
    <t>13AV100110</t>
  </si>
  <si>
    <t>3720-01-4-401-S(UL)</t>
  </si>
  <si>
    <t xml:space="preserve">13AV100116 </t>
  </si>
  <si>
    <t>3720-01-4-412-S(UL)</t>
  </si>
  <si>
    <t xml:space="preserve">13AV100118 </t>
  </si>
  <si>
    <t>3720-01-3-417-S(UL)</t>
  </si>
  <si>
    <t>13AV100119</t>
  </si>
  <si>
    <t>3720-01-3-418-S(UL)</t>
  </si>
  <si>
    <t xml:space="preserve">13AV100122 </t>
  </si>
  <si>
    <t>3721-01-3-420-S(UL)</t>
  </si>
  <si>
    <t>13AV100113</t>
  </si>
  <si>
    <t>3720-01-4-406-S(UL)</t>
  </si>
  <si>
    <t>13BB100016</t>
  </si>
  <si>
    <t>AHC1935AAA3-S</t>
  </si>
  <si>
    <t>134P100640</t>
    <phoneticPr fontId="0"/>
  </si>
  <si>
    <t>CCA18004=4HIW-S</t>
    <phoneticPr fontId="0"/>
  </si>
  <si>
    <t>13BJ100003</t>
  </si>
  <si>
    <t>RENSOUKE-BURUASSY</t>
  </si>
  <si>
    <t>134P100640</t>
  </si>
  <si>
    <t>CCA18004=4HIW-S</t>
  </si>
  <si>
    <t>SANWA</t>
  </si>
  <si>
    <t xml:space="preserve">SANWA </t>
  </si>
  <si>
    <t xml:space="preserve"> NAGOYA</t>
  </si>
  <si>
    <t>13BB100018</t>
    <phoneticPr fontId="0"/>
  </si>
  <si>
    <t>AHC1927AAA3-S</t>
  </si>
  <si>
    <t>134P100649</t>
  </si>
  <si>
    <t>CCA18016=2HIW-S</t>
  </si>
  <si>
    <t>`</t>
  </si>
  <si>
    <t>2810832AV</t>
  </si>
  <si>
    <t>FE-ZLA815+A</t>
    <phoneticPr fontId="4"/>
  </si>
  <si>
    <t>K080168400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</si>
</sst>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yyyy"/>
    <numFmt numFmtId="165" formatCode="[$-409]d/mmm/yy;@"/>
    <numFmt numFmtId="166" formatCode="dd"/>
    <numFmt numFmtId="167" formatCode=";;;"/>
    <numFmt numFmtId="168" formatCode="mm\-yyyy"/>
    <numFmt numFmtId="169" formatCode="0_);[Red]\(0\)"/>
    <numFmt numFmtId="170" formatCode="[$-409]d\-mmm;@"/>
  </numFmts>
  <fonts count="23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b/>
      <u/>
      <sz val="14"/>
      <color rgb="FF0000FF"/>
      <name val="arial"/>
      <family val="2"/>
    </font>
    <font>
      <sz val="11"/>
      <color theme="0" tint="-0.499984740745262"/>
      <name val="Arial"/>
      <family val="2"/>
    </font>
    <font>
      <sz val="11"/>
      <color indexed="81"/>
      <name val="Tahoma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1"/>
      <name val="arial"/>
      <family val="2"/>
    </font>
    <font>
      <sz val="6"/>
      <name val="ＭＳ Ｐゴシック"/>
      <family val="3"/>
      <charset val="128"/>
    </font>
    <font>
      <sz val="11"/>
      <color theme="1"/>
      <name val="Times New Roman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9"/>
      <color theme="1"/>
      <name val="Times New Roman"/>
      <family val="1"/>
    </font>
    <font>
      <sz val="9"/>
      <color theme="1" tint="4.9989318521683403E-2"/>
      <name val="Times New Roman"/>
      <family val="1"/>
    </font>
    <font>
      <sz val="11"/>
      <color theme="1" tint="4.9989318521683403E-2"/>
      <name val="Times New Roman"/>
      <family val="1"/>
    </font>
    <font>
      <sz val="12"/>
      <color theme="1"/>
      <name val="Times New Roman"/>
      <family val="1"/>
    </font>
    <font>
      <sz val="12"/>
      <color theme="1" tint="4.9989318521683403E-2"/>
      <name val="Times New Roman"/>
      <family val="1"/>
    </font>
    <font>
      <sz val="12"/>
      <color rgb="FF000000"/>
      <name val="Times New Roman"/>
      <family val="1"/>
    </font>
    <font>
      <sz val="12"/>
      <color rgb="FF0D0D0D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0" tint="-0.499984740745262"/>
      </right>
      <top style="thick">
        <color theme="0" tint="-0.499984740745262"/>
      </top>
      <bottom/>
      <diagonal/>
    </border>
    <border>
      <left style="thick">
        <color theme="0" tint="-0.499984740745262"/>
      </left>
      <right/>
      <top/>
      <bottom/>
      <diagonal/>
    </border>
    <border>
      <left/>
      <right style="thick">
        <color theme="0" tint="-0.499984740745262"/>
      </right>
      <top/>
      <bottom/>
      <diagonal/>
    </border>
    <border>
      <left/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theme="0" tint="-0.499984740745262"/>
      </left>
      <right style="medium">
        <color theme="0"/>
      </right>
      <top style="thin">
        <color theme="0" tint="-0.499984740745262"/>
      </top>
      <bottom style="medium">
        <color theme="0"/>
      </bottom>
      <diagonal/>
    </border>
    <border>
      <left style="medium">
        <color theme="0"/>
      </left>
      <right style="thin">
        <color theme="0" tint="-0.499984740745262"/>
      </right>
      <top style="medium">
        <color theme="0"/>
      </top>
      <bottom style="thin">
        <color theme="0" tint="-0.499984740745262"/>
      </bottom>
      <diagonal/>
    </border>
    <border>
      <left style="medium">
        <color theme="0"/>
      </left>
      <right/>
      <top style="medium">
        <color theme="0"/>
      </top>
      <bottom style="thin">
        <color theme="0" tint="-0.499984740745262"/>
      </bottom>
      <diagonal/>
    </border>
    <border>
      <left/>
      <right/>
      <top style="medium">
        <color theme="0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0" tint="-0.499984740745262"/>
      </top>
      <bottom style="medium">
        <color theme="0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 style="hair">
        <color auto="1"/>
      </right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medium">
        <color theme="0"/>
      </right>
      <top style="thin">
        <color theme="0" tint="-0.499984740745262"/>
      </top>
      <bottom style="thin">
        <color theme="0"/>
      </bottom>
      <diagonal/>
    </border>
    <border>
      <left style="thin">
        <color theme="0" tint="-0.499984740745262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 tint="-0.499984740745262"/>
      </right>
      <top style="medium">
        <color theme="0"/>
      </top>
      <bottom style="thin">
        <color theme="0" tint="-0.24994659260841701"/>
      </bottom>
      <diagonal/>
    </border>
    <border>
      <left style="medium">
        <color theme="0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/>
      </left>
      <right/>
      <top style="medium">
        <color theme="0"/>
      </top>
      <bottom style="thin">
        <color theme="0" tint="-0.34998626667073579"/>
      </bottom>
      <diagonal/>
    </border>
    <border>
      <left/>
      <right/>
      <top style="medium">
        <color theme="0"/>
      </top>
      <bottom style="thin">
        <color theme="0" tint="-0.34998626667073579"/>
      </bottom>
      <diagonal/>
    </border>
    <border>
      <left/>
      <right style="thin">
        <color theme="0" tint="-0.499984740745262"/>
      </right>
      <top style="medium">
        <color theme="0"/>
      </top>
      <bottom style="thin">
        <color theme="0" tint="-0.34998626667073579"/>
      </bottom>
      <diagonal/>
    </border>
    <border>
      <left style="medium">
        <color theme="0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Up="1"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 style="thin">
        <color auto="1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 diagonalUp="1"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 style="thin">
        <color auto="1"/>
      </diagonal>
    </border>
    <border diagonalUp="1"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 style="thin">
        <color auto="1"/>
      </diagonal>
    </border>
    <border diagonalUp="1">
      <left style="hair">
        <color auto="1"/>
      </left>
      <right style="thick">
        <color auto="1"/>
      </right>
      <top style="hair">
        <color auto="1"/>
      </top>
      <bottom style="medium">
        <color indexed="64"/>
      </bottom>
      <diagonal style="thin">
        <color auto="1"/>
      </diagonal>
    </border>
    <border>
      <left style="thick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theme="0"/>
      </left>
      <right style="thin">
        <color theme="0" tint="-0.499984740745262"/>
      </right>
      <top style="thin">
        <color theme="0" tint="-0.24994659260841701"/>
      </top>
      <bottom/>
      <diagonal/>
    </border>
    <border>
      <left style="medium">
        <color theme="0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499984740745262"/>
      </right>
      <top style="thin">
        <color theme="0" tint="-0.34998626667073579"/>
      </top>
      <bottom/>
      <diagonal/>
    </border>
    <border>
      <left style="thin">
        <color theme="0" tint="-0.499984740745262"/>
      </left>
      <right style="medium">
        <color theme="0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medium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medium">
        <color theme="0"/>
      </right>
      <top style="thin">
        <color theme="0" tint="-0.24994659260841701"/>
      </top>
      <bottom style="medium">
        <color theme="0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34998626667073579"/>
      </bottom>
      <diagonal/>
    </border>
    <border>
      <left/>
      <right/>
      <top style="thin">
        <color theme="0" tint="-0.499984740745262"/>
      </top>
      <bottom style="thin">
        <color theme="0" tint="-0.34998626667073579"/>
      </bottom>
      <diagonal/>
    </border>
    <border>
      <left/>
      <right style="medium">
        <color theme="0"/>
      </right>
      <top style="thin">
        <color theme="0" tint="-0.499984740745262"/>
      </top>
      <bottom style="thin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/>
      <top style="thin">
        <color theme="0" tint="-0.34998626667073579"/>
      </top>
      <bottom style="medium">
        <color theme="0"/>
      </bottom>
      <diagonal/>
    </border>
    <border>
      <left/>
      <right/>
      <top style="thin">
        <color theme="0" tint="-0.34998626667073579"/>
      </top>
      <bottom style="medium">
        <color theme="0"/>
      </bottom>
      <diagonal/>
    </border>
    <border>
      <left/>
      <right style="medium">
        <color theme="0"/>
      </right>
      <top style="thin">
        <color theme="0" tint="-0.34998626667073579"/>
      </top>
      <bottom style="medium">
        <color theme="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theme="0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5" fontId="3" fillId="0" borderId="0">
      <alignment vertical="center"/>
    </xf>
    <xf numFmtId="165" fontId="4" fillId="0" borderId="0"/>
    <xf numFmtId="0" fontId="3" fillId="0" borderId="0">
      <alignment vertical="center"/>
    </xf>
    <xf numFmtId="0" fontId="1" fillId="0" borderId="0"/>
  </cellStyleXfs>
  <cellXfs count="23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3" borderId="12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3" borderId="19" xfId="0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3" borderId="15" xfId="0" applyFill="1" applyBorder="1" applyProtection="1"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2" borderId="10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7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9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164" fontId="0" fillId="7" borderId="1" xfId="0" applyNumberFormat="1" applyFill="1" applyBorder="1" applyAlignment="1">
      <alignment horizontal="center" vertical="center" wrapText="1"/>
    </xf>
    <xf numFmtId="14" fontId="0" fillId="7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2" borderId="3" xfId="0" applyFont="1" applyFill="1" applyBorder="1" applyProtection="1">
      <protection locked="0"/>
    </xf>
    <xf numFmtId="164" fontId="0" fillId="0" borderId="0" xfId="0" applyNumberFormat="1" applyProtection="1">
      <protection locked="0"/>
    </xf>
    <xf numFmtId="164" fontId="0" fillId="2" borderId="0" xfId="0" applyNumberFormat="1" applyFill="1" applyProtection="1">
      <protection locked="0"/>
    </xf>
    <xf numFmtId="164" fontId="0" fillId="3" borderId="11" xfId="0" applyNumberFormat="1" applyFill="1" applyBorder="1" applyProtection="1">
      <protection locked="0"/>
    </xf>
    <xf numFmtId="164" fontId="0" fillId="3" borderId="14" xfId="0" applyNumberFormat="1" applyFill="1" applyBorder="1" applyProtection="1">
      <protection locked="0"/>
    </xf>
    <xf numFmtId="164" fontId="0" fillId="3" borderId="16" xfId="0" applyNumberFormat="1" applyFill="1" applyBorder="1" applyProtection="1">
      <protection locked="0"/>
    </xf>
    <xf numFmtId="164" fontId="0" fillId="2" borderId="7" xfId="0" applyNumberFormat="1" applyFill="1" applyBorder="1" applyProtection="1">
      <protection locked="0"/>
    </xf>
    <xf numFmtId="0" fontId="0" fillId="8" borderId="1" xfId="0" applyFill="1" applyBorder="1" applyAlignment="1">
      <alignment horizontal="center" vertical="center" wrapText="1"/>
    </xf>
    <xf numFmtId="168" fontId="0" fillId="0" borderId="0" xfId="0" applyNumberFormat="1" applyAlignment="1">
      <alignment vertical="center"/>
    </xf>
    <xf numFmtId="168" fontId="0" fillId="7" borderId="1" xfId="0" applyNumberFormat="1" applyFill="1" applyBorder="1" applyAlignment="1">
      <alignment horizontal="center" vertical="center" wrapText="1"/>
    </xf>
    <xf numFmtId="168" fontId="0" fillId="0" borderId="28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  <protection locked="0"/>
    </xf>
    <xf numFmtId="0" fontId="6" fillId="3" borderId="12" xfId="0" applyFont="1" applyFill="1" applyBorder="1" applyProtection="1">
      <protection locked="0"/>
    </xf>
    <xf numFmtId="0" fontId="0" fillId="0" borderId="1" xfId="0" applyBorder="1"/>
    <xf numFmtId="164" fontId="0" fillId="0" borderId="26" xfId="0" applyNumberFormat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11" fontId="0" fillId="0" borderId="26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8" fontId="0" fillId="0" borderId="26" xfId="0" applyNumberFormat="1" applyBorder="1" applyAlignment="1">
      <alignment horizontal="center" vertical="center"/>
    </xf>
    <xf numFmtId="11" fontId="0" fillId="0" borderId="28" xfId="0" applyNumberFormat="1" applyBorder="1" applyAlignment="1">
      <alignment horizontal="center" vertical="center"/>
    </xf>
    <xf numFmtId="0" fontId="0" fillId="0" borderId="32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7" xfId="0" applyBorder="1" applyProtection="1">
      <protection locked="0"/>
    </xf>
    <xf numFmtId="0" fontId="0" fillId="0" borderId="38" xfId="0" applyBorder="1" applyProtection="1">
      <protection locked="0"/>
    </xf>
    <xf numFmtId="0" fontId="0" fillId="0" borderId="39" xfId="0" applyBorder="1" applyProtection="1">
      <protection locked="0"/>
    </xf>
    <xf numFmtId="0" fontId="0" fillId="0" borderId="40" xfId="0" applyBorder="1" applyProtection="1">
      <protection locked="0"/>
    </xf>
    <xf numFmtId="0" fontId="0" fillId="0" borderId="0" xfId="0" quotePrefix="1" applyProtection="1">
      <protection locked="0"/>
    </xf>
    <xf numFmtId="0" fontId="0" fillId="5" borderId="20" xfId="0" applyFill="1" applyBorder="1" applyAlignment="1" applyProtection="1">
      <alignment horizontal="center" vertical="center"/>
      <protection locked="0"/>
    </xf>
    <xf numFmtId="0" fontId="9" fillId="5" borderId="20" xfId="0" applyFont="1" applyFill="1" applyBorder="1" applyAlignment="1" applyProtection="1">
      <alignment horizontal="center" vertical="center" wrapText="1"/>
      <protection locked="0"/>
    </xf>
    <xf numFmtId="3" fontId="0" fillId="0" borderId="44" xfId="0" applyNumberFormat="1" applyBorder="1" applyAlignment="1" applyProtection="1">
      <alignment horizontal="center" vertical="center"/>
      <protection locked="0"/>
    </xf>
    <xf numFmtId="3" fontId="0" fillId="0" borderId="45" xfId="0" applyNumberFormat="1" applyBorder="1" applyAlignment="1" applyProtection="1">
      <alignment horizontal="center" vertical="center"/>
      <protection locked="0"/>
    </xf>
    <xf numFmtId="0" fontId="0" fillId="0" borderId="27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67" fontId="0" fillId="3" borderId="0" xfId="0" applyNumberFormat="1" applyFill="1" applyProtection="1"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0" fontId="0" fillId="0" borderId="53" xfId="0" applyBorder="1" applyProtection="1">
      <protection locked="0"/>
    </xf>
    <xf numFmtId="0" fontId="0" fillId="0" borderId="52" xfId="0" applyBorder="1" applyProtection="1">
      <protection locked="0"/>
    </xf>
    <xf numFmtId="0" fontId="0" fillId="0" borderId="36" xfId="0" applyBorder="1" applyProtection="1">
      <protection locked="0"/>
    </xf>
    <xf numFmtId="3" fontId="0" fillId="0" borderId="44" xfId="0" applyNumberFormat="1" applyBorder="1" applyAlignment="1" applyProtection="1">
      <alignment horizontal="left" vertical="center"/>
      <protection locked="0"/>
    </xf>
    <xf numFmtId="3" fontId="0" fillId="0" borderId="45" xfId="0" applyNumberFormat="1" applyBorder="1" applyAlignment="1" applyProtection="1">
      <alignment horizontal="left" vertical="center"/>
      <protection locked="0"/>
    </xf>
    <xf numFmtId="0" fontId="0" fillId="0" borderId="54" xfId="0" applyBorder="1" applyAlignment="1" applyProtection="1">
      <alignment vertical="center" wrapText="1"/>
      <protection locked="0"/>
    </xf>
    <xf numFmtId="0" fontId="11" fillId="0" borderId="0" xfId="0" applyFont="1" applyProtection="1">
      <protection locked="0"/>
    </xf>
    <xf numFmtId="0" fontId="0" fillId="0" borderId="56" xfId="0" applyBorder="1" applyAlignment="1" applyProtection="1">
      <alignment vertical="center" wrapText="1"/>
      <protection locked="0"/>
    </xf>
    <xf numFmtId="0" fontId="0" fillId="0" borderId="58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28" xfId="0" applyBorder="1" applyAlignment="1" applyProtection="1">
      <alignment vertical="center" wrapText="1"/>
      <protection locked="0"/>
    </xf>
    <xf numFmtId="3" fontId="10" fillId="0" borderId="44" xfId="0" applyNumberFormat="1" applyFont="1" applyBorder="1" applyAlignment="1" applyProtection="1">
      <alignment horizontal="left" vertical="center"/>
      <protection locked="0"/>
    </xf>
    <xf numFmtId="3" fontId="10" fillId="0" borderId="45" xfId="0" applyNumberFormat="1" applyFont="1" applyBorder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quotePrefix="1" applyProtection="1">
      <protection hidden="1"/>
    </xf>
    <xf numFmtId="0" fontId="0" fillId="2" borderId="4" xfId="0" applyFill="1" applyBorder="1" applyProtection="1">
      <protection hidden="1"/>
    </xf>
    <xf numFmtId="0" fontId="0" fillId="2" borderId="6" xfId="0" applyFill="1" applyBorder="1" applyProtection="1">
      <protection hidden="1"/>
    </xf>
    <xf numFmtId="3" fontId="0" fillId="0" borderId="0" xfId="0" applyNumberFormat="1" applyAlignment="1" applyProtection="1">
      <alignment horizontal="left" vertical="center"/>
      <protection hidden="1"/>
    </xf>
    <xf numFmtId="0" fontId="0" fillId="11" borderId="62" xfId="0" applyFill="1" applyBorder="1" applyAlignment="1" applyProtection="1">
      <alignment horizontal="centerContinuous"/>
      <protection hidden="1"/>
    </xf>
    <xf numFmtId="0" fontId="0" fillId="11" borderId="63" xfId="0" applyFill="1" applyBorder="1" applyAlignment="1" applyProtection="1">
      <alignment horizontal="centerContinuous"/>
      <protection hidden="1"/>
    </xf>
    <xf numFmtId="0" fontId="0" fillId="11" borderId="64" xfId="0" applyFill="1" applyBorder="1" applyAlignment="1" applyProtection="1">
      <alignment horizontal="centerContinuous"/>
      <protection hidden="1"/>
    </xf>
    <xf numFmtId="0" fontId="0" fillId="7" borderId="65" xfId="0" applyFill="1" applyBorder="1" applyAlignment="1" applyProtection="1">
      <alignment horizontal="centerContinuous" vertical="center"/>
      <protection hidden="1"/>
    </xf>
    <xf numFmtId="0" fontId="0" fillId="7" borderId="66" xfId="0" applyFill="1" applyBorder="1" applyAlignment="1" applyProtection="1">
      <alignment horizontal="centerContinuous" vertical="center"/>
      <protection hidden="1"/>
    </xf>
    <xf numFmtId="0" fontId="0" fillId="10" borderId="67" xfId="0" applyFill="1" applyBorder="1" applyAlignment="1" applyProtection="1">
      <alignment horizontal="centerContinuous" vertical="center"/>
      <protection hidden="1"/>
    </xf>
    <xf numFmtId="0" fontId="0" fillId="10" borderId="68" xfId="0" applyFill="1" applyBorder="1" applyAlignment="1" applyProtection="1">
      <alignment horizontal="centerContinuous" vertical="center"/>
      <protection hidden="1"/>
    </xf>
    <xf numFmtId="0" fontId="0" fillId="0" borderId="69" xfId="0" applyBorder="1" applyAlignment="1" applyProtection="1">
      <alignment vertical="center"/>
      <protection hidden="1"/>
    </xf>
    <xf numFmtId="0" fontId="0" fillId="0" borderId="59" xfId="0" applyBorder="1" applyAlignment="1" applyProtection="1">
      <alignment vertical="center"/>
      <protection hidden="1"/>
    </xf>
    <xf numFmtId="0" fontId="0" fillId="0" borderId="60" xfId="0" applyBorder="1" applyAlignment="1" applyProtection="1">
      <alignment vertical="center"/>
      <protection hidden="1"/>
    </xf>
    <xf numFmtId="0" fontId="0" fillId="0" borderId="70" xfId="0" applyBorder="1" applyAlignment="1" applyProtection="1">
      <alignment vertical="center"/>
      <protection hidden="1"/>
    </xf>
    <xf numFmtId="0" fontId="0" fillId="0" borderId="71" xfId="0" applyBorder="1" applyAlignment="1" applyProtection="1">
      <alignment vertical="center"/>
      <protection hidden="1"/>
    </xf>
    <xf numFmtId="0" fontId="0" fillId="0" borderId="61" xfId="0" applyBorder="1" applyAlignment="1" applyProtection="1">
      <alignment vertical="center"/>
      <protection hidden="1"/>
    </xf>
    <xf numFmtId="0" fontId="0" fillId="0" borderId="72" xfId="0" applyBorder="1" applyAlignment="1" applyProtection="1">
      <alignment vertical="center"/>
      <protection hidden="1"/>
    </xf>
    <xf numFmtId="0" fontId="0" fillId="0" borderId="73" xfId="0" applyBorder="1" applyAlignment="1" applyProtection="1">
      <alignment vertical="center"/>
      <protection hidden="1"/>
    </xf>
    <xf numFmtId="0" fontId="0" fillId="0" borderId="74" xfId="0" applyBorder="1" applyAlignment="1" applyProtection="1">
      <alignment vertical="center"/>
      <protection hidden="1"/>
    </xf>
    <xf numFmtId="0" fontId="0" fillId="0" borderId="75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2" borderId="8" xfId="0" applyFill="1" applyBorder="1" applyProtection="1"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0" fillId="0" borderId="53" xfId="0" applyBorder="1" applyAlignment="1" applyProtection="1">
      <alignment horizontal="center" vertical="center"/>
      <protection hidden="1"/>
    </xf>
    <xf numFmtId="0" fontId="0" fillId="0" borderId="53" xfId="0" applyBorder="1" applyAlignment="1" applyProtection="1">
      <alignment horizontal="left" vertical="center"/>
      <protection hidden="1"/>
    </xf>
    <xf numFmtId="0" fontId="0" fillId="0" borderId="53" xfId="0" applyBorder="1" applyAlignment="1" applyProtection="1">
      <alignment horizontal="center"/>
      <protection hidden="1"/>
    </xf>
    <xf numFmtId="0" fontId="0" fillId="0" borderId="53" xfId="0" applyBorder="1" applyProtection="1">
      <protection hidden="1"/>
    </xf>
    <xf numFmtId="166" fontId="0" fillId="4" borderId="19" xfId="0" applyNumberForma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4" borderId="19" xfId="0" applyFill="1" applyBorder="1" applyAlignment="1" applyProtection="1">
      <alignment horizontal="center" vertical="center"/>
      <protection hidden="1"/>
    </xf>
    <xf numFmtId="167" fontId="0" fillId="3" borderId="0" xfId="0" applyNumberFormat="1" applyFill="1" applyProtection="1">
      <protection hidden="1"/>
    </xf>
    <xf numFmtId="3" fontId="0" fillId="0" borderId="0" xfId="0" applyNumberFormat="1" applyAlignment="1" applyProtection="1">
      <alignment horizontal="center" vertical="center"/>
      <protection hidden="1"/>
    </xf>
    <xf numFmtId="167" fontId="0" fillId="3" borderId="0" xfId="0" applyNumberFormat="1" applyFill="1" applyAlignment="1" applyProtection="1">
      <alignment horizontal="center" vertical="center"/>
      <protection hidden="1"/>
    </xf>
    <xf numFmtId="0" fontId="8" fillId="9" borderId="42" xfId="0" applyFont="1" applyFill="1" applyBorder="1" applyAlignment="1" applyProtection="1">
      <alignment horizontal="left" vertical="center"/>
      <protection hidden="1"/>
    </xf>
    <xf numFmtId="0" fontId="8" fillId="3" borderId="42" xfId="0" applyFont="1" applyFill="1" applyBorder="1" applyAlignment="1" applyProtection="1">
      <alignment horizontal="left" vertical="center"/>
      <protection hidden="1"/>
    </xf>
    <xf numFmtId="0" fontId="8" fillId="3" borderId="43" xfId="0" applyFont="1" applyFill="1" applyBorder="1" applyAlignment="1" applyProtection="1">
      <alignment horizontal="left" vertical="center"/>
      <protection hidden="1"/>
    </xf>
    <xf numFmtId="0" fontId="0" fillId="3" borderId="15" xfId="0" applyFill="1" applyBorder="1" applyProtection="1">
      <protection hidden="1"/>
    </xf>
    <xf numFmtId="3" fontId="0" fillId="3" borderId="0" xfId="0" applyNumberFormat="1" applyFill="1" applyAlignment="1" applyProtection="1">
      <alignment horizontal="center" vertical="center"/>
      <protection hidden="1"/>
    </xf>
    <xf numFmtId="0" fontId="0" fillId="3" borderId="17" xfId="0" applyFill="1" applyBorder="1" applyAlignment="1" applyProtection="1">
      <alignment vertical="center"/>
      <protection hidden="1"/>
    </xf>
    <xf numFmtId="0" fontId="0" fillId="3" borderId="17" xfId="0" applyFill="1" applyBorder="1" applyProtection="1">
      <protection hidden="1"/>
    </xf>
    <xf numFmtId="0" fontId="0" fillId="3" borderId="18" xfId="0" applyFill="1" applyBorder="1" applyProtection="1">
      <protection hidden="1"/>
    </xf>
    <xf numFmtId="3" fontId="0" fillId="0" borderId="76" xfId="0" applyNumberFormat="1" applyBorder="1" applyAlignment="1" applyProtection="1">
      <alignment horizontal="center" vertical="center"/>
      <protection locked="0"/>
    </xf>
    <xf numFmtId="3" fontId="10" fillId="0" borderId="76" xfId="0" applyNumberFormat="1" applyFont="1" applyBorder="1" applyAlignment="1" applyProtection="1">
      <alignment horizontal="left" vertical="center"/>
      <protection locked="0"/>
    </xf>
    <xf numFmtId="3" fontId="0" fillId="0" borderId="76" xfId="0" applyNumberFormat="1" applyBorder="1" applyAlignment="1" applyProtection="1">
      <alignment horizontal="left" vertical="center"/>
      <protection locked="0"/>
    </xf>
    <xf numFmtId="3" fontId="0" fillId="3" borderId="80" xfId="0" applyNumberFormat="1" applyFill="1" applyBorder="1" applyAlignment="1" applyProtection="1">
      <alignment horizontal="center" vertical="center"/>
      <protection locked="0"/>
    </xf>
    <xf numFmtId="3" fontId="0" fillId="3" borderId="81" xfId="0" applyNumberFormat="1" applyFill="1" applyBorder="1" applyAlignment="1" applyProtection="1">
      <alignment horizontal="center" vertical="center"/>
      <protection locked="0"/>
    </xf>
    <xf numFmtId="3" fontId="0" fillId="3" borderId="82" xfId="0" applyNumberFormat="1" applyFill="1" applyBorder="1" applyAlignment="1" applyProtection="1">
      <alignment horizontal="center" vertical="center"/>
      <protection locked="0"/>
    </xf>
    <xf numFmtId="3" fontId="10" fillId="3" borderId="80" xfId="0" applyNumberFormat="1" applyFont="1" applyFill="1" applyBorder="1" applyAlignment="1" applyProtection="1">
      <alignment horizontal="left" vertical="center"/>
      <protection locked="0"/>
    </xf>
    <xf numFmtId="3" fontId="10" fillId="3" borderId="81" xfId="0" applyNumberFormat="1" applyFont="1" applyFill="1" applyBorder="1" applyAlignment="1" applyProtection="1">
      <alignment horizontal="left" vertical="center"/>
      <protection locked="0"/>
    </xf>
    <xf numFmtId="3" fontId="10" fillId="3" borderId="82" xfId="0" applyNumberFormat="1" applyFont="1" applyFill="1" applyBorder="1" applyAlignment="1" applyProtection="1">
      <alignment horizontal="left" vertical="center"/>
      <protection locked="0"/>
    </xf>
    <xf numFmtId="3" fontId="0" fillId="3" borderId="80" xfId="0" applyNumberFormat="1" applyFill="1" applyBorder="1" applyAlignment="1" applyProtection="1">
      <alignment horizontal="left" vertical="center"/>
      <protection locked="0"/>
    </xf>
    <xf numFmtId="3" fontId="0" fillId="3" borderId="81" xfId="0" applyNumberFormat="1" applyFill="1" applyBorder="1" applyAlignment="1" applyProtection="1">
      <alignment horizontal="left" vertical="center"/>
      <protection locked="0"/>
    </xf>
    <xf numFmtId="3" fontId="0" fillId="3" borderId="82" xfId="0" applyNumberFormat="1" applyFill="1" applyBorder="1" applyAlignment="1" applyProtection="1">
      <alignment horizontal="left" vertical="center"/>
      <protection locked="0"/>
    </xf>
    <xf numFmtId="0" fontId="0" fillId="0" borderId="30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8" fillId="9" borderId="41" xfId="0" applyFont="1" applyFill="1" applyBorder="1" applyAlignment="1" applyProtection="1">
      <alignment horizontal="left" vertical="center"/>
      <protection hidden="1"/>
    </xf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4" xfId="0" applyBorder="1"/>
    <xf numFmtId="0" fontId="0" fillId="0" borderId="95" xfId="0" applyBorder="1"/>
    <xf numFmtId="0" fontId="0" fillId="0" borderId="96" xfId="0" applyBorder="1"/>
    <xf numFmtId="0" fontId="0" fillId="0" borderId="97" xfId="0" applyBorder="1"/>
    <xf numFmtId="0" fontId="0" fillId="0" borderId="98" xfId="0" applyBorder="1"/>
    <xf numFmtId="0" fontId="0" fillId="0" borderId="99" xfId="0" applyBorder="1"/>
    <xf numFmtId="3" fontId="0" fillId="0" borderId="100" xfId="0" applyNumberFormat="1" applyBorder="1" applyAlignment="1" applyProtection="1">
      <alignment horizontal="left" vertical="center"/>
      <protection locked="0"/>
    </xf>
    <xf numFmtId="0" fontId="0" fillId="0" borderId="101" xfId="0" applyBorder="1" applyAlignment="1">
      <alignment horizontal="center" vertical="center"/>
    </xf>
    <xf numFmtId="170" fontId="0" fillId="0" borderId="9" xfId="0" applyNumberFormat="1" applyBorder="1" applyAlignment="1">
      <alignment horizontal="center"/>
    </xf>
    <xf numFmtId="0" fontId="13" fillId="0" borderId="1" xfId="4" applyFont="1" applyBorder="1"/>
    <xf numFmtId="165" fontId="14" fillId="0" borderId="1" xfId="2" applyFont="1" applyBorder="1" applyAlignment="1">
      <alignment horizontal="center" vertical="center" wrapText="1"/>
    </xf>
    <xf numFmtId="165" fontId="14" fillId="0" borderId="28" xfId="2" applyFont="1" applyBorder="1" applyAlignment="1">
      <alignment horizontal="center" vertical="center" wrapText="1"/>
    </xf>
    <xf numFmtId="0" fontId="15" fillId="0" borderId="1" xfId="1" applyNumberFormat="1" applyFont="1" applyBorder="1" applyAlignment="1">
      <alignment horizontal="left" vertical="center"/>
    </xf>
    <xf numFmtId="165" fontId="15" fillId="0" borderId="1" xfId="1" applyFont="1" applyBorder="1" applyAlignment="1">
      <alignment horizontal="left" vertical="center"/>
    </xf>
    <xf numFmtId="0" fontId="13" fillId="0" borderId="0" xfId="0" applyFont="1"/>
    <xf numFmtId="169" fontId="16" fillId="0" borderId="1" xfId="2" applyNumberFormat="1" applyFont="1" applyBorder="1" applyAlignment="1">
      <alignment horizontal="left" vertical="top"/>
    </xf>
    <xf numFmtId="170" fontId="16" fillId="0" borderId="1" xfId="0" applyNumberFormat="1" applyFont="1" applyBorder="1" applyAlignment="1">
      <alignment horizontal="left" vertical="top"/>
    </xf>
    <xf numFmtId="170" fontId="17" fillId="0" borderId="1" xfId="3" applyNumberFormat="1" applyFont="1" applyBorder="1" applyAlignment="1">
      <alignment horizontal="left" vertical="top"/>
    </xf>
    <xf numFmtId="0" fontId="13" fillId="0" borderId="1" xfId="0" applyFont="1" applyBorder="1"/>
    <xf numFmtId="0" fontId="13" fillId="0" borderId="28" xfId="0" applyFont="1" applyBorder="1"/>
    <xf numFmtId="169" fontId="13" fillId="0" borderId="0" xfId="2" applyNumberFormat="1" applyFont="1" applyAlignment="1">
      <alignment horizontal="left" vertical="top"/>
    </xf>
    <xf numFmtId="49" fontId="13" fillId="0" borderId="0" xfId="0" applyNumberFormat="1" applyFont="1" applyAlignment="1">
      <alignment horizontal="left" vertical="top"/>
    </xf>
    <xf numFmtId="170" fontId="18" fillId="0" borderId="0" xfId="3" applyNumberFormat="1" applyFont="1" applyAlignment="1">
      <alignment horizontal="left" vertical="top"/>
    </xf>
    <xf numFmtId="0" fontId="13" fillId="0" borderId="0" xfId="0" applyFont="1" applyAlignment="1">
      <alignment horizontal="left" vertical="top"/>
    </xf>
    <xf numFmtId="169" fontId="19" fillId="0" borderId="1" xfId="2" applyNumberFormat="1" applyFont="1" applyBorder="1" applyAlignment="1">
      <alignment horizontal="center"/>
    </xf>
    <xf numFmtId="170" fontId="19" fillId="0" borderId="1" xfId="0" applyNumberFormat="1" applyFont="1" applyBorder="1" applyAlignment="1">
      <alignment vertical="center"/>
    </xf>
    <xf numFmtId="170" fontId="20" fillId="0" borderId="1" xfId="3" applyNumberFormat="1" applyFont="1" applyBorder="1" applyAlignment="1">
      <alignment horizontal="left" vertical="center"/>
    </xf>
    <xf numFmtId="49" fontId="19" fillId="0" borderId="1" xfId="0" applyNumberFormat="1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vertical="center"/>
    </xf>
    <xf numFmtId="0" fontId="22" fillId="0" borderId="1" xfId="0" applyFont="1" applyBorder="1" applyAlignment="1">
      <alignment vertical="center"/>
    </xf>
    <xf numFmtId="169" fontId="19" fillId="0" borderId="0" xfId="2" applyNumberFormat="1" applyFont="1" applyAlignment="1">
      <alignment horizontal="center"/>
    </xf>
    <xf numFmtId="49" fontId="19" fillId="0" borderId="0" xfId="0" applyNumberFormat="1" applyFont="1" applyAlignment="1">
      <alignment horizontal="left" vertical="center"/>
    </xf>
    <xf numFmtId="170" fontId="20" fillId="0" borderId="0" xfId="3" applyNumberFormat="1" applyFont="1" applyAlignment="1">
      <alignment horizontal="left" vertical="center"/>
    </xf>
    <xf numFmtId="0" fontId="22" fillId="0" borderId="102" xfId="0" applyFont="1" applyBorder="1" applyAlignment="1">
      <alignment vertical="center"/>
    </xf>
    <xf numFmtId="0" fontId="0" fillId="12" borderId="28" xfId="0" applyFill="1" applyBorder="1" applyAlignment="1">
      <alignment horizontal="center" vertical="center"/>
    </xf>
    <xf numFmtId="0" fontId="0" fillId="0" borderId="36" xfId="0" applyBorder="1" applyAlignment="1" applyProtection="1">
      <alignment horizontal="center" vertical="center" wrapText="1"/>
      <protection locked="0"/>
    </xf>
    <xf numFmtId="0" fontId="0" fillId="0" borderId="37" xfId="0" applyBorder="1" applyAlignment="1" applyProtection="1">
      <alignment horizontal="center" vertical="center" wrapText="1"/>
      <protection locked="0"/>
    </xf>
    <xf numFmtId="0" fontId="0" fillId="0" borderId="38" xfId="0" applyBorder="1" applyAlignment="1" applyProtection="1">
      <alignment horizontal="center" vertical="center" wrapText="1"/>
      <protection locked="0"/>
    </xf>
    <xf numFmtId="0" fontId="8" fillId="3" borderId="86" xfId="0" applyFont="1" applyFill="1" applyBorder="1" applyAlignment="1" applyProtection="1">
      <alignment horizontal="left" vertical="center"/>
      <protection locked="0"/>
    </xf>
    <xf numFmtId="0" fontId="8" fillId="3" borderId="50" xfId="0" applyFont="1" applyFill="1" applyBorder="1" applyAlignment="1" applyProtection="1">
      <alignment horizontal="left" vertical="center"/>
      <protection locked="0"/>
    </xf>
    <xf numFmtId="0" fontId="8" fillId="3" borderId="87" xfId="0" applyFont="1" applyFill="1" applyBorder="1" applyAlignment="1" applyProtection="1">
      <alignment horizontal="left" vertical="center"/>
      <protection locked="0"/>
    </xf>
    <xf numFmtId="0" fontId="8" fillId="3" borderId="88" xfId="0" applyFont="1" applyFill="1" applyBorder="1" applyAlignment="1" applyProtection="1">
      <alignment horizontal="left" vertical="center"/>
      <protection locked="0"/>
    </xf>
    <xf numFmtId="0" fontId="8" fillId="3" borderId="89" xfId="0" applyFont="1" applyFill="1" applyBorder="1" applyAlignment="1" applyProtection="1">
      <alignment horizontal="left" vertical="center"/>
      <protection locked="0"/>
    </xf>
    <xf numFmtId="0" fontId="8" fillId="3" borderId="90" xfId="0" applyFont="1" applyFill="1" applyBorder="1" applyAlignment="1" applyProtection="1">
      <alignment horizontal="left" vertical="center"/>
      <protection locked="0"/>
    </xf>
    <xf numFmtId="0" fontId="0" fillId="5" borderId="21" xfId="0" applyFill="1" applyBorder="1" applyAlignment="1" applyProtection="1">
      <alignment horizontal="center" vertical="center"/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8" fillId="6" borderId="46" xfId="0" applyFont="1" applyFill="1" applyBorder="1" applyAlignment="1" applyProtection="1">
      <alignment horizontal="left" vertical="center"/>
      <protection locked="0"/>
    </xf>
    <xf numFmtId="0" fontId="8" fillId="6" borderId="47" xfId="0" applyFont="1" applyFill="1" applyBorder="1" applyAlignment="1" applyProtection="1">
      <alignment horizontal="left" vertical="center"/>
      <protection locked="0"/>
    </xf>
    <xf numFmtId="0" fontId="8" fillId="6" borderId="48" xfId="0" applyFont="1" applyFill="1" applyBorder="1" applyAlignment="1" applyProtection="1">
      <alignment horizontal="left" vertical="center"/>
      <protection locked="0"/>
    </xf>
    <xf numFmtId="0" fontId="8" fillId="6" borderId="49" xfId="0" applyFont="1" applyFill="1" applyBorder="1" applyAlignment="1" applyProtection="1">
      <alignment horizontal="left" vertical="center"/>
      <protection locked="0"/>
    </xf>
    <xf numFmtId="0" fontId="8" fillId="6" borderId="50" xfId="0" applyFont="1" applyFill="1" applyBorder="1" applyAlignment="1" applyProtection="1">
      <alignment horizontal="left" vertical="center"/>
      <protection locked="0"/>
    </xf>
    <xf numFmtId="0" fontId="8" fillId="6" borderId="51" xfId="0" applyFont="1" applyFill="1" applyBorder="1" applyAlignment="1" applyProtection="1">
      <alignment horizontal="left" vertical="center"/>
      <protection locked="0"/>
    </xf>
    <xf numFmtId="0" fontId="8" fillId="6" borderId="77" xfId="0" applyFont="1" applyFill="1" applyBorder="1" applyAlignment="1" applyProtection="1">
      <alignment horizontal="left" vertical="center"/>
      <protection locked="0"/>
    </xf>
    <xf numFmtId="0" fontId="8" fillId="6" borderId="78" xfId="0" applyFont="1" applyFill="1" applyBorder="1" applyAlignment="1" applyProtection="1">
      <alignment horizontal="left" vertical="center"/>
      <protection locked="0"/>
    </xf>
    <xf numFmtId="0" fontId="8" fillId="6" borderId="79" xfId="0" applyFont="1" applyFill="1" applyBorder="1" applyAlignment="1" applyProtection="1">
      <alignment horizontal="left" vertical="center"/>
      <protection locked="0"/>
    </xf>
    <xf numFmtId="0" fontId="8" fillId="3" borderId="83" xfId="0" applyFont="1" applyFill="1" applyBorder="1" applyAlignment="1" applyProtection="1">
      <alignment horizontal="left" vertical="center"/>
      <protection locked="0"/>
    </xf>
    <xf numFmtId="0" fontId="8" fillId="3" borderId="84" xfId="0" applyFont="1" applyFill="1" applyBorder="1" applyAlignment="1" applyProtection="1">
      <alignment horizontal="left" vertical="center"/>
      <protection locked="0"/>
    </xf>
    <xf numFmtId="0" fontId="8" fillId="3" borderId="85" xfId="0" applyFont="1" applyFill="1" applyBorder="1" applyAlignment="1" applyProtection="1">
      <alignment horizontal="left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4" borderId="24" xfId="0" quotePrefix="1" applyFill="1" applyBorder="1" applyAlignment="1" applyProtection="1">
      <alignment horizontal="center" vertical="center"/>
      <protection hidden="1"/>
    </xf>
    <xf numFmtId="0" fontId="0" fillId="4" borderId="25" xfId="0" quotePrefix="1" applyFill="1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locked="0"/>
    </xf>
    <xf numFmtId="0" fontId="0" fillId="4" borderId="24" xfId="0" applyFill="1" applyBorder="1" applyAlignment="1" applyProtection="1">
      <alignment horizontal="center" vertical="center"/>
      <protection hidden="1"/>
    </xf>
    <xf numFmtId="0" fontId="0" fillId="4" borderId="25" xfId="0" applyFill="1" applyBorder="1" applyAlignment="1" applyProtection="1">
      <alignment horizontal="center" vertical="center"/>
      <protection hidden="1"/>
    </xf>
    <xf numFmtId="0" fontId="8" fillId="0" borderId="21" xfId="0" applyFont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center" vertical="center"/>
      <protection locked="0"/>
    </xf>
    <xf numFmtId="3" fontId="0" fillId="0" borderId="21" xfId="0" applyNumberFormat="1" applyBorder="1" applyAlignment="1" applyProtection="1">
      <alignment horizontal="center" vertical="center"/>
      <protection locked="0"/>
    </xf>
    <xf numFmtId="3" fontId="0" fillId="0" borderId="22" xfId="0" applyNumberFormat="1" applyBorder="1" applyAlignment="1" applyProtection="1">
      <alignment horizontal="center" vertical="center"/>
      <protection locked="0"/>
    </xf>
    <xf numFmtId="3" fontId="0" fillId="0" borderId="23" xfId="0" applyNumberFormat="1" applyBorder="1" applyAlignment="1" applyProtection="1">
      <alignment horizontal="center" vertical="center"/>
      <protection locked="0"/>
    </xf>
    <xf numFmtId="0" fontId="0" fillId="0" borderId="57" xfId="0" applyBorder="1" applyAlignment="1" applyProtection="1">
      <alignment horizontal="center" vertical="center" wrapText="1"/>
      <protection locked="0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35" xfId="0" applyBorder="1" applyAlignment="1" applyProtection="1">
      <alignment horizontal="center" vertical="center" wrapText="1"/>
      <protection locked="0"/>
    </xf>
    <xf numFmtId="0" fontId="0" fillId="0" borderId="55" xfId="0" applyBorder="1" applyAlignment="1" applyProtection="1">
      <alignment horizontal="center" vertical="center" wrapText="1"/>
      <protection locked="0"/>
    </xf>
    <xf numFmtId="0" fontId="0" fillId="0" borderId="32" xfId="0" applyBorder="1" applyAlignment="1" applyProtection="1">
      <alignment horizontal="center" vertical="center" wrapText="1"/>
      <protection locked="0"/>
    </xf>
    <xf numFmtId="0" fontId="0" fillId="0" borderId="33" xfId="0" applyBorder="1" applyAlignment="1" applyProtection="1">
      <alignment horizontal="center" vertical="center" wrapText="1"/>
      <protection locked="0"/>
    </xf>
  </cellXfs>
  <cellStyles count="5">
    <cellStyle name="Normal" xfId="0" builtinId="0"/>
    <cellStyle name="Normal 2 5" xfId="4" xr:uid="{CD5E5DA7-3D9E-4870-8B18-36993328EC3A}"/>
    <cellStyle name="Normal 25" xfId="2" xr:uid="{2A900D3B-C97C-48A7-86B4-5B68536A8259}"/>
    <cellStyle name="Normal 9 2" xfId="1" xr:uid="{2199111B-0C67-4E35-99DE-956D54EF8CED}"/>
    <cellStyle name="Normal 9 2 25" xfId="3" xr:uid="{972B701A-8B1E-43EB-817A-F51CC5199A92}"/>
  </cellStyles>
  <dxfs count="1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  <color rgb="FF1C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7620</xdr:colOff>
      <xdr:row>22</xdr:row>
      <xdr:rowOff>118110</xdr:rowOff>
    </xdr:from>
    <xdr:to>
      <xdr:col>23</xdr:col>
      <xdr:colOff>53340</xdr:colOff>
      <xdr:row>28</xdr:row>
      <xdr:rowOff>9524</xdr:rowOff>
    </xdr:to>
    <xdr:sp macro="[0]!Check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2CD821-5E99-4E87-B141-F9EA161DC32F}"/>
            </a:ext>
          </a:extLst>
        </xdr:cNvPr>
        <xdr:cNvSpPr/>
      </xdr:nvSpPr>
      <xdr:spPr>
        <a:xfrm>
          <a:off x="6324600" y="3592830"/>
          <a:ext cx="1691640" cy="1080134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rgbClr val="FFFF00"/>
              </a:solidFill>
            </a:rPr>
            <a:t>Insert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ITTO26\Desktop\Tanshi%20checksheet\Assembly\Assembly_O-I_desktop.xlsm" TargetMode="External"/><Relationship Id="rId1" Type="http://schemas.openxmlformats.org/officeDocument/2006/relationships/externalLinkPath" Target="file:///C:\Users\NITTO26\Desktop\Tanshi%20checksheet\Assembly\Assembly_O-I_deskto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ecksheet"/>
      <sheetName val="Summary"/>
      <sheetName val="Sheet2"/>
      <sheetName val="Code"/>
      <sheetName val="Sheet1"/>
    </sheetNames>
    <sheetDataSet>
      <sheetData sheetId="0">
        <row r="17">
          <cell r="F17" t="str">
            <v>Wire</v>
          </cell>
        </row>
        <row r="46">
          <cell r="S46" t="b">
            <v>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DC1D3-6702-44A1-9107-D0EC76D28FAA}">
  <sheetPr codeName="Sheet5"/>
  <dimension ref="B1:CM100"/>
  <sheetViews>
    <sheetView showGridLines="0" tabSelected="1" zoomScale="80" zoomScaleNormal="80" workbookViewId="0">
      <selection activeCell="P11" sqref="P11"/>
    </sheetView>
  </sheetViews>
  <sheetFormatPr defaultColWidth="9" defaultRowHeight="14.25"/>
  <cols>
    <col min="1" max="2" width="0.875" style="5" customWidth="1"/>
    <col min="3" max="3" width="1.625" style="38" customWidth="1"/>
    <col min="4" max="4" width="11.75" style="5" customWidth="1"/>
    <col min="5" max="5" width="0.875" style="5" customWidth="1"/>
    <col min="6" max="6" width="9.125" style="5" customWidth="1"/>
    <col min="7" max="7" width="0.875" style="5" customWidth="1"/>
    <col min="8" max="8" width="7.75" style="5" customWidth="1"/>
    <col min="9" max="9" width="0.875" style="5" customWidth="1"/>
    <col min="10" max="10" width="7.75" style="5" customWidth="1"/>
    <col min="11" max="11" width="0.875" style="5" customWidth="1"/>
    <col min="12" max="12" width="8.75" style="5" customWidth="1"/>
    <col min="13" max="13" width="0.875" style="5" customWidth="1"/>
    <col min="14" max="14" width="29.625" style="5" customWidth="1"/>
    <col min="15" max="15" width="0.875" style="5" customWidth="1"/>
    <col min="16" max="16" width="11.25" style="5" customWidth="1"/>
    <col min="17" max="17" width="0.875" style="5" hidden="1" customWidth="1"/>
    <col min="18" max="18" width="0.875" style="5" customWidth="1"/>
    <col min="19" max="19" width="12.625" style="5" customWidth="1"/>
    <col min="20" max="20" width="0.875" style="5" customWidth="1"/>
    <col min="21" max="21" width="11.75" style="5" customWidth="1"/>
    <col min="22" max="22" width="9" style="5"/>
    <col min="23" max="23" width="0.875" style="5" customWidth="1"/>
    <col min="24" max="24" width="1.625" style="5" customWidth="1"/>
    <col min="25" max="25" width="0.875" style="90" customWidth="1"/>
    <col min="26" max="51" width="9" style="90" hidden="1" customWidth="1"/>
    <col min="52" max="52" width="5.75" style="91" hidden="1" customWidth="1"/>
    <col min="53" max="53" width="5.75" style="92" hidden="1" customWidth="1"/>
    <col min="54" max="54" width="5.75" style="91" hidden="1" customWidth="1"/>
    <col min="55" max="55" width="5.75" style="92" hidden="1" customWidth="1"/>
    <col min="56" max="57" width="5.75" style="91" hidden="1" customWidth="1"/>
    <col min="58" max="59" width="5.75" style="92" hidden="1" customWidth="1"/>
    <col min="60" max="61" width="5.75" style="91" hidden="1" customWidth="1"/>
    <col min="62" max="63" width="5.75" style="92" hidden="1" customWidth="1"/>
    <col min="64" max="65" width="5.75" style="91" hidden="1" customWidth="1"/>
    <col min="66" max="67" width="5.75" style="92" hidden="1" customWidth="1"/>
    <col min="68" max="69" width="5.75" style="91" hidden="1" customWidth="1"/>
    <col min="70" max="71" width="5.75" style="92" hidden="1" customWidth="1"/>
    <col min="72" max="73" width="5.75" style="91" hidden="1" customWidth="1"/>
    <col min="74" max="75" width="5.75" style="92" hidden="1" customWidth="1"/>
    <col min="76" max="77" width="5.75" style="91" hidden="1" customWidth="1"/>
    <col min="78" max="79" width="5.75" style="92" hidden="1" customWidth="1"/>
    <col min="80" max="81" width="5.75" style="93" hidden="1" customWidth="1"/>
    <col min="82" max="83" width="5.75" style="90" hidden="1" customWidth="1"/>
    <col min="84" max="85" width="9" style="90" hidden="1" customWidth="1"/>
    <col min="86" max="86" width="9" style="90" customWidth="1"/>
    <col min="87" max="91" width="9" style="90"/>
    <col min="92" max="16384" width="9" style="5"/>
  </cols>
  <sheetData>
    <row r="1" spans="2:91" ht="5.15" customHeight="1" thickBot="1"/>
    <row r="2" spans="2:91" ht="19.5" thickTop="1" thickBot="1">
      <c r="B2" s="6"/>
      <c r="C2" s="37" t="s">
        <v>21</v>
      </c>
      <c r="D2" s="37"/>
      <c r="E2" s="7"/>
      <c r="F2" s="7"/>
      <c r="G2" s="7"/>
      <c r="H2" s="7"/>
      <c r="I2" s="7"/>
      <c r="J2" s="7"/>
      <c r="K2" s="7"/>
      <c r="L2" s="7"/>
      <c r="M2" s="8"/>
      <c r="Z2" s="94" t="s">
        <v>1415</v>
      </c>
      <c r="AC2" s="90" t="e">
        <f ca="1">OFFSET($AC$5,0,0,COUNTA($AC$5:$AC$14))</f>
        <v>#VALUE!</v>
      </c>
      <c r="AD2" s="90" t="e">
        <f ca="1">OFFSET($AD$5,0,0,COUNTA($AD$5:$AD$14))</f>
        <v>#VALUE!</v>
      </c>
      <c r="AE2" s="90" t="e">
        <f ca="1">OFFSET($AE$5,0,0,COUNTA($AE$5:$AE$14))</f>
        <v>#VALUE!</v>
      </c>
    </row>
    <row r="3" spans="2:91" ht="5.15" customHeight="1" thickTop="1" thickBot="1">
      <c r="B3" s="9"/>
      <c r="C3" s="39"/>
      <c r="D3" s="10"/>
      <c r="E3" s="10"/>
      <c r="F3" s="10"/>
      <c r="G3" s="10"/>
      <c r="H3" s="10"/>
      <c r="I3" s="10"/>
      <c r="J3" s="10"/>
      <c r="K3" s="10"/>
      <c r="L3" s="10"/>
      <c r="M3" s="10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95"/>
    </row>
    <row r="4" spans="2:91" ht="15.75" thickTop="1" thickBot="1">
      <c r="B4" s="9"/>
      <c r="C4" s="40"/>
      <c r="D4" s="11"/>
      <c r="E4" s="11"/>
      <c r="F4" s="49" t="s">
        <v>13</v>
      </c>
      <c r="G4" s="50"/>
      <c r="H4" s="49" t="s">
        <v>14</v>
      </c>
      <c r="I4" s="50"/>
      <c r="J4" s="49" t="s">
        <v>15</v>
      </c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2"/>
      <c r="Y4" s="96"/>
      <c r="AC4" s="90" t="s">
        <v>24</v>
      </c>
      <c r="AD4" s="90" t="s">
        <v>10</v>
      </c>
      <c r="AE4" s="90" t="s">
        <v>32</v>
      </c>
      <c r="CM4" s="90" t="s">
        <v>1429</v>
      </c>
    </row>
    <row r="5" spans="2:91" ht="15.95" customHeight="1" thickBot="1">
      <c r="B5" s="9"/>
      <c r="C5" s="41"/>
      <c r="D5" s="13" t="s">
        <v>12</v>
      </c>
      <c r="E5" s="14"/>
      <c r="F5" s="15">
        <v>20</v>
      </c>
      <c r="G5" s="14"/>
      <c r="H5" s="15">
        <v>6</v>
      </c>
      <c r="I5" s="14"/>
      <c r="J5" s="15">
        <v>2023</v>
      </c>
      <c r="K5" s="14"/>
      <c r="L5" s="127">
        <f>IFERROR(DATE(J5,H5,F5),"")</f>
        <v>45097</v>
      </c>
      <c r="M5" s="125"/>
      <c r="N5" s="125"/>
      <c r="O5" s="127"/>
      <c r="P5" s="127"/>
      <c r="Q5" s="75"/>
      <c r="R5" s="75"/>
      <c r="S5" s="13" t="s">
        <v>11</v>
      </c>
      <c r="T5" s="14"/>
      <c r="U5" s="218" t="str">
        <f>IFERROR(INDEX(Code!$A:$A,MATCH(Checksheet!$U$11,Code!$B:$B,0)),"")</f>
        <v/>
      </c>
      <c r="V5" s="219"/>
      <c r="W5" s="14"/>
      <c r="X5" s="16"/>
      <c r="Y5" s="96"/>
      <c r="AA5" s="90" t="b">
        <f>ISBLANK(L5)</f>
        <v>0</v>
      </c>
      <c r="AB5" s="90" t="b">
        <f>ISBLANK(U5)</f>
        <v>0</v>
      </c>
      <c r="AC5" s="90" t="s">
        <v>26</v>
      </c>
      <c r="AD5" s="90" t="s">
        <v>3</v>
      </c>
      <c r="AE5" s="90" t="s">
        <v>30</v>
      </c>
      <c r="CJ5" s="90" t="s">
        <v>1429</v>
      </c>
    </row>
    <row r="6" spans="2:91" ht="5.15" customHeight="1" thickBot="1">
      <c r="B6" s="9"/>
      <c r="C6" s="41"/>
      <c r="D6" s="14"/>
      <c r="E6" s="14"/>
      <c r="F6" s="14"/>
      <c r="G6" s="14"/>
      <c r="H6" s="14"/>
      <c r="I6" s="14"/>
      <c r="J6" s="14"/>
      <c r="K6" s="14"/>
      <c r="L6" s="127"/>
      <c r="M6" s="125"/>
      <c r="N6" s="125"/>
      <c r="O6" s="127"/>
      <c r="P6" s="127"/>
      <c r="Q6" s="75"/>
      <c r="R6" s="75"/>
      <c r="S6" s="14"/>
      <c r="T6" s="14"/>
      <c r="U6" s="14"/>
      <c r="V6" s="14"/>
      <c r="W6" s="14"/>
      <c r="X6" s="16"/>
      <c r="Y6" s="96"/>
      <c r="AC6" s="90" t="s">
        <v>27</v>
      </c>
      <c r="AD6" s="90" t="s">
        <v>25</v>
      </c>
      <c r="AE6" s="90" t="s">
        <v>31</v>
      </c>
    </row>
    <row r="7" spans="2:91" ht="15.95" customHeight="1" thickBot="1">
      <c r="B7" s="9"/>
      <c r="C7" s="41"/>
      <c r="D7" s="13" t="s">
        <v>16</v>
      </c>
      <c r="E7" s="14"/>
      <c r="F7" s="124">
        <f ca="1">DAY(L7)</f>
        <v>26</v>
      </c>
      <c r="G7" s="125"/>
      <c r="H7" s="126">
        <f ca="1">MONTH(L7)</f>
        <v>6</v>
      </c>
      <c r="I7" s="125"/>
      <c r="J7" s="126">
        <f ca="1">YEAR(L7)</f>
        <v>2023</v>
      </c>
      <c r="K7" s="125"/>
      <c r="L7" s="127">
        <f ca="1">TODAY()</f>
        <v>45103</v>
      </c>
      <c r="M7" s="125"/>
      <c r="N7" s="125"/>
      <c r="O7" s="127"/>
      <c r="P7" s="127"/>
      <c r="Q7" s="75"/>
      <c r="R7" s="75"/>
      <c r="S7" s="13" t="s">
        <v>32</v>
      </c>
      <c r="T7" s="14"/>
      <c r="U7" s="216"/>
      <c r="V7" s="217"/>
      <c r="W7" s="14"/>
      <c r="X7" s="16"/>
      <c r="Y7" s="96"/>
      <c r="AA7" s="90" t="b">
        <f ca="1">ISBLANK(L7)</f>
        <v>0</v>
      </c>
      <c r="AC7" s="90" t="s">
        <v>1219</v>
      </c>
      <c r="AE7" s="90" t="s">
        <v>1228</v>
      </c>
    </row>
    <row r="8" spans="2:91" ht="5.15" customHeight="1" thickBot="1">
      <c r="B8" s="9"/>
      <c r="C8" s="41"/>
      <c r="D8" s="14"/>
      <c r="E8" s="14"/>
      <c r="F8" s="14"/>
      <c r="G8" s="14"/>
      <c r="H8" s="14"/>
      <c r="I8" s="14"/>
      <c r="J8" s="14"/>
      <c r="K8" s="14"/>
      <c r="L8" s="125"/>
      <c r="M8" s="125"/>
      <c r="N8" s="125"/>
      <c r="O8" s="127"/>
      <c r="P8" s="127"/>
      <c r="Q8" s="75"/>
      <c r="R8" s="75"/>
      <c r="S8" s="14"/>
      <c r="T8" s="14"/>
      <c r="U8" s="14"/>
      <c r="V8" s="14"/>
      <c r="W8" s="14"/>
      <c r="X8" s="16"/>
      <c r="Y8" s="96"/>
    </row>
    <row r="9" spans="2:91" ht="15.95" customHeight="1" thickBot="1">
      <c r="B9" s="9"/>
      <c r="C9" s="41"/>
      <c r="D9" s="13" t="s">
        <v>1226</v>
      </c>
      <c r="E9" s="14"/>
      <c r="F9" s="225"/>
      <c r="G9" s="226"/>
      <c r="H9" s="226"/>
      <c r="I9" s="226"/>
      <c r="J9" s="227"/>
      <c r="K9" s="14"/>
      <c r="L9" s="128" t="str">
        <f>IFERROR(IF(SUM($F$9,$L$32,$N$32)=0,"",SUM($F$9,$L$32,$N$32)),"")</f>
        <v/>
      </c>
      <c r="M9" s="125"/>
      <c r="N9" s="125"/>
      <c r="O9" s="127"/>
      <c r="P9" s="127"/>
      <c r="Q9" s="75"/>
      <c r="R9" s="75"/>
      <c r="S9" s="13" t="s">
        <v>10</v>
      </c>
      <c r="T9" s="14"/>
      <c r="U9" s="221" t="str">
        <f>IFERROR(INDEX(Code!$D:$D,MATCH(Checksheet!$U$11,Code!$B:$B,0)),"")</f>
        <v/>
      </c>
      <c r="V9" s="222"/>
      <c r="W9" s="14"/>
      <c r="X9" s="16"/>
      <c r="Y9" s="96"/>
      <c r="AA9" s="90" t="b">
        <f>ISBLANK(F9)</f>
        <v>1</v>
      </c>
      <c r="AB9" s="90" t="b">
        <f>ISBLANK(U9)</f>
        <v>0</v>
      </c>
    </row>
    <row r="10" spans="2:91" ht="5.15" customHeight="1" thickBot="1">
      <c r="B10" s="9"/>
      <c r="C10" s="41"/>
      <c r="D10" s="14"/>
      <c r="E10" s="14"/>
      <c r="F10" s="17" t="s">
        <v>1555</v>
      </c>
      <c r="G10" s="17"/>
      <c r="H10" s="17"/>
      <c r="I10" s="17"/>
      <c r="J10" s="17"/>
      <c r="K10" s="14"/>
      <c r="L10" s="125"/>
      <c r="M10" s="125"/>
      <c r="N10" s="125"/>
      <c r="O10" s="127"/>
      <c r="P10" s="127"/>
      <c r="Q10" s="75"/>
      <c r="R10" s="75"/>
      <c r="S10" s="14"/>
      <c r="T10" s="14"/>
      <c r="U10" s="14"/>
      <c r="V10" s="14"/>
      <c r="W10" s="14"/>
      <c r="X10" s="16"/>
      <c r="Y10" s="96"/>
    </row>
    <row r="11" spans="2:91" ht="15.95" customHeight="1" thickBot="1">
      <c r="B11" s="9"/>
      <c r="C11" s="41"/>
      <c r="D11" s="13" t="s">
        <v>22</v>
      </c>
      <c r="E11" s="14"/>
      <c r="F11" s="216" t="s">
        <v>1416</v>
      </c>
      <c r="G11" s="220"/>
      <c r="H11" s="220"/>
      <c r="I11" s="220"/>
      <c r="J11" s="217"/>
      <c r="K11" s="14"/>
      <c r="L11" s="125"/>
      <c r="M11" s="125"/>
      <c r="N11" s="129">
        <f>SUM($L$32,$N$32)</f>
        <v>0</v>
      </c>
      <c r="O11" s="127"/>
      <c r="P11" s="127"/>
      <c r="Q11" s="75"/>
      <c r="R11" s="75"/>
      <c r="S11" s="13" t="s">
        <v>0</v>
      </c>
      <c r="T11" s="14"/>
      <c r="U11" s="223"/>
      <c r="V11" s="224"/>
      <c r="W11" s="14"/>
      <c r="X11" s="16"/>
      <c r="Y11" s="96"/>
      <c r="AA11" s="90" t="b">
        <f>ISBLANK(F11)</f>
        <v>0</v>
      </c>
      <c r="AB11" s="90" t="b">
        <f>ISBLANK(U11)</f>
        <v>1</v>
      </c>
      <c r="AN11" s="90" t="str">
        <f ca="1">OFFSET(Sheet1!$E$2,0,0,COUNTIF(Sheet1!$E:$E,"?*"))</f>
        <v>0590190101W2356MCP1B-S</v>
      </c>
      <c r="AQ11" s="90" t="b" cm="1">
        <f t="array" ref="AQ11">OR(P17:P31&lt;&gt;"")</f>
        <v>0</v>
      </c>
      <c r="AR11" s="90">
        <f>COUNTA($AQ$15:$AQ$35)</f>
        <v>1</v>
      </c>
      <c r="AS11" s="90" t="e" cm="1">
        <f t="array" ref="AS11">OR(#REF!&lt;&gt;"")</f>
        <v>#REF!</v>
      </c>
      <c r="AT11" s="90">
        <f>COUNTA($AS$15:$AS$35)</f>
        <v>1</v>
      </c>
    </row>
    <row r="12" spans="2:91" ht="5.15" customHeight="1">
      <c r="B12" s="9"/>
      <c r="C12" s="41"/>
      <c r="D12" s="14"/>
      <c r="E12" s="14"/>
      <c r="F12" s="17"/>
      <c r="G12" s="17"/>
      <c r="H12" s="17"/>
      <c r="I12" s="17"/>
      <c r="J12" s="17"/>
      <c r="K12" s="14"/>
      <c r="L12" s="125"/>
      <c r="M12" s="125"/>
      <c r="N12" s="125"/>
      <c r="O12" s="125"/>
      <c r="P12" s="125"/>
      <c r="Q12" s="14"/>
      <c r="R12" s="14"/>
      <c r="S12" s="14"/>
      <c r="T12" s="14"/>
      <c r="U12" s="17"/>
      <c r="V12" s="17"/>
      <c r="W12" s="14"/>
      <c r="X12" s="16"/>
      <c r="Y12" s="96"/>
    </row>
    <row r="13" spans="2:91" ht="15.95" customHeight="1" thickBot="1">
      <c r="B13" s="9"/>
      <c r="C13" s="41"/>
      <c r="D13" s="14"/>
      <c r="E13" s="14"/>
      <c r="F13" s="14"/>
      <c r="G13" s="14"/>
      <c r="H13" s="14"/>
      <c r="I13" s="14"/>
      <c r="J13" s="14"/>
      <c r="K13" s="14"/>
      <c r="L13" s="125"/>
      <c r="M13" s="125"/>
      <c r="N13" s="125"/>
      <c r="O13" s="125"/>
      <c r="P13" s="125"/>
      <c r="Q13" s="14"/>
      <c r="R13" s="14"/>
      <c r="S13" s="13" t="s">
        <v>6</v>
      </c>
      <c r="T13" s="14"/>
      <c r="U13" s="221" t="str">
        <f>IFERROR(INDEX(Code!$C:$C,MATCH(Checksheet!$U$5,Code!$A:$A,0)),"")</f>
        <v/>
      </c>
      <c r="V13" s="222"/>
      <c r="W13" s="14"/>
      <c r="X13" s="16"/>
      <c r="Y13" s="96"/>
      <c r="AA13" s="90" t="b">
        <f>ISBLANK(F13)</f>
        <v>1</v>
      </c>
      <c r="AB13" s="90" t="b">
        <f>ISBLANK(U13)</f>
        <v>0</v>
      </c>
    </row>
    <row r="14" spans="2:91" ht="5.15" customHeight="1" thickBot="1">
      <c r="B14" s="9"/>
      <c r="C14" s="41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6"/>
      <c r="Y14" s="96"/>
    </row>
    <row r="15" spans="2:91" ht="30" customHeight="1" thickBot="1">
      <c r="B15" s="9"/>
      <c r="C15" s="41"/>
      <c r="D15" s="68" t="s">
        <v>1251</v>
      </c>
      <c r="E15" s="14"/>
      <c r="F15" s="68" t="s">
        <v>1363</v>
      </c>
      <c r="G15" s="14"/>
      <c r="H15" s="201" t="s">
        <v>17</v>
      </c>
      <c r="I15" s="202"/>
      <c r="J15" s="203"/>
      <c r="K15" s="14"/>
      <c r="L15" s="68" t="s">
        <v>1227</v>
      </c>
      <c r="M15" s="14"/>
      <c r="N15" s="69" t="s">
        <v>1224</v>
      </c>
      <c r="O15" s="75"/>
      <c r="P15" s="69" t="s">
        <v>1225</v>
      </c>
      <c r="Q15" s="75"/>
      <c r="R15" s="75"/>
      <c r="S15" s="13" t="s">
        <v>1250</v>
      </c>
      <c r="T15" s="14"/>
      <c r="U15" s="14"/>
      <c r="V15" s="14"/>
      <c r="W15" s="14"/>
      <c r="X15" s="16"/>
      <c r="Y15" s="96"/>
      <c r="AA15" s="90">
        <f>COUNTIF(Summary!$B:$B,Checksheet!$L$5&amp;Checksheet!$U$5)</f>
        <v>0</v>
      </c>
      <c r="AQ15" s="90" t="str" cm="1">
        <f t="array" ref="AQ15">IFERROR(_xlfn._xlws.FILTER($P$17:$P$31,$P$17:$P$31&lt;&gt;""),"")</f>
        <v/>
      </c>
      <c r="AS15" s="90" t="str" cm="1">
        <f t="array" ref="AS15">IFERROR(_xlfn._xlws.FILTER(#REF!,#REF!&lt;&gt;""),"")</f>
        <v/>
      </c>
    </row>
    <row r="16" spans="2:91" ht="5.15" customHeight="1" thickBot="1">
      <c r="B16" s="9"/>
      <c r="C16" s="41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6"/>
      <c r="Y16" s="96"/>
    </row>
    <row r="17" spans="2:90" ht="15.95" customHeight="1" thickBot="1">
      <c r="B17" s="9"/>
      <c r="C17" s="41"/>
      <c r="D17" s="70"/>
      <c r="E17" s="76"/>
      <c r="F17" s="88"/>
      <c r="G17" s="76"/>
      <c r="H17" s="204"/>
      <c r="I17" s="205"/>
      <c r="J17" s="206"/>
      <c r="K17" s="18"/>
      <c r="L17" s="70"/>
      <c r="M17" s="18"/>
      <c r="N17" s="81"/>
      <c r="O17" s="14"/>
      <c r="P17" s="80"/>
      <c r="Q17" s="14"/>
      <c r="R17" s="14"/>
      <c r="S17" s="152" t="str">
        <f>IFERROR(INDEX($E$46:$E$90,MATCH(BB17,$C$46:$C$89,0)),"")</f>
        <v/>
      </c>
      <c r="T17" s="14"/>
      <c r="U17" s="75"/>
      <c r="V17" s="14"/>
      <c r="W17" s="14"/>
      <c r="X17" s="16"/>
      <c r="Y17" s="96"/>
      <c r="AA17" s="90">
        <f>COUNTA($F$17:$F$31)</f>
        <v>0</v>
      </c>
      <c r="BA17" s="97" t="str">
        <f>D17&amp;F17</f>
        <v/>
      </c>
      <c r="BB17" s="91" t="str">
        <f>D17&amp;F17&amp;H17</f>
        <v/>
      </c>
      <c r="CI17" s="98" t="s">
        <v>1428</v>
      </c>
      <c r="CJ17" s="99"/>
      <c r="CK17" s="99"/>
      <c r="CL17" s="100"/>
    </row>
    <row r="18" spans="2:90" ht="15.95" customHeight="1">
      <c r="B18" s="9"/>
      <c r="C18" s="41"/>
      <c r="D18" s="71"/>
      <c r="E18" s="76"/>
      <c r="F18" s="89"/>
      <c r="G18" s="76"/>
      <c r="H18" s="207"/>
      <c r="I18" s="208"/>
      <c r="J18" s="209"/>
      <c r="K18" s="18"/>
      <c r="L18" s="71"/>
      <c r="M18" s="18"/>
      <c r="N18" s="162"/>
      <c r="O18" s="14"/>
      <c r="P18" s="81"/>
      <c r="Q18" s="14"/>
      <c r="R18" s="14"/>
      <c r="S18" s="130" t="str">
        <f t="shared" ref="S18:S31" si="0">IFERROR(INDEX($E$46:$E$85,MATCH(BB18,$C$46:$C$84,0)),"")</f>
        <v/>
      </c>
      <c r="T18" s="14"/>
      <c r="U18" s="75"/>
      <c r="V18" s="14"/>
      <c r="W18" s="14"/>
      <c r="X18" s="16"/>
      <c r="Y18" s="96"/>
      <c r="BA18" s="97" t="str">
        <f t="shared" ref="BA18:BA31" si="1">D18&amp;F18</f>
        <v/>
      </c>
      <c r="BB18" s="91" t="str">
        <f t="shared" ref="BB18:BB31" si="2">D18&amp;F18&amp;H18</f>
        <v/>
      </c>
      <c r="CI18" s="101" t="s">
        <v>1426</v>
      </c>
      <c r="CJ18" s="102"/>
      <c r="CK18" s="103" t="s">
        <v>1427</v>
      </c>
      <c r="CL18" s="104"/>
    </row>
    <row r="19" spans="2:90" ht="15.95" customHeight="1">
      <c r="B19" s="9"/>
      <c r="C19" s="41"/>
      <c r="D19" s="71"/>
      <c r="E19" s="76"/>
      <c r="F19" s="89"/>
      <c r="G19" s="76"/>
      <c r="H19" s="207"/>
      <c r="I19" s="208"/>
      <c r="J19" s="209"/>
      <c r="K19" s="18"/>
      <c r="L19" s="71"/>
      <c r="M19" s="18"/>
      <c r="N19" s="81"/>
      <c r="O19" s="14"/>
      <c r="P19" s="81"/>
      <c r="Q19" s="14"/>
      <c r="R19" s="14"/>
      <c r="S19" s="130" t="str">
        <f t="shared" si="0"/>
        <v/>
      </c>
      <c r="T19" s="14"/>
      <c r="U19" s="75"/>
      <c r="V19" s="14"/>
      <c r="W19" s="14"/>
      <c r="X19" s="16"/>
      <c r="Y19" s="96"/>
      <c r="BA19" s="97" t="str">
        <f t="shared" si="1"/>
        <v/>
      </c>
      <c r="BB19" s="91" t="str">
        <f t="shared" si="2"/>
        <v/>
      </c>
      <c r="CI19" s="105" t="s">
        <v>1364</v>
      </c>
      <c r="CJ19" s="106" t="s">
        <v>1417</v>
      </c>
      <c r="CK19" s="107" t="s">
        <v>1362</v>
      </c>
      <c r="CL19" s="108" t="s">
        <v>1418</v>
      </c>
    </row>
    <row r="20" spans="2:90" ht="15.95" customHeight="1">
      <c r="B20" s="9"/>
      <c r="C20" s="41"/>
      <c r="D20" s="71"/>
      <c r="E20" s="76"/>
      <c r="F20" s="89"/>
      <c r="G20" s="76"/>
      <c r="H20" s="207"/>
      <c r="I20" s="208"/>
      <c r="J20" s="209"/>
      <c r="K20" s="18"/>
      <c r="L20" s="71"/>
      <c r="M20" s="18"/>
      <c r="N20" s="81"/>
      <c r="O20" s="14"/>
      <c r="P20" s="81"/>
      <c r="Q20" s="14"/>
      <c r="R20" s="14"/>
      <c r="S20" s="130" t="str">
        <f t="shared" si="0"/>
        <v/>
      </c>
      <c r="T20" s="14"/>
      <c r="U20" s="75"/>
      <c r="V20" s="14"/>
      <c r="W20" s="14"/>
      <c r="X20" s="16"/>
      <c r="Y20" s="96"/>
      <c r="BA20" s="97" t="str">
        <f t="shared" si="1"/>
        <v/>
      </c>
      <c r="BB20" s="91" t="str">
        <f t="shared" si="2"/>
        <v/>
      </c>
      <c r="CI20" s="105" t="s">
        <v>1360</v>
      </c>
      <c r="CJ20" s="106" t="s">
        <v>1360</v>
      </c>
      <c r="CK20" s="107" t="s">
        <v>1376</v>
      </c>
      <c r="CL20" s="108" t="s">
        <v>1424</v>
      </c>
    </row>
    <row r="21" spans="2:90" ht="15.95" customHeight="1">
      <c r="B21" s="9"/>
      <c r="C21" s="41"/>
      <c r="D21" s="71"/>
      <c r="E21" s="76"/>
      <c r="F21" s="89"/>
      <c r="G21" s="76"/>
      <c r="H21" s="207"/>
      <c r="I21" s="208"/>
      <c r="J21" s="209"/>
      <c r="K21" s="18"/>
      <c r="L21" s="71"/>
      <c r="M21" s="18"/>
      <c r="N21" s="81"/>
      <c r="O21" s="14"/>
      <c r="P21" s="81"/>
      <c r="Q21" s="14"/>
      <c r="R21" s="14"/>
      <c r="S21" s="130" t="str">
        <f t="shared" si="0"/>
        <v/>
      </c>
      <c r="T21" s="14"/>
      <c r="U21" s="75"/>
      <c r="V21" s="14"/>
      <c r="W21" s="14"/>
      <c r="X21" s="16"/>
      <c r="Y21" s="96"/>
      <c r="AH21" s="90" t="s">
        <v>28</v>
      </c>
      <c r="AI21" s="90" t="s">
        <v>29</v>
      </c>
      <c r="BA21" s="97" t="str">
        <f t="shared" si="1"/>
        <v/>
      </c>
      <c r="BB21" s="91" t="str">
        <f t="shared" si="2"/>
        <v/>
      </c>
      <c r="CI21" s="105" t="s">
        <v>1362</v>
      </c>
      <c r="CJ21" s="106" t="s">
        <v>1418</v>
      </c>
      <c r="CK21" s="107" t="s">
        <v>1371</v>
      </c>
      <c r="CL21" s="108" t="s">
        <v>1422</v>
      </c>
    </row>
    <row r="22" spans="2:90" ht="15.95" customHeight="1">
      <c r="B22" s="9"/>
      <c r="C22" s="41"/>
      <c r="D22" s="71"/>
      <c r="E22" s="18"/>
      <c r="F22" s="89"/>
      <c r="G22" s="18"/>
      <c r="H22" s="207"/>
      <c r="I22" s="208"/>
      <c r="J22" s="209"/>
      <c r="K22" s="14"/>
      <c r="L22" s="71"/>
      <c r="M22" s="14"/>
      <c r="N22" s="81"/>
      <c r="O22" s="14"/>
      <c r="P22" s="81"/>
      <c r="Q22" s="14"/>
      <c r="R22" s="14"/>
      <c r="S22" s="130" t="str">
        <f t="shared" si="0"/>
        <v/>
      </c>
      <c r="T22" s="14"/>
      <c r="U22" s="75"/>
      <c r="V22" s="14"/>
      <c r="W22" s="14"/>
      <c r="X22" s="16"/>
      <c r="Y22" s="96"/>
      <c r="AH22" s="90" t="e">
        <f ca="1">OFFSET($AH$28,0,0,COUNTA(AH28:AH30))</f>
        <v>#VALUE!</v>
      </c>
      <c r="AI22" s="90" t="e">
        <f ca="1">OFFSET($AI$28,0,0,COUNTA(AI28:AI30))</f>
        <v>#VALUE!</v>
      </c>
      <c r="BA22" s="97" t="str">
        <f t="shared" si="1"/>
        <v/>
      </c>
      <c r="BB22" s="91" t="str">
        <f t="shared" si="2"/>
        <v/>
      </c>
      <c r="CI22" s="105" t="s">
        <v>1368</v>
      </c>
      <c r="CJ22" s="106" t="s">
        <v>1419</v>
      </c>
      <c r="CK22" s="107" t="s">
        <v>1395</v>
      </c>
      <c r="CL22" s="108" t="s">
        <v>1395</v>
      </c>
    </row>
    <row r="23" spans="2:90" ht="15.95" customHeight="1">
      <c r="B23" s="9"/>
      <c r="C23" s="41"/>
      <c r="D23" s="138"/>
      <c r="E23" s="18"/>
      <c r="F23" s="139"/>
      <c r="G23" s="18"/>
      <c r="H23" s="210"/>
      <c r="I23" s="211"/>
      <c r="J23" s="212"/>
      <c r="K23" s="18"/>
      <c r="L23" s="138"/>
      <c r="M23" s="18"/>
      <c r="N23" s="140"/>
      <c r="O23" s="14"/>
      <c r="P23" s="140"/>
      <c r="Q23" s="14"/>
      <c r="R23" s="14"/>
      <c r="S23" s="130" t="str">
        <f t="shared" si="0"/>
        <v/>
      </c>
      <c r="T23" s="14"/>
      <c r="U23" s="75"/>
      <c r="V23" s="14"/>
      <c r="W23" s="14"/>
      <c r="X23" s="16"/>
      <c r="Y23" s="96"/>
      <c r="BA23" s="97" t="str">
        <f t="shared" si="1"/>
        <v/>
      </c>
      <c r="BB23" s="91" t="str">
        <f t="shared" si="2"/>
        <v/>
      </c>
      <c r="CI23" s="105" t="s">
        <v>1369</v>
      </c>
      <c r="CJ23" s="106" t="s">
        <v>1420</v>
      </c>
      <c r="CK23" s="107" t="s">
        <v>1374</v>
      </c>
      <c r="CL23" s="108" t="s">
        <v>1425</v>
      </c>
    </row>
    <row r="24" spans="2:90" ht="15.95" customHeight="1">
      <c r="B24" s="9"/>
      <c r="C24" s="41"/>
      <c r="D24" s="141"/>
      <c r="E24" s="18"/>
      <c r="F24" s="144"/>
      <c r="G24" s="18"/>
      <c r="H24" s="213"/>
      <c r="I24" s="214"/>
      <c r="J24" s="215"/>
      <c r="K24" s="18"/>
      <c r="L24" s="141"/>
      <c r="M24" s="18"/>
      <c r="N24" s="147"/>
      <c r="O24" s="14"/>
      <c r="P24" s="147"/>
      <c r="Q24" s="14"/>
      <c r="R24" s="14"/>
      <c r="S24" s="131" t="str">
        <f t="shared" si="0"/>
        <v/>
      </c>
      <c r="T24" s="14"/>
      <c r="U24" s="75"/>
      <c r="V24" s="14"/>
      <c r="W24" s="14"/>
      <c r="X24" s="16"/>
      <c r="Y24" s="96"/>
      <c r="AH24" s="90" t="s">
        <v>1221</v>
      </c>
      <c r="AI24" s="90" t="s">
        <v>1221</v>
      </c>
      <c r="BA24" s="97" t="str">
        <f t="shared" si="1"/>
        <v/>
      </c>
      <c r="BB24" s="91" t="str">
        <f t="shared" si="2"/>
        <v/>
      </c>
      <c r="CI24" s="105" t="s">
        <v>1370</v>
      </c>
      <c r="CJ24" s="106" t="s">
        <v>1421</v>
      </c>
      <c r="CK24" s="107" t="s">
        <v>1378</v>
      </c>
      <c r="CL24" s="108" t="s">
        <v>1378</v>
      </c>
    </row>
    <row r="25" spans="2:90" ht="15.95" customHeight="1">
      <c r="B25" s="9"/>
      <c r="C25" s="41"/>
      <c r="D25" s="142"/>
      <c r="E25" s="18"/>
      <c r="F25" s="145"/>
      <c r="G25" s="18"/>
      <c r="H25" s="195"/>
      <c r="I25" s="196"/>
      <c r="J25" s="197"/>
      <c r="K25" s="18"/>
      <c r="L25" s="142"/>
      <c r="M25" s="18"/>
      <c r="N25" s="148"/>
      <c r="O25" s="14"/>
      <c r="P25" s="148"/>
      <c r="Q25" s="14"/>
      <c r="R25" s="14"/>
      <c r="S25" s="131" t="str">
        <f t="shared" si="0"/>
        <v/>
      </c>
      <c r="T25" s="14"/>
      <c r="U25" s="75"/>
      <c r="V25" s="14"/>
      <c r="W25" s="14"/>
      <c r="X25" s="16"/>
      <c r="Y25" s="96"/>
      <c r="AH25" s="90" t="s">
        <v>1222</v>
      </c>
      <c r="AI25" s="90" t="s">
        <v>1222</v>
      </c>
      <c r="BA25" s="97" t="str">
        <f t="shared" si="1"/>
        <v/>
      </c>
      <c r="BB25" s="91" t="str">
        <f t="shared" si="2"/>
        <v/>
      </c>
      <c r="CI25" s="105" t="s">
        <v>1371</v>
      </c>
      <c r="CJ25" s="106" t="s">
        <v>1422</v>
      </c>
      <c r="CK25" s="107" t="s">
        <v>1380</v>
      </c>
      <c r="CL25" s="108" t="s">
        <v>1380</v>
      </c>
    </row>
    <row r="26" spans="2:90" ht="15.95" customHeight="1">
      <c r="B26" s="9"/>
      <c r="C26" s="41"/>
      <c r="D26" s="142"/>
      <c r="E26" s="18"/>
      <c r="F26" s="145"/>
      <c r="G26" s="18"/>
      <c r="H26" s="195"/>
      <c r="I26" s="196"/>
      <c r="J26" s="197"/>
      <c r="K26" s="18"/>
      <c r="L26" s="142"/>
      <c r="M26" s="18"/>
      <c r="N26" s="148"/>
      <c r="O26" s="14"/>
      <c r="P26" s="148"/>
      <c r="Q26" s="14"/>
      <c r="R26" s="14"/>
      <c r="S26" s="131" t="str">
        <f t="shared" si="0"/>
        <v/>
      </c>
      <c r="T26" s="14"/>
      <c r="U26" s="75"/>
      <c r="V26" s="14"/>
      <c r="W26" s="14"/>
      <c r="X26" s="16"/>
      <c r="Y26" s="96"/>
      <c r="AH26" s="90" t="s">
        <v>1220</v>
      </c>
      <c r="AI26" s="90" t="s">
        <v>1220</v>
      </c>
      <c r="BA26" s="97" t="str">
        <f t="shared" si="1"/>
        <v/>
      </c>
      <c r="BB26" s="91" t="str">
        <f t="shared" si="2"/>
        <v/>
      </c>
      <c r="CI26" s="105" t="s">
        <v>1219</v>
      </c>
      <c r="CJ26" s="106" t="s">
        <v>1423</v>
      </c>
      <c r="CK26" s="107" t="s">
        <v>1364</v>
      </c>
      <c r="CL26" s="108" t="s">
        <v>1417</v>
      </c>
    </row>
    <row r="27" spans="2:90" ht="15.95" customHeight="1">
      <c r="B27" s="9"/>
      <c r="C27" s="41"/>
      <c r="D27" s="142"/>
      <c r="E27" s="18"/>
      <c r="F27" s="145"/>
      <c r="G27" s="18"/>
      <c r="H27" s="195"/>
      <c r="I27" s="196"/>
      <c r="J27" s="197"/>
      <c r="K27" s="18"/>
      <c r="L27" s="142"/>
      <c r="M27" s="18"/>
      <c r="N27" s="148"/>
      <c r="O27" s="14"/>
      <c r="P27" s="148"/>
      <c r="Q27" s="14"/>
      <c r="R27" s="14"/>
      <c r="S27" s="131" t="str">
        <f t="shared" si="0"/>
        <v/>
      </c>
      <c r="T27" s="14"/>
      <c r="U27" s="75"/>
      <c r="V27" s="14"/>
      <c r="W27" s="14"/>
      <c r="X27" s="16"/>
      <c r="Y27" s="96"/>
      <c r="BA27" s="97" t="str">
        <f t="shared" si="1"/>
        <v/>
      </c>
      <c r="BB27" s="91" t="str">
        <f t="shared" si="2"/>
        <v/>
      </c>
      <c r="CI27" s="109"/>
      <c r="CJ27" s="110"/>
      <c r="CK27" s="107" t="s">
        <v>1360</v>
      </c>
      <c r="CL27" s="108" t="s">
        <v>1360</v>
      </c>
    </row>
    <row r="28" spans="2:90" ht="15.95" customHeight="1">
      <c r="B28" s="9"/>
      <c r="C28" s="41"/>
      <c r="D28" s="142"/>
      <c r="E28" s="18"/>
      <c r="F28" s="145"/>
      <c r="G28" s="18"/>
      <c r="H28" s="195"/>
      <c r="I28" s="196"/>
      <c r="J28" s="197"/>
      <c r="K28" s="14"/>
      <c r="L28" s="142"/>
      <c r="M28" s="14"/>
      <c r="N28" s="148"/>
      <c r="O28" s="14"/>
      <c r="P28" s="148"/>
      <c r="Q28" s="14"/>
      <c r="R28" s="14"/>
      <c r="S28" s="131" t="str">
        <f t="shared" si="0"/>
        <v/>
      </c>
      <c r="T28" s="14"/>
      <c r="U28" s="75"/>
      <c r="V28" s="14"/>
      <c r="W28" s="14"/>
      <c r="X28" s="16"/>
      <c r="Y28" s="96"/>
      <c r="AH28" s="90" t="s">
        <v>1221</v>
      </c>
      <c r="AI28" s="90" t="s">
        <v>1221</v>
      </c>
      <c r="BA28" s="97" t="str">
        <f t="shared" si="1"/>
        <v/>
      </c>
      <c r="BB28" s="91" t="str">
        <f t="shared" si="2"/>
        <v/>
      </c>
      <c r="CI28" s="109"/>
      <c r="CJ28" s="110"/>
      <c r="CK28" s="107" t="s">
        <v>1389</v>
      </c>
      <c r="CL28" s="108" t="s">
        <v>1389</v>
      </c>
    </row>
    <row r="29" spans="2:90" ht="15.95" customHeight="1" thickBot="1">
      <c r="B29" s="9"/>
      <c r="C29" s="41"/>
      <c r="D29" s="142"/>
      <c r="E29" s="18"/>
      <c r="F29" s="145"/>
      <c r="G29" s="18"/>
      <c r="H29" s="195"/>
      <c r="I29" s="196"/>
      <c r="J29" s="197"/>
      <c r="K29" s="18"/>
      <c r="L29" s="142"/>
      <c r="M29" s="18"/>
      <c r="N29" s="148"/>
      <c r="O29" s="14"/>
      <c r="P29" s="148"/>
      <c r="Q29" s="14"/>
      <c r="R29" s="14"/>
      <c r="S29" s="131" t="str">
        <f t="shared" si="0"/>
        <v/>
      </c>
      <c r="T29" s="14"/>
      <c r="U29" s="75"/>
      <c r="V29" s="14"/>
      <c r="W29" s="14"/>
      <c r="X29" s="16"/>
      <c r="Y29" s="96"/>
      <c r="AH29" s="90" t="s">
        <v>1222</v>
      </c>
      <c r="AI29" s="90" t="s">
        <v>1222</v>
      </c>
      <c r="BA29" s="97" t="str">
        <f t="shared" si="1"/>
        <v/>
      </c>
      <c r="BB29" s="91" t="str">
        <f t="shared" si="2"/>
        <v/>
      </c>
      <c r="CI29" s="111"/>
      <c r="CJ29" s="112"/>
      <c r="CK29" s="113" t="s">
        <v>1219</v>
      </c>
      <c r="CL29" s="114" t="s">
        <v>1423</v>
      </c>
    </row>
    <row r="30" spans="2:90" ht="15.95" customHeight="1">
      <c r="B30" s="9"/>
      <c r="C30" s="41"/>
      <c r="D30" s="142"/>
      <c r="E30" s="18"/>
      <c r="F30" s="145"/>
      <c r="G30" s="18"/>
      <c r="H30" s="195"/>
      <c r="I30" s="196"/>
      <c r="J30" s="197"/>
      <c r="K30" s="18"/>
      <c r="L30" s="142"/>
      <c r="M30" s="18"/>
      <c r="N30" s="148"/>
      <c r="O30" s="14"/>
      <c r="P30" s="148"/>
      <c r="Q30" s="14"/>
      <c r="R30" s="14"/>
      <c r="S30" s="131" t="str">
        <f t="shared" si="0"/>
        <v/>
      </c>
      <c r="T30" s="14"/>
      <c r="U30" s="75"/>
      <c r="V30" s="14"/>
      <c r="W30" s="14"/>
      <c r="X30" s="16"/>
      <c r="Y30" s="96"/>
      <c r="AH30" s="90" t="s">
        <v>1220</v>
      </c>
      <c r="AI30" s="90" t="s">
        <v>1220</v>
      </c>
      <c r="BA30" s="97" t="str">
        <f t="shared" si="1"/>
        <v/>
      </c>
      <c r="BB30" s="91" t="str">
        <f t="shared" si="2"/>
        <v/>
      </c>
      <c r="CI30" s="115"/>
      <c r="CJ30" s="115"/>
      <c r="CK30" s="115"/>
      <c r="CL30" s="115"/>
    </row>
    <row r="31" spans="2:90" ht="15.95" customHeight="1" thickBot="1">
      <c r="B31" s="9"/>
      <c r="C31" s="41"/>
      <c r="D31" s="143"/>
      <c r="E31" s="18"/>
      <c r="F31" s="146"/>
      <c r="G31" s="18"/>
      <c r="H31" s="198"/>
      <c r="I31" s="199"/>
      <c r="J31" s="200"/>
      <c r="K31" s="18"/>
      <c r="L31" s="143"/>
      <c r="M31" s="18"/>
      <c r="N31" s="149"/>
      <c r="O31" s="14"/>
      <c r="P31" s="149"/>
      <c r="Q31" s="14"/>
      <c r="R31" s="14"/>
      <c r="S31" s="132" t="str">
        <f t="shared" si="0"/>
        <v/>
      </c>
      <c r="T31" s="14"/>
      <c r="U31" s="75"/>
      <c r="V31" s="14"/>
      <c r="W31" s="14"/>
      <c r="X31" s="16"/>
      <c r="Y31" s="96"/>
      <c r="BA31" s="97" t="str">
        <f t="shared" si="1"/>
        <v/>
      </c>
      <c r="BB31" s="91" t="str">
        <f t="shared" si="2"/>
        <v/>
      </c>
    </row>
    <row r="32" spans="2:90" ht="15.95" customHeight="1">
      <c r="B32" s="9"/>
      <c r="C32" s="41"/>
      <c r="D32" s="125"/>
      <c r="E32" s="125"/>
      <c r="F32" s="125"/>
      <c r="G32" s="125"/>
      <c r="H32" s="125"/>
      <c r="I32" s="125"/>
      <c r="J32" s="125"/>
      <c r="K32" s="125"/>
      <c r="L32" s="129">
        <f>SUMIFS($L$17:$L$31,$D$17:$D$31,"Material")</f>
        <v>0</v>
      </c>
      <c r="M32" s="125"/>
      <c r="N32" s="129">
        <f>SUMIFS($L$17:$L$31,$D$17:$D$31,"Processing")</f>
        <v>0</v>
      </c>
      <c r="O32" s="125"/>
      <c r="P32" s="127" t="str">
        <f>IF(AND(L32=0,N32=0),"",SUM(L32,N32))</f>
        <v/>
      </c>
      <c r="Q32" s="125"/>
      <c r="R32" s="125"/>
      <c r="S32" s="125"/>
      <c r="T32" s="125"/>
      <c r="U32" s="125"/>
      <c r="V32" s="125"/>
      <c r="W32" s="125"/>
      <c r="X32" s="133"/>
      <c r="Y32" s="96"/>
    </row>
    <row r="33" spans="2:85" ht="15.95" customHeight="1">
      <c r="B33" s="9"/>
      <c r="C33" s="41"/>
      <c r="D33" s="125"/>
      <c r="E33" s="125"/>
      <c r="F33" s="125"/>
      <c r="G33" s="125"/>
      <c r="H33" s="125"/>
      <c r="I33" s="125"/>
      <c r="J33" s="125"/>
      <c r="K33" s="125"/>
      <c r="L33" s="134"/>
      <c r="M33" s="125"/>
      <c r="N33" s="125"/>
      <c r="O33" s="125"/>
      <c r="P33" s="125"/>
      <c r="Q33" s="125"/>
      <c r="R33" s="125"/>
      <c r="S33" s="125"/>
      <c r="T33" s="125"/>
      <c r="U33" s="125"/>
      <c r="V33" s="125"/>
      <c r="W33" s="125"/>
      <c r="X33" s="133"/>
      <c r="Y33" s="96"/>
      <c r="BE33" s="91" t="b">
        <f>BB17=C54</f>
        <v>0</v>
      </c>
    </row>
    <row r="34" spans="2:85" ht="4.9000000000000004" customHeight="1" thickBot="1">
      <c r="B34" s="9"/>
      <c r="C34" s="42"/>
      <c r="D34" s="135"/>
      <c r="E34" s="135"/>
      <c r="F34" s="135"/>
      <c r="G34" s="135"/>
      <c r="H34" s="135"/>
      <c r="I34" s="135"/>
      <c r="J34" s="135"/>
      <c r="K34" s="135"/>
      <c r="L34" s="135"/>
      <c r="M34" s="135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7"/>
      <c r="Y34" s="96"/>
    </row>
    <row r="35" spans="2:85" ht="5.15" customHeight="1" thickTop="1" thickBot="1">
      <c r="B35" s="19"/>
      <c r="C35" s="43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116"/>
    </row>
    <row r="36" spans="2:85" ht="15.95" hidden="1" customHeight="1" thickTop="1">
      <c r="D36" s="22"/>
      <c r="E36" s="22"/>
      <c r="F36" s="23"/>
      <c r="G36" s="23"/>
      <c r="H36" s="23"/>
      <c r="I36" s="23"/>
      <c r="J36" s="23"/>
      <c r="K36" s="23"/>
      <c r="L36" s="23"/>
      <c r="M36" s="23"/>
      <c r="AW36" s="90" t="s">
        <v>1230</v>
      </c>
    </row>
    <row r="37" spans="2:85" hidden="1">
      <c r="AW37" s="90" t="s">
        <v>1231</v>
      </c>
    </row>
    <row r="38" spans="2:85" hidden="1">
      <c r="AW38" s="90" t="s">
        <v>1232</v>
      </c>
    </row>
    <row r="39" spans="2:85" hidden="1">
      <c r="AW39" s="90" t="s">
        <v>1233</v>
      </c>
    </row>
    <row r="40" spans="2:85" hidden="1">
      <c r="AW40" s="90" t="s">
        <v>1234</v>
      </c>
    </row>
    <row r="41" spans="2:85" hidden="1">
      <c r="AW41" s="90" t="s">
        <v>1235</v>
      </c>
    </row>
    <row r="42" spans="2:85" hidden="1">
      <c r="AW42" s="90" t="s">
        <v>1236</v>
      </c>
    </row>
    <row r="43" spans="2:85" hidden="1">
      <c r="AW43" s="90" t="s">
        <v>1237</v>
      </c>
      <c r="BD43" s="117"/>
    </row>
    <row r="44" spans="2:85" hidden="1">
      <c r="V44" s="67"/>
      <c r="Z44" s="94"/>
      <c r="AW44" s="90" t="s">
        <v>1238</v>
      </c>
    </row>
    <row r="45" spans="2:85" hidden="1">
      <c r="AW45" s="90" t="s">
        <v>1239</v>
      </c>
      <c r="BD45" s="91" t="s">
        <v>1396</v>
      </c>
      <c r="BF45" s="92" t="s">
        <v>1397</v>
      </c>
      <c r="BH45" s="91" t="s">
        <v>1398</v>
      </c>
      <c r="BJ45" s="92" t="s">
        <v>1399</v>
      </c>
      <c r="BL45" s="91" t="s">
        <v>1400</v>
      </c>
      <c r="BN45" s="92" t="s">
        <v>1401</v>
      </c>
      <c r="BP45" s="91" t="s">
        <v>1402</v>
      </c>
      <c r="BR45" s="92" t="s">
        <v>1403</v>
      </c>
      <c r="BT45" s="91" t="s">
        <v>1404</v>
      </c>
      <c r="BV45" s="92" t="s">
        <v>1405</v>
      </c>
      <c r="BX45" s="91" t="s">
        <v>1406</v>
      </c>
      <c r="BZ45" s="92" t="s">
        <v>1407</v>
      </c>
      <c r="CB45" s="91" t="s">
        <v>1408</v>
      </c>
      <c r="CC45" s="91"/>
      <c r="CD45" s="92" t="s">
        <v>1409</v>
      </c>
      <c r="CE45" s="92"/>
      <c r="CF45" s="91" t="s">
        <v>1410</v>
      </c>
      <c r="CG45" s="94" t="str" cm="1">
        <f t="array" aca="1" ref="CG45" ca="1">IFERROR(OFFSET($BD$46,0,0,COUNTIF($BD$46:$BD$84,"?*")),"")</f>
        <v/>
      </c>
    </row>
    <row r="46" spans="2:85" ht="14.45" hidden="1" customHeight="1">
      <c r="C46" s="38" t="str">
        <f>D46&amp;J46&amp;N46</f>
        <v>MaterialTerminalOxi hóa</v>
      </c>
      <c r="D46" s="82" t="s">
        <v>1246</v>
      </c>
      <c r="E46" s="231" t="s">
        <v>1414</v>
      </c>
      <c r="F46" s="232"/>
      <c r="G46" s="232"/>
      <c r="H46" s="232"/>
      <c r="I46" s="233"/>
      <c r="J46" s="59" t="s">
        <v>1364</v>
      </c>
      <c r="K46" s="59"/>
      <c r="L46" s="59"/>
      <c r="M46" s="59"/>
      <c r="N46" s="59" t="s">
        <v>1365</v>
      </c>
      <c r="O46" s="59"/>
      <c r="P46" s="60"/>
      <c r="S46" s="5" t="b">
        <f>D17=$D$46</f>
        <v>0</v>
      </c>
      <c r="T46" s="83">
        <f>IF(S46=TRUE,1,0)</f>
        <v>0</v>
      </c>
      <c r="U46" s="5" t="b">
        <f t="shared" ref="U46:U60" si="3">D17=$D$55</f>
        <v>0</v>
      </c>
      <c r="V46" s="5" t="s">
        <v>1246</v>
      </c>
      <c r="Z46" s="90" t="str" cm="1">
        <f t="array" aca="1" ref="Z46" ca="1">IFERROR(OFFSET($BA$46,0,0,COUNTIF($BA$46:$BA$62,"?*")),"")</f>
        <v/>
      </c>
      <c r="AZ46" s="91" t="s">
        <v>1364</v>
      </c>
      <c r="BA46" s="118" t="str">
        <f>IF(BC46=0,"",BC46)</f>
        <v/>
      </c>
      <c r="BB46" s="90" t="s">
        <v>1362</v>
      </c>
      <c r="BC46" s="92" t="str">
        <f t="array" ref="BC46:BC57">IF(S46=TRUE,$AZ$46:$AZ$57,IF(U46=TRUE,$BB$46:$BB$57,""))</f>
        <v/>
      </c>
      <c r="BD46" s="91" t="str">
        <f>IF(BC46=0,"",BC46)</f>
        <v/>
      </c>
      <c r="BE46" s="91" t="str">
        <f t="array" ref="BE46:BE57">IF(S47=TRUE,$AZ$46:$AZ$57,IF(U47=TRUE,$BB$46:$BB$57,""))</f>
        <v/>
      </c>
      <c r="BF46" s="92" t="str">
        <f>IF(BE46=0,"",BE46)</f>
        <v/>
      </c>
      <c r="BG46" s="92" t="str">
        <f t="array" ref="BG46:BG57">IF($S48=TRUE,$AZ$46:$AZ$57,IF($U48=TRUE,$BB$46:$BB$57,""))</f>
        <v/>
      </c>
      <c r="BH46" s="91" t="str">
        <f>IF(BG46=0,"",BG46)</f>
        <v/>
      </c>
      <c r="BI46" s="91" t="str">
        <f t="array" ref="BI46:BI57">IF($S49=TRUE,$AZ$46:$AZ$57,IF($U49=TRUE,$BB$46:$BB$57,""))</f>
        <v/>
      </c>
      <c r="BJ46" s="92" t="str">
        <f>IF(BI46=0,"",BI46)</f>
        <v/>
      </c>
      <c r="BK46" s="92" t="str">
        <f t="array" ref="BK46:BK57">IF($S50=TRUE,$AZ$46:$AZ$57,IF($U50=TRUE,$BB$46:$BB$57,""))</f>
        <v/>
      </c>
      <c r="BL46" s="91" t="str">
        <f>IF(BK46=0,"",BK46)</f>
        <v/>
      </c>
      <c r="BM46" s="91" t="str">
        <f t="array" ref="BM46:BM57">IF($S51=TRUE,$AZ$46:$AZ$57,IF($U51=TRUE,$BB$46:$BB$57,""))</f>
        <v/>
      </c>
      <c r="BN46" s="92" t="str">
        <f>IF(BM46=0,"",BM46)</f>
        <v/>
      </c>
      <c r="BO46" s="92" t="str">
        <f t="array" ref="BO46:BO57">IF($S52=TRUE,$AZ$46:$AZ$57,IF($U52=TRUE,$BB$46:$BB$57,""))</f>
        <v/>
      </c>
      <c r="BP46" s="91" t="str">
        <f>IF(BO46=0,"",BO46)</f>
        <v/>
      </c>
      <c r="BQ46" s="91" t="str" cm="1">
        <f t="array" ref="BQ46">IF($S53=TRUE,$AZ$46:$AZ$57,IF($U53=TRUE,$BB$46:$BB$57,""))</f>
        <v/>
      </c>
      <c r="BR46" s="92" t="str">
        <f>IF(BQ46=0,"",BQ46)</f>
        <v/>
      </c>
      <c r="BS46" s="92" t="str" cm="1">
        <f t="array" ref="BS46">IF($S54=TRUE,$AZ$46:$AZ$57,IF($U54=TRUE,$BB$46:$BB$57,""))</f>
        <v/>
      </c>
      <c r="BT46" s="91" t="str">
        <f>IF(BS46=0,"",BS46)</f>
        <v/>
      </c>
      <c r="BU46" s="91" t="str" cm="1">
        <f t="array" ref="BU46">IF($S55=TRUE,$AZ$46:$AZ$57,IF($U55=TRUE,$BB$46:$BB$57,""))</f>
        <v/>
      </c>
      <c r="BV46" s="92" t="str">
        <f>IF(BU46=0,"",BU46)</f>
        <v/>
      </c>
      <c r="BW46" s="92" t="str" cm="1">
        <f t="array" ref="BW46">IF($S56=TRUE,$AZ$46:$AZ$57,IF($U56=TRUE,$BB$46:$BB$57,""))</f>
        <v/>
      </c>
      <c r="BX46" s="91" t="str">
        <f>IF(BW46=0,"",BW46)</f>
        <v/>
      </c>
      <c r="BY46" s="91" t="str" cm="1">
        <f t="array" ref="BY46">IF($S57=TRUE,$AZ$46:$AZ$57,IF($U57=TRUE,$BB$46:$BB$57,""))</f>
        <v/>
      </c>
      <c r="BZ46" s="92" t="str">
        <f>IF(BY46=0,"",BY46)</f>
        <v/>
      </c>
      <c r="CA46" s="92" t="str" cm="1">
        <f t="array" ref="CA46">IF($S58=TRUE,$AZ$46:$AZ$57,IF($U58=TRUE,$BB$46:$BB$57,""))</f>
        <v/>
      </c>
      <c r="CB46" s="93" t="str">
        <f>IF(CA46=0,"",CA46)</f>
        <v/>
      </c>
      <c r="CC46" s="93" t="str" cm="1">
        <f t="array" ref="CC46">IF($S59=TRUE,$AZ$46:$AZ$57,IF($U59=TRUE,$BB$46:$BB$57,""))</f>
        <v/>
      </c>
      <c r="CD46" s="90" t="str">
        <f>IF(CC46=0,"",CC46)</f>
        <v/>
      </c>
      <c r="CE46" s="90" t="str" cm="1">
        <f t="array" ref="CE46">IF($S60=TRUE,$AZ$46:$AZ$57,IF($U60=TRUE,$BB$46:$BB$57,""))</f>
        <v/>
      </c>
      <c r="CF46" s="90" t="str">
        <f>IF(CE46=0,"",CE46)</f>
        <v/>
      </c>
      <c r="CG46" s="94"/>
    </row>
    <row r="47" spans="2:85" ht="13.9" hidden="1" customHeight="1">
      <c r="C47" s="38" t="str">
        <f t="shared" ref="C47:C90" si="4">D47&amp;J47&amp;N47</f>
        <v>MaterialHousingNG, dính dơ, dị vật do NL</v>
      </c>
      <c r="D47" s="84" t="s">
        <v>1246</v>
      </c>
      <c r="E47" s="228" t="s">
        <v>1414</v>
      </c>
      <c r="F47" s="229"/>
      <c r="G47" s="229"/>
      <c r="H47" s="229"/>
      <c r="I47" s="230"/>
      <c r="J47" s="61" t="s">
        <v>1360</v>
      </c>
      <c r="K47" s="61"/>
      <c r="L47" s="61"/>
      <c r="M47" s="61"/>
      <c r="N47" s="61" t="s">
        <v>1366</v>
      </c>
      <c r="O47" s="61"/>
      <c r="P47" s="62"/>
      <c r="S47" s="5" t="b">
        <f t="shared" ref="S47" si="5">D18=$D$46</f>
        <v>0</v>
      </c>
      <c r="T47" s="83">
        <f t="shared" ref="T47:T60" si="6">IF(S47=TRUE,1,0)</f>
        <v>0</v>
      </c>
      <c r="U47" s="5" t="b">
        <f t="shared" si="3"/>
        <v>0</v>
      </c>
      <c r="V47" s="5" t="s">
        <v>1361</v>
      </c>
      <c r="AZ47" s="91" t="s">
        <v>1360</v>
      </c>
      <c r="BA47" s="118" t="str">
        <f t="shared" ref="BA47:BA57" si="7">IF(BC47=0,"",BC47)</f>
        <v/>
      </c>
      <c r="BB47" s="90" t="s">
        <v>1376</v>
      </c>
      <c r="BC47" s="92" t="str">
        <v/>
      </c>
      <c r="BD47" s="91" t="str">
        <f t="shared" ref="BD47:BD57" si="8">IF(BC47=0,"",BC47)</f>
        <v/>
      </c>
      <c r="BE47" s="91" t="str">
        <v/>
      </c>
      <c r="BF47" s="92" t="str">
        <f t="shared" ref="BF47:BF57" si="9">IF(BE47=0,"",BE47)</f>
        <v/>
      </c>
      <c r="BG47" s="92" t="str">
        <v/>
      </c>
      <c r="BH47" s="91" t="str">
        <f t="shared" ref="BH47:BH57" si="10">IF(BG47=0,"",BG47)</f>
        <v/>
      </c>
      <c r="BI47" s="91" t="str">
        <v/>
      </c>
      <c r="BJ47" s="92" t="str">
        <f t="shared" ref="BJ47:BJ57" si="11">IF(BI47=0,"",BI47)</f>
        <v/>
      </c>
      <c r="BK47" s="92" t="str">
        <v/>
      </c>
      <c r="BL47" s="91" t="str">
        <f t="shared" ref="BL47:BL57" si="12">IF(BK47=0,"",BK47)</f>
        <v/>
      </c>
      <c r="BM47" s="91" t="str">
        <v/>
      </c>
      <c r="BN47" s="92" t="str">
        <f t="shared" ref="BN47:BN57" si="13">IF(BM47=0,"",BM47)</f>
        <v/>
      </c>
      <c r="BO47" s="92" t="str">
        <v/>
      </c>
      <c r="BP47" s="91" t="str">
        <f>IF(BO47=0,"",BO47)</f>
        <v/>
      </c>
      <c r="BR47" s="92" t="str">
        <f t="shared" ref="BR47:BR57" si="14">IF(BQ47=0,"",BQ47)</f>
        <v/>
      </c>
      <c r="BT47" s="91" t="str">
        <f t="shared" ref="BT47:BT57" si="15">IF(BS47=0,"",BS47)</f>
        <v/>
      </c>
      <c r="BV47" s="92" t="str">
        <f t="shared" ref="BV47:BV57" si="16">IF(BU47=0,"",BU47)</f>
        <v/>
      </c>
      <c r="BX47" s="91" t="str">
        <f t="shared" ref="BX47:BX57" si="17">IF(BW47=0,"",BW47)</f>
        <v/>
      </c>
      <c r="BZ47" s="92" t="str">
        <f t="shared" ref="BZ47:BZ57" si="18">IF(BY47=0,"",BY47)</f>
        <v/>
      </c>
      <c r="CB47" s="93" t="str">
        <f t="shared" ref="CB47:CB57" si="19">IF(CA47=0,"",CA47)</f>
        <v/>
      </c>
      <c r="CD47" s="90" t="str">
        <f t="shared" ref="CD47:CD57" si="20">IF(CC47=0,"",CC47)</f>
        <v/>
      </c>
      <c r="CF47" s="90" t="str">
        <f t="shared" ref="CF47:CF57" si="21">IF(CE47=0,"",CE47)</f>
        <v/>
      </c>
      <c r="CG47" s="94"/>
    </row>
    <row r="48" spans="2:85" ht="13.9" hidden="1" customHeight="1">
      <c r="C48" s="38" t="str">
        <f t="shared" si="4"/>
        <v>MaterialWireTrầy, dơ do NL</v>
      </c>
      <c r="D48" s="84" t="s">
        <v>1246</v>
      </c>
      <c r="E48" s="228" t="s">
        <v>1414</v>
      </c>
      <c r="F48" s="229"/>
      <c r="G48" s="229"/>
      <c r="H48" s="229"/>
      <c r="I48" s="230"/>
      <c r="J48" s="61" t="s">
        <v>1362</v>
      </c>
      <c r="K48" s="61"/>
      <c r="L48" s="61"/>
      <c r="M48" s="61"/>
      <c r="N48" s="61" t="s">
        <v>1367</v>
      </c>
      <c r="O48" s="61"/>
      <c r="P48" s="62"/>
      <c r="S48" s="5" t="b">
        <f t="shared" ref="S48:S60" si="22">D19=$D$46</f>
        <v>0</v>
      </c>
      <c r="T48" s="83">
        <f t="shared" si="6"/>
        <v>0</v>
      </c>
      <c r="U48" s="5" t="b">
        <f t="shared" si="3"/>
        <v>0</v>
      </c>
      <c r="AZ48" s="91" t="s">
        <v>1362</v>
      </c>
      <c r="BA48" s="118" t="str">
        <f t="shared" si="7"/>
        <v/>
      </c>
      <c r="BB48" s="90" t="s">
        <v>1371</v>
      </c>
      <c r="BC48" s="92" t="str">
        <v/>
      </c>
      <c r="BD48" s="91" t="str">
        <f t="shared" si="8"/>
        <v/>
      </c>
      <c r="BE48" s="91" t="str">
        <v/>
      </c>
      <c r="BF48" s="92" t="str">
        <f t="shared" si="9"/>
        <v/>
      </c>
      <c r="BG48" s="92" t="str">
        <v/>
      </c>
      <c r="BH48" s="91" t="str">
        <f t="shared" si="10"/>
        <v/>
      </c>
      <c r="BI48" s="91" t="str">
        <v/>
      </c>
      <c r="BJ48" s="92" t="str">
        <f t="shared" si="11"/>
        <v/>
      </c>
      <c r="BK48" s="92" t="str">
        <v/>
      </c>
      <c r="BL48" s="91" t="str">
        <f t="shared" si="12"/>
        <v/>
      </c>
      <c r="BM48" s="91" t="str">
        <v/>
      </c>
      <c r="BN48" s="92" t="str">
        <f>IF(BM48=0,"",BM48)</f>
        <v/>
      </c>
      <c r="BO48" s="92" t="str">
        <v/>
      </c>
      <c r="BP48" s="91" t="str">
        <f t="shared" ref="BP48:BP57" si="23">IF(BO48=0,"",BO48)</f>
        <v/>
      </c>
      <c r="BR48" s="92" t="str">
        <f t="shared" si="14"/>
        <v/>
      </c>
      <c r="BT48" s="91" t="str">
        <f t="shared" si="15"/>
        <v/>
      </c>
      <c r="BV48" s="92" t="str">
        <f t="shared" si="16"/>
        <v/>
      </c>
      <c r="BX48" s="91" t="str">
        <f t="shared" si="17"/>
        <v/>
      </c>
      <c r="BZ48" s="92" t="str">
        <f t="shared" si="18"/>
        <v/>
      </c>
      <c r="CB48" s="93" t="str">
        <f t="shared" si="19"/>
        <v/>
      </c>
      <c r="CD48" s="90" t="str">
        <f t="shared" si="20"/>
        <v/>
      </c>
      <c r="CF48" s="90" t="str">
        <f t="shared" si="21"/>
        <v/>
      </c>
      <c r="CG48" s="94"/>
    </row>
    <row r="49" spans="3:85" ht="13.9" hidden="1" customHeight="1">
      <c r="C49" s="38" t="str">
        <f t="shared" si="4"/>
        <v>MaterialTapeKhông đạt do NL</v>
      </c>
      <c r="D49" s="84" t="s">
        <v>1246</v>
      </c>
      <c r="E49" s="228" t="s">
        <v>1414</v>
      </c>
      <c r="F49" s="229"/>
      <c r="G49" s="229"/>
      <c r="H49" s="229"/>
      <c r="I49" s="230"/>
      <c r="J49" s="61" t="s">
        <v>1368</v>
      </c>
      <c r="K49" s="61"/>
      <c r="L49" s="61"/>
      <c r="M49" s="61"/>
      <c r="N49" s="61" t="s">
        <v>1391</v>
      </c>
      <c r="O49" s="61"/>
      <c r="P49" s="62"/>
      <c r="S49" s="5" t="b">
        <f t="shared" si="22"/>
        <v>0</v>
      </c>
      <c r="T49" s="83">
        <f t="shared" si="6"/>
        <v>0</v>
      </c>
      <c r="U49" s="5" t="b">
        <f t="shared" si="3"/>
        <v>0</v>
      </c>
      <c r="AZ49" s="91" t="s">
        <v>1368</v>
      </c>
      <c r="BA49" s="118" t="str">
        <f t="shared" si="7"/>
        <v/>
      </c>
      <c r="BB49" s="90" t="s">
        <v>1395</v>
      </c>
      <c r="BC49" s="92" t="str">
        <v/>
      </c>
      <c r="BD49" s="91" t="str">
        <f t="shared" si="8"/>
        <v/>
      </c>
      <c r="BE49" s="91" t="str">
        <v/>
      </c>
      <c r="BF49" s="92" t="str">
        <f t="shared" si="9"/>
        <v/>
      </c>
      <c r="BG49" s="92" t="str">
        <v/>
      </c>
      <c r="BH49" s="91" t="str">
        <f t="shared" si="10"/>
        <v/>
      </c>
      <c r="BI49" s="91" t="str">
        <v/>
      </c>
      <c r="BJ49" s="92" t="str">
        <f t="shared" si="11"/>
        <v/>
      </c>
      <c r="BK49" s="92" t="str">
        <v/>
      </c>
      <c r="BL49" s="91" t="str">
        <f t="shared" si="12"/>
        <v/>
      </c>
      <c r="BM49" s="91" t="str">
        <v/>
      </c>
      <c r="BN49" s="92" t="str">
        <f t="shared" si="13"/>
        <v/>
      </c>
      <c r="BO49" s="92" t="str">
        <v/>
      </c>
      <c r="BP49" s="91" t="str">
        <f t="shared" si="23"/>
        <v/>
      </c>
      <c r="BR49" s="92" t="str">
        <f t="shared" si="14"/>
        <v/>
      </c>
      <c r="BT49" s="91" t="str">
        <f t="shared" si="15"/>
        <v/>
      </c>
      <c r="BV49" s="92" t="str">
        <f t="shared" si="16"/>
        <v/>
      </c>
      <c r="BX49" s="91" t="str">
        <f t="shared" si="17"/>
        <v/>
      </c>
      <c r="BZ49" s="92" t="str">
        <f t="shared" si="18"/>
        <v/>
      </c>
      <c r="CB49" s="93" t="str">
        <f t="shared" si="19"/>
        <v/>
      </c>
      <c r="CD49" s="90" t="str">
        <f t="shared" si="20"/>
        <v/>
      </c>
      <c r="CF49" s="90" t="str">
        <f t="shared" si="21"/>
        <v/>
      </c>
      <c r="CG49" s="94"/>
    </row>
    <row r="50" spans="3:85" ht="13.9" hidden="1" customHeight="1">
      <c r="C50" s="38" t="str">
        <f t="shared" si="4"/>
        <v>MaterialMTDCaused by preprocess</v>
      </c>
      <c r="D50" s="84" t="s">
        <v>1246</v>
      </c>
      <c r="E50" s="228" t="s">
        <v>1414</v>
      </c>
      <c r="F50" s="229"/>
      <c r="G50" s="229"/>
      <c r="H50" s="229"/>
      <c r="I50" s="230"/>
      <c r="J50" s="61" t="s">
        <v>1369</v>
      </c>
      <c r="K50" s="61"/>
      <c r="L50" s="61"/>
      <c r="M50" s="61"/>
      <c r="N50" s="61" t="s">
        <v>1446</v>
      </c>
      <c r="O50" s="61"/>
      <c r="P50" s="62"/>
      <c r="S50" s="5" t="b">
        <f t="shared" si="22"/>
        <v>0</v>
      </c>
      <c r="T50" s="83">
        <f t="shared" si="6"/>
        <v>0</v>
      </c>
      <c r="U50" s="5" t="b">
        <f t="shared" si="3"/>
        <v>0</v>
      </c>
      <c r="AZ50" s="91" t="s">
        <v>1369</v>
      </c>
      <c r="BA50" s="118" t="str">
        <f t="shared" si="7"/>
        <v/>
      </c>
      <c r="BB50" s="90" t="s">
        <v>1374</v>
      </c>
      <c r="BC50" s="92" t="str">
        <v/>
      </c>
      <c r="BD50" s="91" t="str">
        <f t="shared" si="8"/>
        <v/>
      </c>
      <c r="BE50" s="91" t="str">
        <v/>
      </c>
      <c r="BF50" s="92" t="str">
        <f t="shared" si="9"/>
        <v/>
      </c>
      <c r="BG50" s="92" t="str">
        <v/>
      </c>
      <c r="BH50" s="91" t="str">
        <f t="shared" si="10"/>
        <v/>
      </c>
      <c r="BI50" s="91" t="str">
        <v/>
      </c>
      <c r="BJ50" s="92" t="str">
        <f t="shared" si="11"/>
        <v/>
      </c>
      <c r="BK50" s="92" t="str">
        <v/>
      </c>
      <c r="BL50" s="91" t="str">
        <f t="shared" si="12"/>
        <v/>
      </c>
      <c r="BM50" s="91" t="str">
        <v/>
      </c>
      <c r="BN50" s="92" t="str">
        <f t="shared" si="13"/>
        <v/>
      </c>
      <c r="BO50" s="92" t="str">
        <v/>
      </c>
      <c r="BP50" s="91" t="str">
        <f>IF(BO50=0,"",BO50)</f>
        <v/>
      </c>
      <c r="BR50" s="92" t="str">
        <f t="shared" si="14"/>
        <v/>
      </c>
      <c r="BT50" s="91" t="str">
        <f t="shared" si="15"/>
        <v/>
      </c>
      <c r="BV50" s="92" t="str">
        <f t="shared" si="16"/>
        <v/>
      </c>
      <c r="BX50" s="91" t="str">
        <f t="shared" si="17"/>
        <v/>
      </c>
      <c r="BZ50" s="92" t="str">
        <f t="shared" si="18"/>
        <v/>
      </c>
      <c r="CB50" s="93" t="str">
        <f t="shared" si="19"/>
        <v/>
      </c>
      <c r="CD50" s="90" t="str">
        <f t="shared" si="20"/>
        <v/>
      </c>
      <c r="CF50" s="90" t="str">
        <f t="shared" si="21"/>
        <v/>
      </c>
      <c r="CG50" s="94"/>
    </row>
    <row r="51" spans="3:85" ht="13.9" hidden="1" customHeight="1">
      <c r="C51" s="38" t="str">
        <f t="shared" si="4"/>
        <v>MaterialBTDCaused by preprocess</v>
      </c>
      <c r="D51" s="84" t="s">
        <v>1246</v>
      </c>
      <c r="E51" s="228" t="s">
        <v>1414</v>
      </c>
      <c r="F51" s="229"/>
      <c r="G51" s="229"/>
      <c r="H51" s="229"/>
      <c r="I51" s="230"/>
      <c r="J51" s="61" t="s">
        <v>1370</v>
      </c>
      <c r="K51" s="61"/>
      <c r="L51" s="61"/>
      <c r="M51" s="61"/>
      <c r="N51" s="61" t="s">
        <v>1446</v>
      </c>
      <c r="O51" s="61"/>
      <c r="P51" s="62"/>
      <c r="S51" s="5" t="b">
        <f t="shared" si="22"/>
        <v>0</v>
      </c>
      <c r="T51" s="83">
        <f t="shared" si="6"/>
        <v>0</v>
      </c>
      <c r="U51" s="5" t="b">
        <f t="shared" si="3"/>
        <v>0</v>
      </c>
      <c r="AZ51" s="91" t="s">
        <v>1370</v>
      </c>
      <c r="BA51" s="118" t="str">
        <f t="shared" si="7"/>
        <v/>
      </c>
      <c r="BB51" s="90" t="s">
        <v>1378</v>
      </c>
      <c r="BC51" s="92" t="str">
        <v/>
      </c>
      <c r="BD51" s="91" t="str">
        <f t="shared" si="8"/>
        <v/>
      </c>
      <c r="BE51" s="91" t="str">
        <v/>
      </c>
      <c r="BF51" s="92" t="str">
        <f t="shared" si="9"/>
        <v/>
      </c>
      <c r="BG51" s="92" t="str">
        <v/>
      </c>
      <c r="BH51" s="91" t="str">
        <f t="shared" si="10"/>
        <v/>
      </c>
      <c r="BI51" s="91" t="str">
        <v/>
      </c>
      <c r="BJ51" s="92" t="str">
        <f t="shared" si="11"/>
        <v/>
      </c>
      <c r="BK51" s="92" t="str">
        <v/>
      </c>
      <c r="BL51" s="91" t="str">
        <f t="shared" si="12"/>
        <v/>
      </c>
      <c r="BM51" s="91" t="str">
        <v/>
      </c>
      <c r="BN51" s="92" t="str">
        <f t="shared" si="13"/>
        <v/>
      </c>
      <c r="BO51" s="92" t="str">
        <v/>
      </c>
      <c r="BP51" s="91" t="str">
        <f t="shared" si="23"/>
        <v/>
      </c>
      <c r="BR51" s="92" t="str">
        <f t="shared" si="14"/>
        <v/>
      </c>
      <c r="BT51" s="91" t="str">
        <f t="shared" si="15"/>
        <v/>
      </c>
      <c r="BV51" s="92" t="str">
        <f t="shared" si="16"/>
        <v/>
      </c>
      <c r="BX51" s="91" t="str">
        <f t="shared" si="17"/>
        <v/>
      </c>
      <c r="BZ51" s="92" t="str">
        <f t="shared" si="18"/>
        <v/>
      </c>
      <c r="CB51" s="93" t="str">
        <f t="shared" si="19"/>
        <v/>
      </c>
      <c r="CD51" s="90" t="str">
        <f t="shared" si="20"/>
        <v/>
      </c>
      <c r="CF51" s="90" t="str">
        <f t="shared" si="21"/>
        <v/>
      </c>
      <c r="CG51" s="94"/>
    </row>
    <row r="52" spans="3:85" ht="13.9" hidden="1" customHeight="1">
      <c r="C52" s="38" t="str">
        <f t="shared" si="4"/>
        <v>MaterialHousingMẻ, lõm, biến dạng</v>
      </c>
      <c r="D52" s="84" t="s">
        <v>1246</v>
      </c>
      <c r="E52" s="228" t="s">
        <v>1414</v>
      </c>
      <c r="F52" s="229"/>
      <c r="G52" s="229"/>
      <c r="H52" s="229"/>
      <c r="I52" s="230"/>
      <c r="J52" s="61" t="s">
        <v>1360</v>
      </c>
      <c r="K52" s="61"/>
      <c r="L52" s="61"/>
      <c r="M52" s="61"/>
      <c r="N52" s="61" t="s">
        <v>1447</v>
      </c>
      <c r="O52" s="61"/>
      <c r="P52" s="62"/>
      <c r="S52" s="5" t="b">
        <f t="shared" si="22"/>
        <v>0</v>
      </c>
      <c r="T52" s="83">
        <f t="shared" si="6"/>
        <v>0</v>
      </c>
      <c r="U52" s="5" t="b">
        <f t="shared" si="3"/>
        <v>0</v>
      </c>
      <c r="AZ52" s="91" t="s">
        <v>1371</v>
      </c>
      <c r="BA52" s="118" t="str">
        <f t="shared" si="7"/>
        <v/>
      </c>
      <c r="BB52" s="90" t="s">
        <v>1380</v>
      </c>
      <c r="BC52" s="92" t="str">
        <v/>
      </c>
      <c r="BD52" s="91" t="str">
        <f t="shared" si="8"/>
        <v/>
      </c>
      <c r="BE52" s="91" t="str">
        <v/>
      </c>
      <c r="BF52" s="92" t="str">
        <f t="shared" si="9"/>
        <v/>
      </c>
      <c r="BG52" s="92" t="str">
        <v/>
      </c>
      <c r="BH52" s="91" t="str">
        <f t="shared" si="10"/>
        <v/>
      </c>
      <c r="BI52" s="91" t="str">
        <v/>
      </c>
      <c r="BJ52" s="92" t="str">
        <f t="shared" si="11"/>
        <v/>
      </c>
      <c r="BK52" s="92" t="str">
        <v/>
      </c>
      <c r="BL52" s="91" t="str">
        <f t="shared" si="12"/>
        <v/>
      </c>
      <c r="BM52" s="91" t="str">
        <v/>
      </c>
      <c r="BN52" s="92" t="str">
        <f t="shared" si="13"/>
        <v/>
      </c>
      <c r="BO52" s="92" t="str">
        <v/>
      </c>
      <c r="BP52" s="91" t="str">
        <f>IF(BO52=0,"",BO52)</f>
        <v/>
      </c>
      <c r="BR52" s="92" t="str">
        <f t="shared" si="14"/>
        <v/>
      </c>
      <c r="BT52" s="91" t="str">
        <f t="shared" si="15"/>
        <v/>
      </c>
      <c r="BV52" s="92" t="str">
        <f t="shared" si="16"/>
        <v/>
      </c>
      <c r="BX52" s="91" t="str">
        <f t="shared" si="17"/>
        <v/>
      </c>
      <c r="BZ52" s="92" t="str">
        <f t="shared" si="18"/>
        <v/>
      </c>
      <c r="CB52" s="93" t="str">
        <f t="shared" si="19"/>
        <v/>
      </c>
      <c r="CD52" s="90" t="str">
        <f t="shared" si="20"/>
        <v/>
      </c>
      <c r="CF52" s="90" t="str">
        <f t="shared" si="21"/>
        <v/>
      </c>
      <c r="CG52" s="94"/>
    </row>
    <row r="53" spans="3:85" ht="13.9" hidden="1" customHeight="1">
      <c r="C53" s="38" t="str">
        <f t="shared" si="4"/>
        <v>MaterialHousingĐội gờ HS</v>
      </c>
      <c r="D53" s="84" t="s">
        <v>1246</v>
      </c>
      <c r="E53" s="228" t="s">
        <v>1414</v>
      </c>
      <c r="F53" s="229"/>
      <c r="G53" s="229"/>
      <c r="H53" s="229"/>
      <c r="I53" s="230"/>
      <c r="J53" s="61" t="s">
        <v>1360</v>
      </c>
      <c r="K53" s="61"/>
      <c r="L53" s="61"/>
      <c r="M53" s="61"/>
      <c r="N53" s="61" t="s">
        <v>1458</v>
      </c>
      <c r="O53" s="61"/>
      <c r="P53" s="62"/>
      <c r="S53" s="5" t="b">
        <f t="shared" si="22"/>
        <v>0</v>
      </c>
      <c r="T53" s="83">
        <f t="shared" si="6"/>
        <v>0</v>
      </c>
      <c r="U53" s="5" t="b">
        <f t="shared" si="3"/>
        <v>0</v>
      </c>
      <c r="AZ53" s="91" t="s">
        <v>1219</v>
      </c>
      <c r="BA53" s="118" t="str">
        <f t="shared" si="7"/>
        <v/>
      </c>
      <c r="BB53" s="90" t="s">
        <v>1364</v>
      </c>
      <c r="BC53" s="92" t="str">
        <v/>
      </c>
      <c r="BD53" s="91" t="str">
        <f t="shared" si="8"/>
        <v/>
      </c>
      <c r="BE53" s="91" t="str">
        <v/>
      </c>
      <c r="BF53" s="92" t="str">
        <f t="shared" si="9"/>
        <v/>
      </c>
      <c r="BG53" s="92" t="str">
        <v/>
      </c>
      <c r="BH53" s="91" t="str">
        <f t="shared" si="10"/>
        <v/>
      </c>
      <c r="BI53" s="91" t="str">
        <v/>
      </c>
      <c r="BJ53" s="92" t="str">
        <f t="shared" si="11"/>
        <v/>
      </c>
      <c r="BK53" s="92" t="str">
        <v/>
      </c>
      <c r="BL53" s="91" t="str">
        <f t="shared" si="12"/>
        <v/>
      </c>
      <c r="BM53" s="91" t="str">
        <v/>
      </c>
      <c r="BN53" s="92" t="str">
        <f t="shared" si="13"/>
        <v/>
      </c>
      <c r="BO53" s="92" t="str">
        <v/>
      </c>
      <c r="BP53" s="91" t="str">
        <f t="shared" si="23"/>
        <v/>
      </c>
      <c r="BR53" s="92" t="str">
        <f t="shared" si="14"/>
        <v/>
      </c>
      <c r="BT53" s="91" t="str">
        <f t="shared" si="15"/>
        <v/>
      </c>
      <c r="BV53" s="92" t="str">
        <f t="shared" si="16"/>
        <v/>
      </c>
      <c r="BX53" s="91" t="str">
        <f t="shared" si="17"/>
        <v/>
      </c>
      <c r="BZ53" s="92" t="str">
        <f t="shared" si="18"/>
        <v/>
      </c>
      <c r="CB53" s="93" t="str">
        <f t="shared" si="19"/>
        <v/>
      </c>
      <c r="CD53" s="90" t="str">
        <f t="shared" si="20"/>
        <v/>
      </c>
      <c r="CF53" s="90" t="str">
        <f t="shared" si="21"/>
        <v/>
      </c>
      <c r="CG53" s="94"/>
    </row>
    <row r="54" spans="3:85" ht="14.45" hidden="1" customHeight="1">
      <c r="C54" s="38" t="str">
        <f t="shared" si="4"/>
        <v>MaterialOthersOthers</v>
      </c>
      <c r="D54" s="85" t="s">
        <v>1246</v>
      </c>
      <c r="E54" s="192" t="s">
        <v>1414</v>
      </c>
      <c r="F54" s="193"/>
      <c r="G54" s="193"/>
      <c r="H54" s="193"/>
      <c r="I54" s="194"/>
      <c r="J54" s="63" t="s">
        <v>1219</v>
      </c>
      <c r="K54" s="63"/>
      <c r="L54" s="63"/>
      <c r="M54" s="63"/>
      <c r="N54" s="63" t="s">
        <v>1219</v>
      </c>
      <c r="O54" s="63"/>
      <c r="P54" s="64"/>
      <c r="S54" s="5" t="b">
        <f t="shared" si="22"/>
        <v>0</v>
      </c>
      <c r="T54" s="83">
        <f t="shared" si="6"/>
        <v>0</v>
      </c>
      <c r="U54" s="5" t="b">
        <f t="shared" si="3"/>
        <v>0</v>
      </c>
      <c r="BA54" s="118" t="str">
        <f t="shared" si="7"/>
        <v/>
      </c>
      <c r="BB54" s="90" t="s">
        <v>1360</v>
      </c>
      <c r="BC54" s="92" t="str">
        <v/>
      </c>
      <c r="BD54" s="91" t="str">
        <f t="shared" si="8"/>
        <v/>
      </c>
      <c r="BE54" s="91" t="str">
        <v/>
      </c>
      <c r="BF54" s="92" t="str">
        <f t="shared" si="9"/>
        <v/>
      </c>
      <c r="BG54" s="92" t="str">
        <v/>
      </c>
      <c r="BH54" s="91" t="str">
        <f t="shared" si="10"/>
        <v/>
      </c>
      <c r="BI54" s="91" t="str">
        <v/>
      </c>
      <c r="BJ54" s="92" t="str">
        <f t="shared" si="11"/>
        <v/>
      </c>
      <c r="BK54" s="92" t="str">
        <v/>
      </c>
      <c r="BL54" s="91" t="str">
        <f t="shared" si="12"/>
        <v/>
      </c>
      <c r="BM54" s="91" t="str">
        <v/>
      </c>
      <c r="BN54" s="92" t="str">
        <f t="shared" si="13"/>
        <v/>
      </c>
      <c r="BO54" s="92" t="str">
        <v/>
      </c>
      <c r="BP54" s="91" t="str">
        <f t="shared" si="23"/>
        <v/>
      </c>
      <c r="BR54" s="92" t="str">
        <f t="shared" si="14"/>
        <v/>
      </c>
      <c r="BT54" s="91" t="str">
        <f t="shared" si="15"/>
        <v/>
      </c>
      <c r="BV54" s="92" t="str">
        <f t="shared" si="16"/>
        <v/>
      </c>
      <c r="BX54" s="91" t="str">
        <f t="shared" si="17"/>
        <v/>
      </c>
      <c r="BZ54" s="92" t="str">
        <f t="shared" si="18"/>
        <v/>
      </c>
      <c r="CB54" s="93" t="str">
        <f t="shared" si="19"/>
        <v/>
      </c>
      <c r="CD54" s="90" t="str">
        <f t="shared" si="20"/>
        <v/>
      </c>
      <c r="CF54" s="90" t="str">
        <f t="shared" si="21"/>
        <v/>
      </c>
      <c r="CG54" s="94"/>
    </row>
    <row r="55" spans="3:85" ht="13.9" hidden="1" customHeight="1">
      <c r="C55" s="38" t="str">
        <f t="shared" si="4"/>
        <v>ProcessingWireSai phối màu 誤配色</v>
      </c>
      <c r="D55" s="82" t="s">
        <v>1361</v>
      </c>
      <c r="E55" s="192" t="s">
        <v>1249</v>
      </c>
      <c r="F55" s="193"/>
      <c r="G55" s="193"/>
      <c r="H55" s="193"/>
      <c r="I55" s="194"/>
      <c r="J55" s="59" t="s">
        <v>1362</v>
      </c>
      <c r="K55" s="59"/>
      <c r="L55" s="59"/>
      <c r="M55" s="59"/>
      <c r="N55" s="59" t="s">
        <v>1231</v>
      </c>
      <c r="O55" s="59"/>
      <c r="P55" s="60"/>
      <c r="S55" s="5" t="b">
        <f t="shared" si="22"/>
        <v>0</v>
      </c>
      <c r="T55" s="83">
        <f t="shared" si="6"/>
        <v>0</v>
      </c>
      <c r="U55" s="5" t="b">
        <f t="shared" si="3"/>
        <v>0</v>
      </c>
      <c r="BA55" s="118" t="str">
        <f t="shared" si="7"/>
        <v/>
      </c>
      <c r="BB55" s="90" t="s">
        <v>1389</v>
      </c>
      <c r="BC55" s="92" t="str">
        <v/>
      </c>
      <c r="BD55" s="91" t="str">
        <f t="shared" si="8"/>
        <v/>
      </c>
      <c r="BE55" s="91" t="str">
        <v/>
      </c>
      <c r="BF55" s="92" t="str">
        <f t="shared" si="9"/>
        <v/>
      </c>
      <c r="BG55" s="92" t="str">
        <v/>
      </c>
      <c r="BH55" s="91" t="str">
        <f t="shared" si="10"/>
        <v/>
      </c>
      <c r="BI55" s="91" t="str">
        <v/>
      </c>
      <c r="BJ55" s="92" t="str">
        <f t="shared" si="11"/>
        <v/>
      </c>
      <c r="BK55" s="92" t="str">
        <v/>
      </c>
      <c r="BL55" s="91" t="str">
        <f t="shared" si="12"/>
        <v/>
      </c>
      <c r="BM55" s="91" t="str">
        <v/>
      </c>
      <c r="BN55" s="92" t="str">
        <f t="shared" si="13"/>
        <v/>
      </c>
      <c r="BO55" s="92" t="str">
        <v/>
      </c>
      <c r="BP55" s="91" t="str">
        <f t="shared" si="23"/>
        <v/>
      </c>
      <c r="BR55" s="92" t="str">
        <f t="shared" si="14"/>
        <v/>
      </c>
      <c r="BT55" s="91" t="str">
        <f t="shared" si="15"/>
        <v/>
      </c>
      <c r="BV55" s="92" t="str">
        <f t="shared" si="16"/>
        <v/>
      </c>
      <c r="BX55" s="91" t="str">
        <f t="shared" si="17"/>
        <v/>
      </c>
      <c r="BZ55" s="92" t="str">
        <f t="shared" si="18"/>
        <v/>
      </c>
      <c r="CB55" s="93" t="str">
        <f t="shared" si="19"/>
        <v/>
      </c>
      <c r="CD55" s="90" t="str">
        <f t="shared" si="20"/>
        <v/>
      </c>
      <c r="CF55" s="90" t="str">
        <f t="shared" si="21"/>
        <v/>
      </c>
      <c r="CG55" s="94"/>
    </row>
    <row r="56" spans="3:85" ht="14.45" hidden="1" customHeight="1">
      <c r="C56" s="38" t="str">
        <f t="shared" si="4"/>
        <v>ProcessingTubeSai ống チューブ間違い</v>
      </c>
      <c r="D56" s="85" t="s">
        <v>1361</v>
      </c>
      <c r="E56" s="192" t="s">
        <v>1249</v>
      </c>
      <c r="F56" s="193"/>
      <c r="G56" s="193"/>
      <c r="H56" s="193"/>
      <c r="I56" s="194"/>
      <c r="J56" s="79" t="s">
        <v>1376</v>
      </c>
      <c r="K56" s="63"/>
      <c r="L56" s="63"/>
      <c r="M56" s="63"/>
      <c r="N56" s="63" t="s">
        <v>1245</v>
      </c>
      <c r="O56" s="63"/>
      <c r="P56" s="64"/>
      <c r="S56" s="5" t="b">
        <f t="shared" si="22"/>
        <v>0</v>
      </c>
      <c r="T56" s="83">
        <f t="shared" si="6"/>
        <v>0</v>
      </c>
      <c r="U56" s="5" t="b">
        <f t="shared" si="3"/>
        <v>0</v>
      </c>
      <c r="BA56" s="118" t="str">
        <f t="shared" si="7"/>
        <v/>
      </c>
      <c r="BB56" s="90" t="s">
        <v>1368</v>
      </c>
      <c r="BC56" s="92" t="str">
        <v/>
      </c>
      <c r="BD56" s="91" t="str">
        <f t="shared" si="8"/>
        <v/>
      </c>
      <c r="BE56" s="91" t="str">
        <v/>
      </c>
      <c r="BF56" s="92" t="str">
        <f t="shared" si="9"/>
        <v/>
      </c>
      <c r="BG56" s="92" t="str">
        <v/>
      </c>
      <c r="BH56" s="91" t="str">
        <f t="shared" si="10"/>
        <v/>
      </c>
      <c r="BI56" s="91" t="str">
        <v/>
      </c>
      <c r="BJ56" s="92" t="str">
        <f t="shared" si="11"/>
        <v/>
      </c>
      <c r="BK56" s="92" t="str">
        <v/>
      </c>
      <c r="BL56" s="91" t="str">
        <f t="shared" si="12"/>
        <v/>
      </c>
      <c r="BM56" s="91" t="str">
        <v/>
      </c>
      <c r="BN56" s="92" t="str">
        <f t="shared" si="13"/>
        <v/>
      </c>
      <c r="BO56" s="92" t="str">
        <v/>
      </c>
      <c r="BP56" s="91" t="str">
        <f t="shared" si="23"/>
        <v/>
      </c>
      <c r="BR56" s="92" t="str">
        <f t="shared" si="14"/>
        <v/>
      </c>
      <c r="BT56" s="91" t="str">
        <f t="shared" si="15"/>
        <v/>
      </c>
      <c r="BV56" s="92" t="str">
        <f t="shared" si="16"/>
        <v/>
      </c>
      <c r="BX56" s="91" t="str">
        <f t="shared" si="17"/>
        <v/>
      </c>
      <c r="BZ56" s="92" t="str">
        <f t="shared" si="18"/>
        <v/>
      </c>
      <c r="CB56" s="93" t="str">
        <f t="shared" si="19"/>
        <v/>
      </c>
      <c r="CD56" s="90" t="str">
        <f t="shared" si="20"/>
        <v/>
      </c>
      <c r="CF56" s="90" t="str">
        <f t="shared" si="21"/>
        <v/>
      </c>
      <c r="CG56" s="94"/>
    </row>
    <row r="57" spans="3:85" ht="13.9" hidden="1" customHeight="1">
      <c r="C57" s="38" t="str">
        <f t="shared" si="4"/>
        <v>ProcessingWrap buttonNgược nút bọc</v>
      </c>
      <c r="D57" s="82" t="s">
        <v>1361</v>
      </c>
      <c r="E57" s="192" t="s">
        <v>1468</v>
      </c>
      <c r="F57" s="193"/>
      <c r="G57" s="193"/>
      <c r="H57" s="193"/>
      <c r="I57" s="194"/>
      <c r="J57" s="59" t="s">
        <v>1371</v>
      </c>
      <c r="K57" s="59"/>
      <c r="L57" s="59"/>
      <c r="M57" s="59"/>
      <c r="N57" s="59" t="s">
        <v>1448</v>
      </c>
      <c r="O57" s="59"/>
      <c r="P57" s="60"/>
      <c r="S57" s="5" t="b">
        <f t="shared" si="22"/>
        <v>0</v>
      </c>
      <c r="T57" s="83">
        <f t="shared" si="6"/>
        <v>0</v>
      </c>
      <c r="U57" s="5" t="b">
        <f t="shared" si="3"/>
        <v>0</v>
      </c>
      <c r="BA57" s="118" t="str">
        <f t="shared" si="7"/>
        <v/>
      </c>
      <c r="BB57" s="90" t="s">
        <v>1219</v>
      </c>
      <c r="BC57" s="92" t="str">
        <v/>
      </c>
      <c r="BD57" s="91" t="str">
        <f t="shared" si="8"/>
        <v/>
      </c>
      <c r="BE57" s="91" t="str">
        <v/>
      </c>
      <c r="BF57" s="92" t="str">
        <f t="shared" si="9"/>
        <v/>
      </c>
      <c r="BG57" s="92" t="str">
        <v/>
      </c>
      <c r="BH57" s="91" t="str">
        <f t="shared" si="10"/>
        <v/>
      </c>
      <c r="BI57" s="91" t="str">
        <v/>
      </c>
      <c r="BJ57" s="92" t="str">
        <f t="shared" si="11"/>
        <v/>
      </c>
      <c r="BK57" s="92" t="str">
        <v/>
      </c>
      <c r="BL57" s="91" t="str">
        <f t="shared" si="12"/>
        <v/>
      </c>
      <c r="BM57" s="91" t="str">
        <v/>
      </c>
      <c r="BN57" s="92" t="str">
        <f t="shared" si="13"/>
        <v/>
      </c>
      <c r="BO57" s="92" t="str">
        <v/>
      </c>
      <c r="BP57" s="91" t="str">
        <f t="shared" si="23"/>
        <v/>
      </c>
      <c r="BR57" s="92" t="str">
        <f t="shared" si="14"/>
        <v/>
      </c>
      <c r="BT57" s="91" t="str">
        <f t="shared" si="15"/>
        <v/>
      </c>
      <c r="BV57" s="92" t="str">
        <f t="shared" si="16"/>
        <v/>
      </c>
      <c r="BX57" s="91" t="str">
        <f t="shared" si="17"/>
        <v/>
      </c>
      <c r="BZ57" s="92" t="str">
        <f t="shared" si="18"/>
        <v/>
      </c>
      <c r="CB57" s="93" t="str">
        <f t="shared" si="19"/>
        <v/>
      </c>
      <c r="CD57" s="90" t="str">
        <f t="shared" si="20"/>
        <v/>
      </c>
      <c r="CF57" s="90" t="str">
        <f t="shared" si="21"/>
        <v/>
      </c>
      <c r="CG57" s="94"/>
    </row>
    <row r="58" spans="3:85" ht="13.9" hidden="1" customHeight="1">
      <c r="C58" s="38" t="str">
        <f t="shared" si="4"/>
        <v>ProcessingWireThông dòng NG</v>
      </c>
      <c r="D58" s="84" t="s">
        <v>1361</v>
      </c>
      <c r="E58" s="192" t="s">
        <v>1468</v>
      </c>
      <c r="F58" s="193"/>
      <c r="G58" s="193"/>
      <c r="H58" s="193"/>
      <c r="I58" s="194"/>
      <c r="J58" s="61" t="s">
        <v>1362</v>
      </c>
      <c r="K58" s="61"/>
      <c r="L58" s="61"/>
      <c r="M58" s="61"/>
      <c r="N58" s="61" t="s">
        <v>1372</v>
      </c>
      <c r="O58" s="61"/>
      <c r="P58" s="62"/>
      <c r="S58" s="5" t="b">
        <f t="shared" si="22"/>
        <v>0</v>
      </c>
      <c r="T58" s="83">
        <f t="shared" si="6"/>
        <v>0</v>
      </c>
      <c r="U58" s="5" t="b">
        <f t="shared" si="3"/>
        <v>0</v>
      </c>
      <c r="BA58" s="118"/>
      <c r="BB58" s="119"/>
      <c r="BD58" s="120"/>
      <c r="BE58" s="120"/>
      <c r="BF58" s="121"/>
      <c r="BG58" s="121"/>
      <c r="BH58" s="120"/>
      <c r="BI58" s="120"/>
      <c r="BJ58" s="121"/>
      <c r="BK58" s="121"/>
      <c r="BL58" s="120"/>
      <c r="BM58" s="120"/>
      <c r="BN58" s="121"/>
      <c r="BO58" s="121"/>
      <c r="BP58" s="120"/>
      <c r="BQ58" s="120"/>
      <c r="BR58" s="121"/>
      <c r="BS58" s="121"/>
      <c r="BT58" s="120"/>
      <c r="BU58" s="120"/>
      <c r="BV58" s="121"/>
      <c r="BW58" s="121"/>
      <c r="BX58" s="120"/>
      <c r="BY58" s="120"/>
      <c r="BZ58" s="121"/>
      <c r="CA58" s="121"/>
      <c r="CB58" s="122"/>
      <c r="CC58" s="122"/>
      <c r="CD58" s="123"/>
      <c r="CE58" s="123"/>
      <c r="CF58" s="123"/>
      <c r="CG58" s="94"/>
    </row>
    <row r="59" spans="3:85" ht="13.9" hidden="1" customHeight="1">
      <c r="C59" s="38" t="str">
        <f t="shared" si="4"/>
        <v>ProcessingDiodeNgược Diode</v>
      </c>
      <c r="D59" s="84" t="s">
        <v>1361</v>
      </c>
      <c r="E59" s="192" t="s">
        <v>1468</v>
      </c>
      <c r="F59" s="193"/>
      <c r="G59" s="193"/>
      <c r="H59" s="193"/>
      <c r="I59" s="194"/>
      <c r="J59" s="61" t="s">
        <v>1395</v>
      </c>
      <c r="K59" s="61"/>
      <c r="L59" s="61"/>
      <c r="M59" s="61"/>
      <c r="N59" s="61" t="s">
        <v>1449</v>
      </c>
      <c r="O59" s="61"/>
      <c r="P59" s="62"/>
      <c r="S59" s="5" t="b">
        <f t="shared" si="22"/>
        <v>0</v>
      </c>
      <c r="T59" s="83">
        <f t="shared" si="6"/>
        <v>0</v>
      </c>
      <c r="U59" s="5" t="b">
        <f t="shared" si="3"/>
        <v>0</v>
      </c>
      <c r="BA59" s="118"/>
      <c r="BB59" s="119"/>
      <c r="CG59" s="94"/>
    </row>
    <row r="60" spans="3:85" ht="13.9" hidden="1" customHeight="1">
      <c r="C60" s="38" t="str">
        <f t="shared" si="4"/>
        <v>ProcessingWireDập sai</v>
      </c>
      <c r="D60" s="84" t="s">
        <v>1361</v>
      </c>
      <c r="E60" s="192" t="s">
        <v>1468</v>
      </c>
      <c r="F60" s="193"/>
      <c r="G60" s="193"/>
      <c r="H60" s="193"/>
      <c r="I60" s="194"/>
      <c r="J60" s="61" t="s">
        <v>1362</v>
      </c>
      <c r="K60" s="61"/>
      <c r="L60" s="61"/>
      <c r="M60" s="61"/>
      <c r="N60" s="61" t="s">
        <v>1373</v>
      </c>
      <c r="O60" s="61"/>
      <c r="P60" s="62"/>
      <c r="S60" s="5" t="b">
        <f t="shared" si="22"/>
        <v>0</v>
      </c>
      <c r="T60" s="83">
        <f t="shared" si="6"/>
        <v>0</v>
      </c>
      <c r="U60" s="5" t="b">
        <f t="shared" si="3"/>
        <v>0</v>
      </c>
      <c r="BA60" s="118"/>
      <c r="BB60" s="119"/>
      <c r="CG60" s="94"/>
    </row>
    <row r="61" spans="3:85" ht="14.45" hidden="1" customHeight="1">
      <c r="C61" s="38" t="str">
        <f t="shared" si="4"/>
        <v>ProcessingWireThiếu dây</v>
      </c>
      <c r="D61" s="85" t="s">
        <v>1361</v>
      </c>
      <c r="E61" s="192" t="s">
        <v>1248</v>
      </c>
      <c r="F61" s="193"/>
      <c r="G61" s="193"/>
      <c r="H61" s="193"/>
      <c r="I61" s="194"/>
      <c r="J61" s="63" t="s">
        <v>1362</v>
      </c>
      <c r="K61" s="63"/>
      <c r="L61" s="63"/>
      <c r="M61" s="63"/>
      <c r="N61" s="63" t="s">
        <v>1450</v>
      </c>
      <c r="O61" s="63"/>
      <c r="P61" s="64"/>
      <c r="BA61" s="118"/>
      <c r="BB61" s="119"/>
      <c r="BD61" s="91" t="e">
        <f t="array" aca="1" ref="BD61:BD68" ca="1">OFFSET($BD$46,0,0,COUNTIF(BD46:BD58,"?*"))</f>
        <v>#REF!</v>
      </c>
      <c r="BF61" s="92" t="e" cm="1">
        <f t="array" aca="1" ref="BF61" ca="1">OFFSET($BF$46,0,0,COUNTIF(BF46:BF58,"?*"))</f>
        <v>#REF!</v>
      </c>
      <c r="BH61" s="91" t="e" cm="1">
        <f t="array" aca="1" ref="BH61" ca="1">OFFSET($BH$46,0,0,COUNTIF(BH46:BH58,"?*"))</f>
        <v>#REF!</v>
      </c>
      <c r="BJ61" s="92" t="e" cm="1">
        <f t="array" aca="1" ref="BJ61" ca="1">OFFSET($BJ$46,0,0,COUNTIF(BJ46:BJ58,"?*"))</f>
        <v>#REF!</v>
      </c>
      <c r="BL61" s="91" t="e" cm="1">
        <f t="array" aca="1" ref="BL61" ca="1">OFFSET($BL$46,0,0,COUNTIF(BL46:BL58,"?*"))</f>
        <v>#REF!</v>
      </c>
      <c r="BN61" s="92" t="e" cm="1">
        <f t="array" aca="1" ref="BN61" ca="1">OFFSET($BN$46,0,0,COUNTIF(BN46:BN58,"?*"))</f>
        <v>#REF!</v>
      </c>
      <c r="BP61" s="91" t="e" cm="1">
        <f t="array" aca="1" ref="BP61" ca="1">OFFSET($BP$46,0,0,COUNTIF(BP46:BP58,"?*"))</f>
        <v>#REF!</v>
      </c>
      <c r="BR61" s="92" t="e" cm="1">
        <f t="array" aca="1" ref="BR61" ca="1">OFFSET($BR$46,0,0,COUNTIF(BR46:BR58,"?*"))</f>
        <v>#REF!</v>
      </c>
      <c r="BT61" s="91" t="e" cm="1">
        <f t="array" aca="1" ref="BT61" ca="1">OFFSET($BT$46,0,0,COUNTIF(BT46:BT58,"?*"))</f>
        <v>#REF!</v>
      </c>
      <c r="BV61" s="92" t="e" cm="1">
        <f t="array" aca="1" ref="BV61" ca="1">OFFSET($BV$46,0,0,COUNTIF(BV46:BV58,"?*"))</f>
        <v>#REF!</v>
      </c>
      <c r="BX61" s="91" t="e" cm="1">
        <f t="array" aca="1" ref="BX61" ca="1">OFFSET($BX$46,0,0,COUNTIF(BX46:BX58,"?*"))</f>
        <v>#REF!</v>
      </c>
      <c r="BZ61" s="92" t="e" cm="1">
        <f t="array" aca="1" ref="BZ61" ca="1">OFFSET($BZ$46,0,0,COUNTIF(BZ46:BZ58,"?*"))</f>
        <v>#REF!</v>
      </c>
      <c r="CB61" s="93" t="e" cm="1">
        <f t="array" aca="1" ref="CB61" ca="1">OFFSET($CB$46,0,0,COUNTIF(CB46:CB58,"?*"))</f>
        <v>#REF!</v>
      </c>
      <c r="CD61" s="90" t="e" cm="1">
        <f t="array" aca="1" ref="CD61" ca="1">OFFSET($CD$46,0,0,COUNTIF(CD46:CD58,"?*"))</f>
        <v>#REF!</v>
      </c>
      <c r="CF61" s="90" t="e" cm="1">
        <f t="array" aca="1" ref="CF61" ca="1">OFFSET($CF$46,0,0,COUNTIF(CF46:CF58,"?*"))</f>
        <v>#REF!</v>
      </c>
      <c r="CG61" s="94"/>
    </row>
    <row r="62" spans="3:85" ht="13.9" hidden="1" customHeight="1">
      <c r="C62" s="38" t="str">
        <f t="shared" si="4"/>
        <v>ProcessingBandSai vị trí</v>
      </c>
      <c r="D62" s="82" t="s">
        <v>1361</v>
      </c>
      <c r="E62" s="192" t="s">
        <v>1247</v>
      </c>
      <c r="F62" s="193"/>
      <c r="G62" s="193"/>
      <c r="H62" s="193"/>
      <c r="I62" s="194"/>
      <c r="J62" s="59" t="s">
        <v>1374</v>
      </c>
      <c r="K62" s="59"/>
      <c r="L62" s="59"/>
      <c r="M62" s="59"/>
      <c r="N62" s="59" t="s">
        <v>1375</v>
      </c>
      <c r="O62" s="59"/>
      <c r="P62" s="60"/>
      <c r="BA62" s="118"/>
      <c r="BB62" s="119"/>
      <c r="BD62" s="91" t="e">
        <f ca="1"/>
        <v>#REF!</v>
      </c>
      <c r="CG62" s="94"/>
    </row>
    <row r="63" spans="3:85" ht="13.9" hidden="1" customHeight="1">
      <c r="C63" s="38" t="str">
        <f t="shared" si="4"/>
        <v>ProcessingTubeSai kích thước</v>
      </c>
      <c r="D63" s="84" t="s">
        <v>1361</v>
      </c>
      <c r="E63" s="192" t="s">
        <v>1247</v>
      </c>
      <c r="F63" s="193"/>
      <c r="G63" s="193"/>
      <c r="H63" s="193"/>
      <c r="I63" s="194"/>
      <c r="J63" s="61" t="s">
        <v>1376</v>
      </c>
      <c r="K63" s="61"/>
      <c r="L63" s="61"/>
      <c r="M63" s="61"/>
      <c r="N63" s="61" t="s">
        <v>1392</v>
      </c>
      <c r="O63" s="61"/>
      <c r="P63" s="62"/>
      <c r="BA63" s="118"/>
      <c r="BB63" s="119"/>
      <c r="BD63" s="91" t="e">
        <f ca="1"/>
        <v>#REF!</v>
      </c>
      <c r="CG63" s="94"/>
    </row>
    <row r="64" spans="3:85" ht="13.9" hidden="1" customHeight="1">
      <c r="C64" s="38" t="str">
        <f t="shared" si="4"/>
        <v>ProcessingTubeNgắn, dài</v>
      </c>
      <c r="D64" s="84" t="s">
        <v>1361</v>
      </c>
      <c r="E64" s="192" t="s">
        <v>1247</v>
      </c>
      <c r="F64" s="193"/>
      <c r="G64" s="193"/>
      <c r="H64" s="193"/>
      <c r="I64" s="194"/>
      <c r="J64" s="61" t="s">
        <v>1376</v>
      </c>
      <c r="K64" s="61"/>
      <c r="L64" s="61"/>
      <c r="M64" s="61"/>
      <c r="N64" s="61" t="s">
        <v>1377</v>
      </c>
      <c r="O64" s="61"/>
      <c r="P64" s="62"/>
      <c r="Z64" s="90" t="b">
        <f>BB46=J55</f>
        <v>1</v>
      </c>
      <c r="BA64" s="118"/>
      <c r="BB64" s="119"/>
      <c r="BD64" s="91" t="e">
        <f ca="1"/>
        <v>#REF!</v>
      </c>
      <c r="CG64" s="94"/>
    </row>
    <row r="65" spans="3:85" ht="14.45" hidden="1" customHeight="1">
      <c r="C65" s="38" t="str">
        <f t="shared" si="4"/>
        <v>ProcessingWireDây ngắn/dài</v>
      </c>
      <c r="D65" s="85" t="s">
        <v>1361</v>
      </c>
      <c r="E65" s="192" t="s">
        <v>1247</v>
      </c>
      <c r="F65" s="193"/>
      <c r="G65" s="193"/>
      <c r="H65" s="193"/>
      <c r="I65" s="194"/>
      <c r="J65" s="63" t="s">
        <v>1362</v>
      </c>
      <c r="K65" s="63"/>
      <c r="L65" s="63"/>
      <c r="M65" s="63"/>
      <c r="N65" s="63" t="s">
        <v>1451</v>
      </c>
      <c r="O65" s="63"/>
      <c r="P65" s="64"/>
      <c r="BA65" s="118"/>
      <c r="BB65" s="119"/>
      <c r="BD65" s="91" t="e">
        <f ca="1"/>
        <v>#REF!</v>
      </c>
      <c r="CG65" s="94"/>
    </row>
    <row r="66" spans="3:85" ht="13.9" hidden="1" customHeight="1">
      <c r="C66" s="38" t="str">
        <f t="shared" si="4"/>
        <v>ProcessingPinSút</v>
      </c>
      <c r="D66" s="82" t="s">
        <v>1361</v>
      </c>
      <c r="E66" s="192" t="s">
        <v>1469</v>
      </c>
      <c r="F66" s="193"/>
      <c r="G66" s="193"/>
      <c r="H66" s="193"/>
      <c r="I66" s="194"/>
      <c r="J66" s="59" t="s">
        <v>1378</v>
      </c>
      <c r="K66" s="59"/>
      <c r="L66" s="59"/>
      <c r="M66" s="59"/>
      <c r="N66" s="59" t="s">
        <v>1379</v>
      </c>
      <c r="O66" s="59"/>
      <c r="P66" s="60"/>
      <c r="BA66" s="118"/>
      <c r="BB66" s="119"/>
      <c r="BD66" s="91" t="e">
        <f ca="1"/>
        <v>#REF!</v>
      </c>
      <c r="CG66" s="94"/>
    </row>
    <row r="67" spans="3:85" ht="13.9" hidden="1" customHeight="1">
      <c r="C67" s="38" t="str">
        <f t="shared" si="4"/>
        <v>ProcessingRetainerBiến dạng</v>
      </c>
      <c r="D67" s="84" t="s">
        <v>1361</v>
      </c>
      <c r="E67" s="192" t="s">
        <v>1469</v>
      </c>
      <c r="F67" s="193"/>
      <c r="G67" s="193"/>
      <c r="H67" s="193"/>
      <c r="I67" s="194"/>
      <c r="J67" s="61" t="s">
        <v>1380</v>
      </c>
      <c r="K67" s="61"/>
      <c r="L67" s="61"/>
      <c r="M67" s="61"/>
      <c r="N67" s="61" t="s">
        <v>1381</v>
      </c>
      <c r="O67" s="61"/>
      <c r="P67" s="62"/>
      <c r="BA67" s="118"/>
      <c r="BB67" s="119"/>
      <c r="BD67" s="91" t="e">
        <f ca="1"/>
        <v>#REF!</v>
      </c>
      <c r="CG67" s="94"/>
    </row>
    <row r="68" spans="3:85" ht="13.9" hidden="1" customHeight="1">
      <c r="C68" s="38" t="str">
        <f t="shared" si="4"/>
        <v>ProcessingRetainerHở</v>
      </c>
      <c r="D68" s="84" t="s">
        <v>1361</v>
      </c>
      <c r="E68" s="192" t="s">
        <v>1469</v>
      </c>
      <c r="F68" s="193"/>
      <c r="G68" s="193"/>
      <c r="H68" s="193"/>
      <c r="I68" s="194"/>
      <c r="J68" s="61" t="s">
        <v>1380</v>
      </c>
      <c r="K68" s="61"/>
      <c r="L68" s="61"/>
      <c r="M68" s="61"/>
      <c r="N68" s="61" t="s">
        <v>1382</v>
      </c>
      <c r="O68" s="61"/>
      <c r="P68" s="62"/>
      <c r="BA68" s="118"/>
      <c r="BB68" s="119"/>
      <c r="BD68" s="91" t="e">
        <f ca="1"/>
        <v>#REF!</v>
      </c>
      <c r="CG68" s="94"/>
    </row>
    <row r="69" spans="3:85" ht="13.9" hidden="1" customHeight="1">
      <c r="C69" s="38" t="str">
        <f t="shared" si="4"/>
        <v>ProcessingTerminalGờ tanshi bám ít vào gờ housing ランスのロックが不十分</v>
      </c>
      <c r="D69" s="84" t="s">
        <v>1361</v>
      </c>
      <c r="E69" s="192" t="s">
        <v>1469</v>
      </c>
      <c r="F69" s="193"/>
      <c r="G69" s="193"/>
      <c r="H69" s="193"/>
      <c r="I69" s="194"/>
      <c r="J69" s="61" t="s">
        <v>1364</v>
      </c>
      <c r="K69" s="61"/>
      <c r="L69" s="61"/>
      <c r="M69" s="61"/>
      <c r="N69" s="61" t="s">
        <v>1244</v>
      </c>
      <c r="O69" s="61"/>
      <c r="P69" s="62"/>
      <c r="BA69" s="118"/>
      <c r="BB69" s="119"/>
      <c r="CG69" s="94"/>
    </row>
    <row r="70" spans="3:85" ht="14.45" hidden="1" customHeight="1">
      <c r="C70" s="38" t="str">
        <f t="shared" si="4"/>
        <v>ProcessingTerminalTuột mấu ôm vỏ do tán cạn 浅打ちで被覆カシメ外れ</v>
      </c>
      <c r="D70" s="85" t="s">
        <v>1361</v>
      </c>
      <c r="E70" s="192" t="s">
        <v>1469</v>
      </c>
      <c r="F70" s="193"/>
      <c r="G70" s="193"/>
      <c r="H70" s="193"/>
      <c r="I70" s="194"/>
      <c r="J70" s="63" t="s">
        <v>1364</v>
      </c>
      <c r="K70" s="63"/>
      <c r="L70" s="63"/>
      <c r="M70" s="63"/>
      <c r="N70" s="63" t="s">
        <v>1240</v>
      </c>
      <c r="O70" s="63"/>
      <c r="P70" s="64"/>
      <c r="BA70" s="118"/>
      <c r="BB70" s="119"/>
      <c r="CG70" s="94"/>
    </row>
    <row r="71" spans="3:85" ht="14.45" hidden="1" customHeight="1">
      <c r="C71" s="38" t="str">
        <f t="shared" si="4"/>
        <v>ProcessingTubeThiếu ống</v>
      </c>
      <c r="D71" s="86" t="s">
        <v>1361</v>
      </c>
      <c r="E71" s="192" t="s">
        <v>1248</v>
      </c>
      <c r="F71" s="193"/>
      <c r="G71" s="193"/>
      <c r="H71" s="193"/>
      <c r="I71" s="194"/>
      <c r="J71" s="65" t="s">
        <v>1376</v>
      </c>
      <c r="K71" s="65"/>
      <c r="L71" s="65"/>
      <c r="M71" s="65"/>
      <c r="N71" s="65" t="s">
        <v>1452</v>
      </c>
      <c r="O71" s="65"/>
      <c r="P71" s="66"/>
      <c r="BA71" s="118"/>
      <c r="BB71" s="119"/>
      <c r="CG71" s="94"/>
    </row>
    <row r="72" spans="3:85" ht="13.9" hidden="1" customHeight="1">
      <c r="C72" s="38" t="str">
        <f t="shared" si="4"/>
        <v>ProcessingTerminalDính dị vật 端子が異物付き</v>
      </c>
      <c r="D72" s="82" t="s">
        <v>1361</v>
      </c>
      <c r="E72" s="192" t="s">
        <v>1469</v>
      </c>
      <c r="F72" s="193"/>
      <c r="G72" s="193"/>
      <c r="H72" s="193"/>
      <c r="I72" s="194"/>
      <c r="J72" s="59" t="s">
        <v>1364</v>
      </c>
      <c r="K72" s="59"/>
      <c r="L72" s="59"/>
      <c r="M72" s="59"/>
      <c r="N72" s="59" t="s">
        <v>1393</v>
      </c>
      <c r="O72" s="59"/>
      <c r="P72" s="60"/>
      <c r="BA72" s="118"/>
      <c r="BB72" s="119"/>
      <c r="CG72" s="94"/>
    </row>
    <row r="73" spans="3:85" ht="13.9" hidden="1" customHeight="1">
      <c r="C73" s="38" t="str">
        <f t="shared" si="4"/>
        <v>ProcessingTerminalTanshi biến dạng</v>
      </c>
      <c r="D73" s="84" t="s">
        <v>1361</v>
      </c>
      <c r="E73" s="192" t="s">
        <v>1469</v>
      </c>
      <c r="F73" s="193"/>
      <c r="G73" s="193"/>
      <c r="H73" s="193"/>
      <c r="I73" s="194"/>
      <c r="J73" s="61" t="s">
        <v>1364</v>
      </c>
      <c r="K73" s="61"/>
      <c r="L73" s="61"/>
      <c r="M73" s="61"/>
      <c r="N73" s="61" t="s">
        <v>1470</v>
      </c>
      <c r="O73" s="61"/>
      <c r="P73" s="62"/>
      <c r="BA73" s="118"/>
      <c r="BB73" s="119"/>
      <c r="CG73" s="94"/>
    </row>
    <row r="74" spans="3:85" ht="13.9" hidden="1" customHeight="1">
      <c r="C74" s="38" t="str">
        <f t="shared" si="4"/>
        <v>ProcessingWireBẩn, dơ</v>
      </c>
      <c r="D74" s="84" t="s">
        <v>1361</v>
      </c>
      <c r="E74" s="192" t="s">
        <v>1469</v>
      </c>
      <c r="F74" s="193"/>
      <c r="G74" s="193"/>
      <c r="H74" s="193"/>
      <c r="I74" s="194"/>
      <c r="J74" s="61" t="s">
        <v>1362</v>
      </c>
      <c r="K74" s="61"/>
      <c r="L74" s="61"/>
      <c r="M74" s="61"/>
      <c r="N74" s="61" t="s">
        <v>1383</v>
      </c>
      <c r="O74" s="61"/>
      <c r="P74" s="62"/>
      <c r="BA74" s="118"/>
      <c r="BB74" s="119"/>
      <c r="CG74" s="94"/>
    </row>
    <row r="75" spans="3:85" ht="13.9" hidden="1" customHeight="1">
      <c r="C75" s="38" t="str">
        <f t="shared" si="4"/>
        <v>ProcessingWireCấn, trầy</v>
      </c>
      <c r="D75" s="84" t="s">
        <v>1361</v>
      </c>
      <c r="E75" s="192" t="s">
        <v>1469</v>
      </c>
      <c r="F75" s="193"/>
      <c r="G75" s="193"/>
      <c r="H75" s="193"/>
      <c r="I75" s="194"/>
      <c r="J75" s="61" t="s">
        <v>1362</v>
      </c>
      <c r="K75" s="61"/>
      <c r="L75" s="61"/>
      <c r="M75" s="61"/>
      <c r="N75" s="61" t="s">
        <v>1453</v>
      </c>
      <c r="O75" s="61"/>
      <c r="P75" s="62"/>
      <c r="BA75" s="118"/>
      <c r="BB75" s="119"/>
      <c r="BD75" s="120"/>
      <c r="BE75" s="120"/>
      <c r="BF75" s="121"/>
      <c r="BG75" s="121"/>
      <c r="BH75" s="120"/>
      <c r="BI75" s="120"/>
      <c r="BJ75" s="121"/>
      <c r="BK75" s="121"/>
      <c r="BL75" s="120"/>
      <c r="BM75" s="120"/>
      <c r="BN75" s="121"/>
      <c r="BO75" s="121"/>
      <c r="BP75" s="120"/>
      <c r="BQ75" s="120"/>
      <c r="BR75" s="121"/>
      <c r="BS75" s="121"/>
      <c r="BT75" s="120"/>
      <c r="BU75" s="120"/>
      <c r="BV75" s="121"/>
      <c r="BW75" s="121"/>
      <c r="BX75" s="120"/>
      <c r="BY75" s="120"/>
      <c r="BZ75" s="121"/>
      <c r="CA75" s="121"/>
      <c r="CB75" s="122"/>
      <c r="CC75" s="122"/>
      <c r="CD75" s="123"/>
      <c r="CE75" s="123"/>
      <c r="CF75" s="123"/>
      <c r="CG75" s="94"/>
    </row>
    <row r="76" spans="3:85" ht="13.9" hidden="1" customHeight="1">
      <c r="C76" s="38" t="str">
        <f t="shared" si="4"/>
        <v>ProcessingWireCháy dây</v>
      </c>
      <c r="D76" s="84" t="s">
        <v>1361</v>
      </c>
      <c r="E76" s="192" t="s">
        <v>1469</v>
      </c>
      <c r="F76" s="193"/>
      <c r="G76" s="193"/>
      <c r="H76" s="193"/>
      <c r="I76" s="194"/>
      <c r="J76" s="61" t="s">
        <v>1362</v>
      </c>
      <c r="K76" s="61"/>
      <c r="L76" s="61"/>
      <c r="M76" s="61"/>
      <c r="N76" s="61" t="s">
        <v>1454</v>
      </c>
      <c r="O76" s="61"/>
      <c r="P76" s="62"/>
      <c r="BA76" s="118"/>
      <c r="BB76" s="119"/>
      <c r="CG76" s="94"/>
    </row>
    <row r="77" spans="3:85" ht="13.9" hidden="1" customHeight="1">
      <c r="C77" s="38" t="str">
        <f t="shared" si="4"/>
        <v>ProcessingWireTưa lõi</v>
      </c>
      <c r="D77" s="84" t="s">
        <v>1361</v>
      </c>
      <c r="E77" s="192" t="s">
        <v>1469</v>
      </c>
      <c r="F77" s="193"/>
      <c r="G77" s="193"/>
      <c r="H77" s="193"/>
      <c r="I77" s="194"/>
      <c r="J77" s="61" t="s">
        <v>1362</v>
      </c>
      <c r="K77" s="61"/>
      <c r="L77" s="61"/>
      <c r="M77" s="61"/>
      <c r="N77" s="61" t="s">
        <v>1455</v>
      </c>
      <c r="O77" s="61"/>
      <c r="P77" s="62"/>
      <c r="BA77" s="118"/>
      <c r="BB77" s="119"/>
    </row>
    <row r="78" spans="3:85" ht="13.9" hidden="1" customHeight="1">
      <c r="C78" s="38" t="str">
        <f t="shared" si="4"/>
        <v>ProcessingWireĐứt Lõi</v>
      </c>
      <c r="D78" s="84" t="s">
        <v>1361</v>
      </c>
      <c r="E78" s="192" t="s">
        <v>1469</v>
      </c>
      <c r="F78" s="193"/>
      <c r="G78" s="193"/>
      <c r="H78" s="193"/>
      <c r="I78" s="194"/>
      <c r="J78" s="61" t="s">
        <v>1362</v>
      </c>
      <c r="K78" s="61"/>
      <c r="L78" s="61"/>
      <c r="M78" s="61"/>
      <c r="N78" s="61" t="s">
        <v>1456</v>
      </c>
      <c r="O78" s="61"/>
      <c r="P78" s="62"/>
      <c r="BA78" s="118"/>
      <c r="BB78" s="119"/>
    </row>
    <row r="79" spans="3:85" ht="13.9" hidden="1" customHeight="1">
      <c r="C79" s="38" t="str">
        <f t="shared" si="4"/>
        <v>ProcessingHousingThiếu dấu marking PS PSマーキング不足</v>
      </c>
      <c r="D79" s="84" t="s">
        <v>1361</v>
      </c>
      <c r="E79" s="192" t="s">
        <v>1469</v>
      </c>
      <c r="F79" s="193"/>
      <c r="G79" s="193"/>
      <c r="H79" s="193"/>
      <c r="I79" s="194"/>
      <c r="J79" s="61" t="s">
        <v>1360</v>
      </c>
      <c r="K79" s="61"/>
      <c r="L79" s="61"/>
      <c r="M79" s="61"/>
      <c r="N79" s="61" t="s">
        <v>1243</v>
      </c>
      <c r="O79" s="61"/>
      <c r="P79" s="62"/>
      <c r="BA79" s="118"/>
      <c r="BB79" s="119"/>
    </row>
    <row r="80" spans="3:85" ht="13.9" hidden="1" customHeight="1">
      <c r="C80" s="38" t="str">
        <f t="shared" si="4"/>
        <v>ProcessingTerminalBiến dạng vị trí Soket</v>
      </c>
      <c r="D80" s="84" t="s">
        <v>1361</v>
      </c>
      <c r="E80" s="192" t="s">
        <v>1469</v>
      </c>
      <c r="F80" s="193"/>
      <c r="G80" s="193"/>
      <c r="H80" s="193"/>
      <c r="I80" s="194"/>
      <c r="J80" s="61" t="s">
        <v>1364</v>
      </c>
      <c r="K80" s="61"/>
      <c r="L80" s="61"/>
      <c r="M80" s="61"/>
      <c r="N80" s="61" t="s">
        <v>1384</v>
      </c>
      <c r="O80" s="61"/>
      <c r="P80" s="62"/>
      <c r="BA80" s="118"/>
      <c r="BB80" s="119"/>
    </row>
    <row r="81" spans="3:54" ht="13.9" hidden="1" customHeight="1">
      <c r="C81" s="38" t="str">
        <f t="shared" si="4"/>
        <v>ProcessingHousingBị bể, mẻ, cấn</v>
      </c>
      <c r="D81" s="84" t="s">
        <v>1361</v>
      </c>
      <c r="E81" s="192" t="s">
        <v>1469</v>
      </c>
      <c r="F81" s="193"/>
      <c r="G81" s="193"/>
      <c r="H81" s="193"/>
      <c r="I81" s="194"/>
      <c r="J81" s="61" t="s">
        <v>1360</v>
      </c>
      <c r="K81" s="61"/>
      <c r="L81" s="61"/>
      <c r="M81" s="61"/>
      <c r="N81" s="61" t="s">
        <v>1385</v>
      </c>
      <c r="O81" s="61"/>
      <c r="P81" s="62"/>
      <c r="BA81" s="118"/>
      <c r="BB81" s="119"/>
    </row>
    <row r="82" spans="3:54" ht="13.9" hidden="1" customHeight="1">
      <c r="C82" s="38" t="str">
        <f t="shared" si="4"/>
        <v>ProcessingHousingXỏ ngược đầu</v>
      </c>
      <c r="D82" s="84" t="s">
        <v>1361</v>
      </c>
      <c r="E82" s="192" t="s">
        <v>1469</v>
      </c>
      <c r="F82" s="193"/>
      <c r="G82" s="193"/>
      <c r="H82" s="193"/>
      <c r="I82" s="194"/>
      <c r="J82" s="61" t="s">
        <v>1360</v>
      </c>
      <c r="K82" s="61"/>
      <c r="L82" s="61"/>
      <c r="M82" s="61"/>
      <c r="N82" s="61" t="s">
        <v>1386</v>
      </c>
      <c r="O82" s="61"/>
      <c r="P82" s="62"/>
      <c r="BA82" s="118"/>
      <c r="BB82" s="119"/>
    </row>
    <row r="83" spans="3:54" ht="13.9" hidden="1" customHeight="1">
      <c r="C83" s="38" t="str">
        <f t="shared" si="4"/>
        <v>ProcessingHousingBị trầy xước</v>
      </c>
      <c r="D83" s="84" t="s">
        <v>1361</v>
      </c>
      <c r="E83" s="192" t="s">
        <v>1469</v>
      </c>
      <c r="F83" s="193"/>
      <c r="G83" s="193"/>
      <c r="H83" s="193"/>
      <c r="I83" s="194"/>
      <c r="J83" s="61" t="s">
        <v>1360</v>
      </c>
      <c r="K83" s="61"/>
      <c r="L83" s="61"/>
      <c r="M83" s="61"/>
      <c r="N83" s="61" t="s">
        <v>1394</v>
      </c>
      <c r="O83" s="61"/>
      <c r="P83" s="62"/>
      <c r="BA83" s="118"/>
      <c r="BB83" s="119"/>
    </row>
    <row r="84" spans="3:54" ht="13.9" hidden="1" customHeight="1">
      <c r="C84" s="38" t="str">
        <f t="shared" si="4"/>
        <v>ProcessingHousingBị gãy khóa</v>
      </c>
      <c r="D84" s="84" t="s">
        <v>1361</v>
      </c>
      <c r="E84" s="192" t="s">
        <v>1469</v>
      </c>
      <c r="F84" s="193"/>
      <c r="G84" s="193"/>
      <c r="H84" s="193"/>
      <c r="I84" s="194"/>
      <c r="J84" s="61" t="s">
        <v>1360</v>
      </c>
      <c r="K84" s="61"/>
      <c r="L84" s="61"/>
      <c r="M84" s="61"/>
      <c r="N84" s="61" t="s">
        <v>1387</v>
      </c>
      <c r="O84" s="61"/>
      <c r="P84" s="62"/>
      <c r="BA84" s="118"/>
      <c r="BB84" s="119"/>
    </row>
    <row r="85" spans="3:54" ht="13.9" hidden="1" customHeight="1">
      <c r="C85" s="38" t="str">
        <f t="shared" si="4"/>
        <v>ProcessingTapeBk không đạt</v>
      </c>
      <c r="D85" s="84" t="s">
        <v>1361</v>
      </c>
      <c r="E85" s="192" t="s">
        <v>1469</v>
      </c>
      <c r="F85" s="193"/>
      <c r="G85" s="193"/>
      <c r="H85" s="193"/>
      <c r="I85" s="194"/>
      <c r="J85" s="61" t="s">
        <v>1368</v>
      </c>
      <c r="K85" s="61"/>
      <c r="L85" s="61"/>
      <c r="M85" s="61"/>
      <c r="N85" s="61" t="s">
        <v>1457</v>
      </c>
      <c r="O85" s="61"/>
      <c r="P85" s="62"/>
      <c r="BA85" s="118"/>
      <c r="BB85" s="119"/>
    </row>
    <row r="86" spans="3:54" ht="13.9" hidden="1" customHeight="1">
      <c r="C86" s="38" t="str">
        <f t="shared" si="4"/>
        <v>ProcessingTubeRách</v>
      </c>
      <c r="D86" s="84" t="s">
        <v>1361</v>
      </c>
      <c r="E86" s="192" t="s">
        <v>1469</v>
      </c>
      <c r="F86" s="193"/>
      <c r="G86" s="193"/>
      <c r="H86" s="193"/>
      <c r="I86" s="194"/>
      <c r="J86" s="61" t="s">
        <v>1376</v>
      </c>
      <c r="K86" s="61"/>
      <c r="L86" s="61"/>
      <c r="M86" s="61"/>
      <c r="N86" s="61" t="s">
        <v>1388</v>
      </c>
      <c r="O86" s="61"/>
      <c r="P86" s="62"/>
      <c r="BA86" s="118"/>
      <c r="BB86" s="119"/>
    </row>
    <row r="87" spans="3:54" ht="13.9" hidden="1" customHeight="1">
      <c r="C87" s="38" t="str">
        <f t="shared" si="4"/>
        <v>ProcessingContactContact bị cháy コン クト焼け</v>
      </c>
      <c r="D87" s="84" t="s">
        <v>1361</v>
      </c>
      <c r="E87" s="192" t="s">
        <v>1469</v>
      </c>
      <c r="F87" s="193"/>
      <c r="G87" s="193"/>
      <c r="H87" s="193"/>
      <c r="I87" s="194"/>
      <c r="J87" s="61" t="s">
        <v>1389</v>
      </c>
      <c r="K87" s="61"/>
      <c r="L87" s="61"/>
      <c r="M87" s="61"/>
      <c r="N87" s="61" t="s">
        <v>1242</v>
      </c>
      <c r="O87" s="61"/>
      <c r="P87" s="62"/>
      <c r="BA87" s="118"/>
      <c r="BB87" s="119"/>
    </row>
    <row r="88" spans="3:54" ht="13.9" hidden="1" customHeight="1">
      <c r="C88" s="38" t="str">
        <f t="shared" si="4"/>
        <v>ProcessingOthersHKH NG</v>
      </c>
      <c r="D88" s="85" t="s">
        <v>1361</v>
      </c>
      <c r="E88" s="192" t="s">
        <v>1469</v>
      </c>
      <c r="F88" s="193"/>
      <c r="G88" s="193"/>
      <c r="H88" s="193"/>
      <c r="I88" s="194"/>
      <c r="J88" s="63" t="s">
        <v>1219</v>
      </c>
      <c r="K88" s="63"/>
      <c r="L88" s="63"/>
      <c r="M88" s="63"/>
      <c r="N88" s="63" t="s">
        <v>1390</v>
      </c>
      <c r="O88" s="63"/>
      <c r="P88" s="64"/>
      <c r="BA88" s="118"/>
      <c r="BB88" s="119"/>
    </row>
    <row r="89" spans="3:54" hidden="1">
      <c r="C89" s="38" t="str">
        <f t="shared" si="4"/>
        <v>ProcessingTerminalTanshi dính HKH はん  着</v>
      </c>
      <c r="D89" s="85" t="s">
        <v>1361</v>
      </c>
      <c r="E89" s="192" t="s">
        <v>1469</v>
      </c>
      <c r="F89" s="193"/>
      <c r="G89" s="193"/>
      <c r="H89" s="193"/>
      <c r="I89" s="194"/>
      <c r="J89" s="63" t="s">
        <v>1364</v>
      </c>
      <c r="K89" s="63"/>
      <c r="L89" s="63"/>
      <c r="M89" s="63"/>
      <c r="N89" s="63" t="s">
        <v>1357</v>
      </c>
      <c r="O89" s="63"/>
      <c r="P89" s="64"/>
      <c r="BA89" s="118"/>
      <c r="BB89" s="119"/>
    </row>
    <row r="90" spans="3:54" hidden="1">
      <c r="C90" s="38" t="str">
        <f t="shared" si="4"/>
        <v>ProcessingHousingHở hộp nối 端子勘合部(接点）が開いている</v>
      </c>
      <c r="D90" s="87" t="s">
        <v>1361</v>
      </c>
      <c r="E90" s="192" t="s">
        <v>1219</v>
      </c>
      <c r="F90" s="193"/>
      <c r="G90" s="193"/>
      <c r="H90" s="193"/>
      <c r="I90" s="194"/>
      <c r="J90" s="77" t="s">
        <v>1360</v>
      </c>
      <c r="K90" s="77"/>
      <c r="L90" s="77"/>
      <c r="M90" s="77"/>
      <c r="N90" s="77" t="s">
        <v>1241</v>
      </c>
      <c r="O90" s="77"/>
      <c r="P90" s="78"/>
      <c r="BA90" s="118"/>
      <c r="BB90" s="119"/>
    </row>
    <row r="91" spans="3:54" hidden="1">
      <c r="BA91" s="118"/>
      <c r="BB91" s="119"/>
    </row>
    <row r="92" spans="3:54" hidden="1">
      <c r="BA92" s="118"/>
      <c r="BB92" s="119"/>
    </row>
    <row r="93" spans="3:54" ht="15" thickTop="1">
      <c r="BA93" s="118"/>
      <c r="BB93" s="119"/>
    </row>
    <row r="94" spans="3:54">
      <c r="BA94" s="118"/>
      <c r="BB94" s="119"/>
    </row>
    <row r="95" spans="3:54">
      <c r="BA95" s="118"/>
      <c r="BB95" s="119"/>
    </row>
    <row r="96" spans="3:54">
      <c r="BA96" s="118"/>
      <c r="BB96" s="119"/>
    </row>
    <row r="97" spans="53:54">
      <c r="BA97" s="118"/>
      <c r="BB97" s="119"/>
    </row>
    <row r="98" spans="53:54">
      <c r="BA98" s="118"/>
      <c r="BB98" s="119"/>
    </row>
    <row r="99" spans="53:54">
      <c r="BA99" s="118"/>
      <c r="BB99" s="119"/>
    </row>
    <row r="100" spans="53:54">
      <c r="BA100" s="118"/>
      <c r="BB100" s="119"/>
    </row>
  </sheetData>
  <sheetProtection algorithmName="SHA-512" hashValue="2I/CqpzFyNBe2PwK5B5gYKtCx+D2gzfbNtjL7y1+Xr6C1ENjem3KQAGX9TsDsHgPoKQFdMv8vZeyuShW4bF/Ng==" saltValue="4Bcp3O1uyLiLOUM2Aij3cw==" spinCount="100000" sheet="1" objects="1" scenarios="1"/>
  <mergeCells count="68">
    <mergeCell ref="E82:I82"/>
    <mergeCell ref="E77:I77"/>
    <mergeCell ref="E78:I78"/>
    <mergeCell ref="E79:I79"/>
    <mergeCell ref="E80:I80"/>
    <mergeCell ref="E81:I81"/>
    <mergeCell ref="E72:I72"/>
    <mergeCell ref="E73:I73"/>
    <mergeCell ref="E74:I74"/>
    <mergeCell ref="E75:I75"/>
    <mergeCell ref="E76:I76"/>
    <mergeCell ref="E66:I66"/>
    <mergeCell ref="E67:I67"/>
    <mergeCell ref="E68:I68"/>
    <mergeCell ref="E69:I69"/>
    <mergeCell ref="E71:I71"/>
    <mergeCell ref="E70:I70"/>
    <mergeCell ref="E46:I46"/>
    <mergeCell ref="E47:I47"/>
    <mergeCell ref="E48:I48"/>
    <mergeCell ref="E49:I49"/>
    <mergeCell ref="E50:I50"/>
    <mergeCell ref="E57:I57"/>
    <mergeCell ref="E58:I58"/>
    <mergeCell ref="E59:I59"/>
    <mergeCell ref="E60:I60"/>
    <mergeCell ref="E51:I51"/>
    <mergeCell ref="E52:I52"/>
    <mergeCell ref="E54:I54"/>
    <mergeCell ref="E55:I55"/>
    <mergeCell ref="E53:I53"/>
    <mergeCell ref="E56:I56"/>
    <mergeCell ref="U7:V7"/>
    <mergeCell ref="U5:V5"/>
    <mergeCell ref="F11:J11"/>
    <mergeCell ref="U13:V13"/>
    <mergeCell ref="U11:V11"/>
    <mergeCell ref="U9:V9"/>
    <mergeCell ref="F9:J9"/>
    <mergeCell ref="H29:J29"/>
    <mergeCell ref="H30:J30"/>
    <mergeCell ref="H31:J31"/>
    <mergeCell ref="H15:J15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26:J26"/>
    <mergeCell ref="H27:J27"/>
    <mergeCell ref="H28:J28"/>
    <mergeCell ref="E90:I90"/>
    <mergeCell ref="E83:I83"/>
    <mergeCell ref="E89:I89"/>
    <mergeCell ref="E84:I84"/>
    <mergeCell ref="E85:I85"/>
    <mergeCell ref="E86:I86"/>
    <mergeCell ref="E87:I87"/>
    <mergeCell ref="E88:I88"/>
    <mergeCell ref="E61:I61"/>
    <mergeCell ref="E62:I62"/>
    <mergeCell ref="E63:I63"/>
    <mergeCell ref="E64:I64"/>
    <mergeCell ref="E65:I65"/>
  </mergeCells>
  <phoneticPr fontId="2" type="noConversion"/>
  <dataValidations count="19">
    <dataValidation type="list" allowBlank="1" showInputMessage="1" showErrorMessage="1" sqref="AE2 U7" xr:uid="{3A72BFEA-C6ED-4E59-A0E5-572F220F1BE9}">
      <formula1>OFFSET($AE$5,0,0,COUNTA($AE$5:$AE$14))</formula1>
    </dataValidation>
    <dataValidation type="list" allowBlank="1" showInputMessage="1" showErrorMessage="1" sqref="O32:O33" xr:uid="{D08D7D12-D6EC-47C9-B2BB-704CCC461A12}">
      <formula1>OFFSET($AH$28,0,0,COUNTA(AH30:AH31))</formula1>
    </dataValidation>
    <dataValidation type="list" allowBlank="1" showInputMessage="1" showErrorMessage="1" sqref="Q32:R33" xr:uid="{52DA22D3-E20C-4CF6-AE16-15E36DEB59E9}">
      <formula1>OFFSET($AH$28,0,0,COUNTA(AI30:AI31))</formula1>
    </dataValidation>
    <dataValidation type="list" allowBlank="1" showInputMessage="1" showErrorMessage="1" sqref="D17:D31" xr:uid="{49FB67D7-60F8-4B6D-BBBE-865E7E0732CB}">
      <formula1>OFFSET($V$46,0,0,COUNTA($V$46:$V$59))</formula1>
    </dataValidation>
    <dataValidation type="list" allowBlank="1" showInputMessage="1" showErrorMessage="1" sqref="F17" xr:uid="{F4AFF1F6-4B28-4D19-98BF-77B945FFEA59}">
      <formula1>OFFSET($BD$46,0,0,COUNTIF(BD46:BD58,"?*"))</formula1>
    </dataValidation>
    <dataValidation type="list" allowBlank="1" showInputMessage="1" showErrorMessage="1" sqref="F18" xr:uid="{DDBAC2E1-D419-4BD6-80FD-620B87A5C164}">
      <formula1>OFFSET($BF$46,0,0,COUNTIF(BF46:BF58,"?*"))</formula1>
    </dataValidation>
    <dataValidation type="list" allowBlank="1" showInputMessage="1" showErrorMessage="1" sqref="F19" xr:uid="{89B9D7C1-78D4-49A1-A1CC-580A011F4516}">
      <formula1>OFFSET($BH$46,0,0,COUNTIF(BH46:BH58,"?*"))</formula1>
    </dataValidation>
    <dataValidation type="list" allowBlank="1" showInputMessage="1" showErrorMessage="1" sqref="F20" xr:uid="{FA35B558-7E77-4F24-84BE-A101195A1BFC}">
      <formula1>OFFSET($BJ$46,0,0,COUNTIF(BJ46:BJ58,"?*"))</formula1>
    </dataValidation>
    <dataValidation type="list" allowBlank="1" showInputMessage="1" showErrorMessage="1" sqref="F21" xr:uid="{119D0A99-7940-47E5-BE88-ABF8A93E4230}">
      <formula1>OFFSET($BL$46,0,0,COUNTIF(BL46:BL58,"?*"))</formula1>
    </dataValidation>
    <dataValidation type="list" allowBlank="1" showInputMessage="1" showErrorMessage="1" sqref="F22" xr:uid="{3CE5B182-B86C-40D5-92D7-7C0B04C17401}">
      <formula1>OFFSET($BN$46,0,0,COUNTIF(BN46:BN58,"?*"))</formula1>
    </dataValidation>
    <dataValidation type="list" allowBlank="1" showInputMessage="1" showErrorMessage="1" sqref="F23" xr:uid="{D030198A-F071-4B31-95A3-9DEFA9575931}">
      <formula1>OFFSET($BP$46,0,0,COUNTIF(BP46:BP58,"?*"))</formula1>
    </dataValidation>
    <dataValidation type="list" allowBlank="1" showInputMessage="1" showErrorMessage="1" sqref="F24" xr:uid="{16E559DB-F49C-4BDA-BD7D-DECB44742125}">
      <formula1>OFFSET($BR$46,0,0,COUNTIF(BR46:BR58,"?*"))</formula1>
    </dataValidation>
    <dataValidation type="list" allowBlank="1" showInputMessage="1" showErrorMessage="1" sqref="F25" xr:uid="{8589ED4C-5FC0-4A29-BBC5-CA338ECAB418}">
      <formula1>OFFSET($BT$46,0,0,COUNTIF(BT46:BT58,"?*"))</formula1>
    </dataValidation>
    <dataValidation type="list" allowBlank="1" showInputMessage="1" showErrorMessage="1" sqref="F26" xr:uid="{37D3B4D2-BD46-4DF1-93A1-1C33106DDBFC}">
      <formula1>OFFSET($BV$46,0,0,COUNTIF(BV46:BV58,"?*"))</formula1>
    </dataValidation>
    <dataValidation type="list" allowBlank="1" showInputMessage="1" showErrorMessage="1" sqref="F27" xr:uid="{182B7626-8D21-4BBD-9390-42A05DD2B9D6}">
      <formula1>OFFSET($BX$46,0,0,COUNTIF(BX46:BX58,"?*"))</formula1>
    </dataValidation>
    <dataValidation type="list" allowBlank="1" showInputMessage="1" showErrorMessage="1" sqref="F28" xr:uid="{A7BA6AB4-9510-4081-BBDE-CD0FCE2740D5}">
      <formula1>OFFSET($BZ$46,0,0,COUNTIF(BZ46:BZ58,"?*"))</formula1>
    </dataValidation>
    <dataValidation type="list" allowBlank="1" showInputMessage="1" showErrorMessage="1" sqref="F29" xr:uid="{2B2E8984-EAF6-4495-96C4-90B23AC46A16}">
      <formula1>OFFSET($CB$46,0,0,COUNTIF(CB46:CB58,"?*"))</formula1>
    </dataValidation>
    <dataValidation type="list" allowBlank="1" showInputMessage="1" showErrorMessage="1" sqref="F30" xr:uid="{BBE16744-8065-4675-9988-65160BECAF1D}">
      <formula1>OFFSET($CD$46,0,0,COUNTIF(CD46:CD58,"?*"))</formula1>
    </dataValidation>
    <dataValidation type="list" allowBlank="1" showInputMessage="1" showErrorMessage="1" sqref="F31" xr:uid="{4057AB7F-65D3-43B5-8221-18326523AED1}">
      <formula1>OFFSET($CF$46,0,0,COUNTIF(CF46:CF58,"?*"))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xr:uid="{EB485256-A435-4FFA-8C08-38E54D676DDF}">
          <x14:formula1>
            <xm:f>OFFSET(Sheet1!$E$2,0,0,COUNTIF(Sheet1!$E:$E,"?*"))</xm:f>
          </x14:formula1>
          <xm:sqref>U11</xm:sqref>
        </x14:dataValidation>
        <x14:dataValidation type="list" allowBlank="1" showInputMessage="1" showErrorMessage="1" xr:uid="{C47F567D-D01F-421F-AC92-941048DAE387}">
          <x14:formula1>
            <xm:f>OFFSET(Sheet2!$B$2,0,0,COUNTIF(Sheet2!$B:$B,"?*"))</xm:f>
          </x14:formula1>
          <xm:sqref>H17 K17</xm:sqref>
        </x14:dataValidation>
        <x14:dataValidation type="list" allowBlank="1" showInputMessage="1" showErrorMessage="1" xr:uid="{D820BEFE-00C2-4139-8FDE-FFE5B102F342}">
          <x14:formula1>
            <xm:f>OFFSET(Sheet2!$E$2,0,0,COUNTIF(Sheet2!$E:$E,"?*"))</xm:f>
          </x14:formula1>
          <xm:sqref>H18:K18</xm:sqref>
        </x14:dataValidation>
        <x14:dataValidation type="list" allowBlank="1" showInputMessage="1" showErrorMessage="1" xr:uid="{8C9FD656-BE26-4062-A8F6-9133EC21FEF4}">
          <x14:formula1>
            <xm:f>OFFSET(Sheet2!$H$2,0,0,COUNTIF(Sheet2!$H:$H,"?*"))</xm:f>
          </x14:formula1>
          <xm:sqref>H19:J19</xm:sqref>
        </x14:dataValidation>
        <x14:dataValidation type="list" allowBlank="1" showInputMessage="1" showErrorMessage="1" xr:uid="{8E7AF9B2-6134-41E5-A997-AB4914A131F0}">
          <x14:formula1>
            <xm:f>OFFSET(Sheet2!$K$2,0,0,COUNTIF(Sheet2!$K:$K,"?*"))</xm:f>
          </x14:formula1>
          <xm:sqref>H20:J20</xm:sqref>
        </x14:dataValidation>
        <x14:dataValidation type="list" allowBlank="1" showInputMessage="1" showErrorMessage="1" xr:uid="{64793D3E-3441-4D9E-9907-82D19BC8C030}">
          <x14:formula1>
            <xm:f>OFFSET(Sheet2!$N$2,0,0,COUNTIF(Sheet2!$N:$N,"?*"))</xm:f>
          </x14:formula1>
          <xm:sqref>H21:J21</xm:sqref>
        </x14:dataValidation>
        <x14:dataValidation type="list" allowBlank="1" showInputMessage="1" showErrorMessage="1" xr:uid="{6A5E301D-3DF3-4A6F-89F0-BD7A345AF1D2}">
          <x14:formula1>
            <xm:f>OFFSET(Sheet2!$Q$2,0,0,COUNTIF(Sheet2!$Q:$Q,"?*"))</xm:f>
          </x14:formula1>
          <xm:sqref>H22:J22</xm:sqref>
        </x14:dataValidation>
        <x14:dataValidation type="list" allowBlank="1" showInputMessage="1" showErrorMessage="1" xr:uid="{045F650B-D92C-4B77-8A29-FD1012D3C8C5}">
          <x14:formula1>
            <xm:f>OFFSET(Sheet2!$T$2,0,0,COUNTIF(Sheet2!$T:$T,"?*"))</xm:f>
          </x14:formula1>
          <xm:sqref>H23:J23</xm:sqref>
        </x14:dataValidation>
        <x14:dataValidation type="list" allowBlank="1" showInputMessage="1" showErrorMessage="1" xr:uid="{036BFAB7-AA78-4D8A-BCF8-1BA39C59C409}">
          <x14:formula1>
            <xm:f>OFFSET(Sheet2!$W$2,0,0,COUNTIF(Sheet2!$W:$W,"?*"))</xm:f>
          </x14:formula1>
          <xm:sqref>H24:J24</xm:sqref>
        </x14:dataValidation>
        <x14:dataValidation type="list" allowBlank="1" showInputMessage="1" showErrorMessage="1" xr:uid="{E676C153-F6DF-4BC1-AD54-3ED7E9303CD0}">
          <x14:formula1>
            <xm:f>OFFSET(Sheet2!$Z$2,0,0,COUNTIF(Sheet2!$Z:$Z,"?*"))</xm:f>
          </x14:formula1>
          <xm:sqref>H25:J25</xm:sqref>
        </x14:dataValidation>
        <x14:dataValidation type="list" allowBlank="1" showInputMessage="1" showErrorMessage="1" xr:uid="{3A8FDF82-7655-4025-A90A-30559662C054}">
          <x14:formula1>
            <xm:f>OFFSET(Sheet2!$AC$2,0,0,COUNTIF(Sheet2!$AC:$AC,"?*"))</xm:f>
          </x14:formula1>
          <xm:sqref>H26:J26</xm:sqref>
        </x14:dataValidation>
        <x14:dataValidation type="list" allowBlank="1" showInputMessage="1" showErrorMessage="1" xr:uid="{66281C6B-A13C-4E5D-8043-DDDAEA56D647}">
          <x14:formula1>
            <xm:f>OFFSET(Sheet2!$AF$2,0,0,COUNTIF(Sheet2!$AF:$AF,"?*"))</xm:f>
          </x14:formula1>
          <xm:sqref>H27:J27</xm:sqref>
        </x14:dataValidation>
        <x14:dataValidation type="list" allowBlank="1" showInputMessage="1" showErrorMessage="1" xr:uid="{CDF6BD0C-6B69-4925-9E2D-4CB80477C432}">
          <x14:formula1>
            <xm:f>OFFSET(Sheet2!$AJ$2,0,0,COUNTIF(Sheet2!$AJ:$AJ,"?*"))</xm:f>
          </x14:formula1>
          <xm:sqref>H28:J28</xm:sqref>
        </x14:dataValidation>
        <x14:dataValidation type="list" allowBlank="1" showInputMessage="1" showErrorMessage="1" xr:uid="{E02BBC33-A792-4B4E-9626-EAC8E8D023CC}">
          <x14:formula1>
            <xm:f>OFFSET(Sheet2!$AL$2,0,0,COUNTIF(Sheet2!$AL:$AL,"?*"))</xm:f>
          </x14:formula1>
          <xm:sqref>H29:J29</xm:sqref>
        </x14:dataValidation>
        <x14:dataValidation type="list" allowBlank="1" showInputMessage="1" showErrorMessage="1" xr:uid="{D6608D9C-969E-4B0E-8A83-238F354AEF6E}">
          <x14:formula1>
            <xm:f>OFFSET(Sheet2!$AO$2,0,0,COUNTIF(Sheet2!$AO:$AO,"?*"))</xm:f>
          </x14:formula1>
          <xm:sqref>H30:J30</xm:sqref>
        </x14:dataValidation>
        <x14:dataValidation type="list" allowBlank="1" showInputMessage="1" showErrorMessage="1" xr:uid="{8CA25DE8-44C1-44BD-B0EA-E3247D9D6474}">
          <x14:formula1>
            <xm:f>OFFSET(Sheet2!$AR$2,0,0,COUNTIF(Sheet2!$AR:$AR,"?*"))</xm:f>
          </x14:formula1>
          <xm:sqref>H31:J31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86C02-3DFC-4868-B2B5-F13949A62E25}">
  <sheetPr codeName="Sheet6"/>
  <dimension ref="A1:AB1855"/>
  <sheetViews>
    <sheetView showGridLines="0" zoomScale="80" zoomScaleNormal="80" workbookViewId="0">
      <pane xSplit="5" ySplit="2" topLeftCell="I3" activePane="bottomRight" state="frozen"/>
      <selection activeCell="N11" sqref="N11"/>
      <selection pane="topRight" activeCell="N11" sqref="N11"/>
      <selection pane="bottomLeft" activeCell="N11" sqref="N11"/>
      <selection pane="bottomRight" activeCell="K15" sqref="K15"/>
    </sheetView>
  </sheetViews>
  <sheetFormatPr defaultColWidth="9" defaultRowHeight="14.25"/>
  <cols>
    <col min="1" max="2" width="9" style="2" hidden="1" customWidth="1"/>
    <col min="3" max="3" width="9" style="48"/>
    <col min="4" max="4" width="12.5" style="29" customWidth="1"/>
    <col min="5" max="5" width="11.375" style="30" customWidth="1"/>
    <col min="6" max="7" width="5.625" style="2" hidden="1" customWidth="1"/>
    <col min="8" max="8" width="4.25" style="2" hidden="1" customWidth="1"/>
    <col min="9" max="9" width="17" style="2" customWidth="1"/>
    <col min="10" max="10" width="22.75" style="2" customWidth="1"/>
    <col min="11" max="11" width="27" style="2" customWidth="1"/>
    <col min="12" max="12" width="9.5" style="2" customWidth="1"/>
    <col min="13" max="13" width="10.25" style="2" customWidth="1"/>
    <col min="14" max="14" width="10.5" style="2" customWidth="1"/>
    <col min="15" max="16" width="8.125" style="2" customWidth="1"/>
    <col min="17" max="17" width="13.625" style="2" customWidth="1"/>
    <col min="18" max="18" width="12.75" style="2" customWidth="1"/>
    <col min="19" max="20" width="12.25" style="74" customWidth="1"/>
    <col min="21" max="21" width="29.875" style="74" customWidth="1"/>
    <col min="22" max="22" width="32.375" style="74" customWidth="1"/>
    <col min="23" max="23" width="49.875" style="2" customWidth="1"/>
    <col min="24" max="24" width="16.375" style="2" customWidth="1"/>
    <col min="25" max="28" width="9" style="1" hidden="1" customWidth="1"/>
    <col min="29" max="30" width="9" style="1" customWidth="1"/>
    <col min="31" max="16384" width="9" style="1"/>
  </cols>
  <sheetData>
    <row r="1" spans="1:24">
      <c r="A1" s="1"/>
      <c r="B1" s="1">
        <f>COUNTA(D:D)</f>
        <v>1</v>
      </c>
      <c r="C1" s="45"/>
      <c r="D1" s="3"/>
      <c r="E1" s="4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4" s="36" customFormat="1" ht="44.45" customHeight="1">
      <c r="A2" s="31" t="s">
        <v>33</v>
      </c>
      <c r="B2" s="32" t="s">
        <v>23</v>
      </c>
      <c r="C2" s="46" t="s">
        <v>8</v>
      </c>
      <c r="D2" s="34" t="s">
        <v>16</v>
      </c>
      <c r="E2" s="35" t="s">
        <v>12</v>
      </c>
      <c r="F2" s="33" t="s">
        <v>4</v>
      </c>
      <c r="G2" s="33" t="s">
        <v>1</v>
      </c>
      <c r="H2" s="33" t="s">
        <v>5</v>
      </c>
      <c r="I2" s="33" t="s">
        <v>11</v>
      </c>
      <c r="J2" s="33" t="s">
        <v>6</v>
      </c>
      <c r="K2" s="33" t="s">
        <v>0</v>
      </c>
      <c r="L2" s="33" t="s">
        <v>32</v>
      </c>
      <c r="M2" s="33" t="s">
        <v>7</v>
      </c>
      <c r="N2" s="33" t="s">
        <v>1411</v>
      </c>
      <c r="O2" s="33" t="s">
        <v>2</v>
      </c>
      <c r="P2" s="33" t="s">
        <v>1412</v>
      </c>
      <c r="Q2" s="33" t="s">
        <v>1358</v>
      </c>
      <c r="R2" s="33" t="s">
        <v>9</v>
      </c>
      <c r="S2" s="44" t="s">
        <v>1229</v>
      </c>
      <c r="T2" s="44" t="s">
        <v>1413</v>
      </c>
      <c r="U2" s="44" t="s">
        <v>1250</v>
      </c>
      <c r="V2" s="44" t="s">
        <v>1223</v>
      </c>
      <c r="W2" s="44" t="s">
        <v>1359</v>
      </c>
      <c r="X2" s="44" t="s">
        <v>1225</v>
      </c>
    </row>
    <row r="3" spans="1:24">
      <c r="B3" s="24"/>
      <c r="C3" s="57"/>
      <c r="D3" s="52"/>
      <c r="E3" s="53"/>
      <c r="F3" s="55"/>
      <c r="G3" s="55"/>
      <c r="H3" s="55"/>
      <c r="I3" s="54"/>
      <c r="J3" s="55"/>
      <c r="K3" s="55"/>
      <c r="L3" s="55"/>
      <c r="M3" s="55"/>
      <c r="N3" s="55"/>
      <c r="O3" s="55"/>
      <c r="P3" s="55"/>
      <c r="Q3" s="55"/>
      <c r="R3" s="55"/>
      <c r="S3" s="150"/>
      <c r="T3" s="150"/>
      <c r="U3" s="150"/>
      <c r="V3" s="72"/>
      <c r="W3" s="56"/>
      <c r="X3" s="24"/>
    </row>
    <row r="4" spans="1:24">
      <c r="B4" s="24"/>
      <c r="C4" s="47"/>
      <c r="D4" s="26"/>
      <c r="E4" s="27"/>
      <c r="F4" s="25"/>
      <c r="G4" s="25"/>
      <c r="H4" s="25"/>
      <c r="I4" s="58"/>
      <c r="J4" s="25"/>
      <c r="K4" s="25"/>
      <c r="L4" s="25"/>
      <c r="M4" s="25"/>
      <c r="N4" s="25"/>
      <c r="O4" s="25"/>
      <c r="P4" s="25"/>
      <c r="Q4" s="25"/>
      <c r="R4" s="25"/>
      <c r="S4" s="151"/>
      <c r="T4" s="151"/>
      <c r="U4" s="151"/>
      <c r="V4" s="73"/>
      <c r="W4" s="28"/>
      <c r="X4" s="24"/>
    </row>
    <row r="5" spans="1:24">
      <c r="B5" s="24"/>
      <c r="C5" s="47"/>
      <c r="D5" s="26"/>
      <c r="E5" s="27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151"/>
      <c r="T5" s="151"/>
      <c r="U5" s="151"/>
      <c r="V5" s="73"/>
      <c r="W5" s="28"/>
      <c r="X5" s="24"/>
    </row>
    <row r="6" spans="1:24">
      <c r="B6" s="24"/>
      <c r="C6" s="47"/>
      <c r="D6" s="26"/>
      <c r="E6" s="27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151"/>
      <c r="T6" s="151"/>
      <c r="U6" s="151"/>
      <c r="V6" s="73"/>
      <c r="W6" s="28"/>
      <c r="X6" s="24"/>
    </row>
    <row r="7" spans="1:24">
      <c r="B7" s="24"/>
      <c r="C7" s="47"/>
      <c r="D7" s="26"/>
      <c r="E7" s="27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151"/>
      <c r="T7" s="151"/>
      <c r="U7" s="151"/>
      <c r="V7" s="73"/>
      <c r="W7" s="28"/>
      <c r="X7" s="24"/>
    </row>
    <row r="8" spans="1:24">
      <c r="B8" s="24"/>
      <c r="C8" s="47"/>
      <c r="D8" s="26"/>
      <c r="E8" s="27"/>
      <c r="F8" s="25"/>
      <c r="G8" s="25"/>
      <c r="H8" s="25"/>
      <c r="I8" s="58"/>
      <c r="J8" s="25"/>
      <c r="K8" s="25"/>
      <c r="L8" s="25"/>
      <c r="M8" s="25"/>
      <c r="N8" s="25"/>
      <c r="O8" s="25"/>
      <c r="P8" s="25"/>
      <c r="Q8" s="25"/>
      <c r="R8" s="25"/>
      <c r="S8" s="151"/>
      <c r="T8" s="151"/>
      <c r="U8" s="151"/>
      <c r="V8" s="73"/>
      <c r="W8" s="28"/>
      <c r="X8" s="24"/>
    </row>
    <row r="9" spans="1:24">
      <c r="B9" s="24"/>
      <c r="C9" s="47"/>
      <c r="D9" s="26"/>
      <c r="E9" s="27"/>
      <c r="F9" s="25"/>
      <c r="G9" s="25"/>
      <c r="H9" s="25"/>
      <c r="I9" s="58"/>
      <c r="J9" s="25"/>
      <c r="K9" s="25"/>
      <c r="L9" s="25"/>
      <c r="M9" s="25"/>
      <c r="N9" s="25"/>
      <c r="O9" s="25"/>
      <c r="P9" s="25"/>
      <c r="Q9" s="25"/>
      <c r="R9" s="25"/>
      <c r="S9" s="151"/>
      <c r="T9" s="151"/>
      <c r="U9" s="151"/>
      <c r="V9" s="73"/>
      <c r="W9" s="28"/>
      <c r="X9" s="24"/>
    </row>
    <row r="10" spans="1:24">
      <c r="B10" s="24"/>
      <c r="C10" s="47"/>
      <c r="D10" s="26"/>
      <c r="E10" s="27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151"/>
      <c r="T10" s="151"/>
      <c r="U10" s="151"/>
      <c r="V10" s="73"/>
      <c r="W10" s="28"/>
      <c r="X10" s="24"/>
    </row>
    <row r="11" spans="1:24">
      <c r="B11" s="24"/>
      <c r="C11" s="47"/>
      <c r="D11" s="26"/>
      <c r="E11" s="27"/>
      <c r="F11" s="25"/>
      <c r="G11" s="25"/>
      <c r="H11" s="25"/>
      <c r="I11" s="58"/>
      <c r="J11" s="25"/>
      <c r="K11" s="25"/>
      <c r="L11" s="25"/>
      <c r="M11" s="25"/>
      <c r="N11" s="25"/>
      <c r="O11" s="25"/>
      <c r="P11" s="25"/>
      <c r="Q11" s="25"/>
      <c r="R11" s="25"/>
      <c r="S11" s="151"/>
      <c r="T11" s="151"/>
      <c r="U11" s="151"/>
      <c r="V11" s="73"/>
      <c r="W11" s="28"/>
      <c r="X11" s="24"/>
    </row>
    <row r="12" spans="1:24">
      <c r="B12" s="24"/>
      <c r="C12" s="47"/>
      <c r="D12" s="26"/>
      <c r="E12" s="27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151"/>
      <c r="T12" s="151"/>
      <c r="U12" s="151"/>
      <c r="V12" s="73"/>
      <c r="W12" s="28"/>
      <c r="X12" s="24"/>
    </row>
    <row r="13" spans="1:24">
      <c r="B13" s="24"/>
      <c r="C13" s="47"/>
      <c r="D13" s="26"/>
      <c r="E13" s="27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151"/>
      <c r="T13" s="151"/>
      <c r="U13" s="151"/>
      <c r="V13" s="73"/>
      <c r="W13" s="28"/>
      <c r="X13" s="24"/>
    </row>
    <row r="14" spans="1:24">
      <c r="B14" s="24"/>
      <c r="C14" s="47"/>
      <c r="D14" s="26"/>
      <c r="E14" s="27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151"/>
      <c r="T14" s="151"/>
      <c r="U14" s="151"/>
      <c r="V14" s="73"/>
      <c r="W14" s="28"/>
      <c r="X14" s="24"/>
    </row>
    <row r="15" spans="1:24">
      <c r="B15" s="24"/>
      <c r="C15" s="47"/>
      <c r="D15" s="26"/>
      <c r="E15" s="27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151"/>
      <c r="T15" s="151"/>
      <c r="U15" s="151"/>
      <c r="V15" s="73"/>
      <c r="W15" s="28"/>
      <c r="X15" s="24"/>
    </row>
    <row r="16" spans="1:24">
      <c r="B16" s="24"/>
      <c r="C16" s="47"/>
      <c r="D16" s="26"/>
      <c r="E16" s="27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151"/>
      <c r="T16" s="151"/>
      <c r="U16" s="151"/>
      <c r="V16" s="73"/>
      <c r="W16" s="28"/>
      <c r="X16" s="24"/>
    </row>
    <row r="17" spans="2:24">
      <c r="B17" s="24"/>
      <c r="C17" s="47"/>
      <c r="D17" s="26"/>
      <c r="E17" s="27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151"/>
      <c r="T17" s="151"/>
      <c r="U17" s="151"/>
      <c r="V17" s="73"/>
      <c r="W17" s="28"/>
      <c r="X17" s="24"/>
    </row>
    <row r="18" spans="2:24">
      <c r="B18" s="24"/>
      <c r="C18" s="47"/>
      <c r="D18" s="26"/>
      <c r="E18" s="27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151"/>
      <c r="T18" s="151"/>
      <c r="U18" s="151"/>
      <c r="V18" s="73"/>
      <c r="W18" s="28"/>
      <c r="X18" s="24"/>
    </row>
    <row r="19" spans="2:24">
      <c r="B19" s="24"/>
      <c r="C19" s="47"/>
      <c r="D19" s="26"/>
      <c r="E19" s="27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151"/>
      <c r="T19" s="151"/>
      <c r="U19" s="151"/>
      <c r="V19" s="73"/>
      <c r="W19" s="28"/>
      <c r="X19" s="24"/>
    </row>
    <row r="20" spans="2:24">
      <c r="B20" s="24"/>
      <c r="C20" s="47"/>
      <c r="D20" s="26"/>
      <c r="E20" s="27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151"/>
      <c r="T20" s="151"/>
      <c r="U20" s="151"/>
      <c r="V20" s="73"/>
      <c r="W20" s="28"/>
      <c r="X20" s="24"/>
    </row>
    <row r="21" spans="2:24">
      <c r="B21" s="24"/>
      <c r="C21" s="47"/>
      <c r="D21" s="26"/>
      <c r="E21" s="27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151"/>
      <c r="T21" s="151"/>
      <c r="U21" s="151"/>
      <c r="V21" s="73"/>
      <c r="W21" s="28"/>
      <c r="X21" s="24"/>
    </row>
    <row r="22" spans="2:24">
      <c r="B22" s="24"/>
      <c r="C22" s="47"/>
      <c r="D22" s="26"/>
      <c r="E22" s="27"/>
      <c r="F22" s="25"/>
      <c r="G22" s="25"/>
      <c r="H22" s="25"/>
      <c r="I22" s="58"/>
      <c r="J22" s="25"/>
      <c r="K22" s="25"/>
      <c r="L22" s="25"/>
      <c r="M22" s="25"/>
      <c r="N22" s="25"/>
      <c r="O22" s="25"/>
      <c r="P22" s="25"/>
      <c r="Q22" s="25"/>
      <c r="R22" s="25"/>
      <c r="S22" s="151"/>
      <c r="T22" s="151"/>
      <c r="U22" s="151"/>
      <c r="V22" s="73"/>
      <c r="W22" s="28"/>
      <c r="X22" s="24"/>
    </row>
    <row r="23" spans="2:24">
      <c r="B23" s="24"/>
      <c r="C23" s="47"/>
      <c r="D23" s="26"/>
      <c r="E23" s="27"/>
      <c r="F23" s="25"/>
      <c r="G23" s="25"/>
      <c r="H23" s="25"/>
      <c r="I23" s="58"/>
      <c r="J23" s="25"/>
      <c r="K23" s="25"/>
      <c r="L23" s="25"/>
      <c r="M23" s="25"/>
      <c r="N23" s="25"/>
      <c r="O23" s="25"/>
      <c r="P23" s="25"/>
      <c r="Q23" s="25"/>
      <c r="R23" s="25"/>
      <c r="S23" s="151"/>
      <c r="T23" s="151"/>
      <c r="U23" s="151"/>
      <c r="V23" s="73"/>
      <c r="W23" s="28"/>
      <c r="X23" s="24"/>
    </row>
    <row r="24" spans="2:24">
      <c r="B24" s="24"/>
      <c r="C24" s="47"/>
      <c r="D24" s="26"/>
      <c r="E24" s="27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151"/>
      <c r="T24" s="151"/>
      <c r="U24" s="151"/>
      <c r="V24" s="73"/>
      <c r="W24" s="28"/>
      <c r="X24" s="24"/>
    </row>
    <row r="25" spans="2:24">
      <c r="B25" s="24"/>
      <c r="C25" s="47"/>
      <c r="D25" s="26"/>
      <c r="E25" s="27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151"/>
      <c r="T25" s="151"/>
      <c r="U25" s="151"/>
      <c r="V25" s="73"/>
      <c r="W25" s="28"/>
      <c r="X25" s="24"/>
    </row>
    <row r="26" spans="2:24">
      <c r="B26" s="24"/>
      <c r="C26" s="47"/>
      <c r="D26" s="26"/>
      <c r="E26" s="27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151"/>
      <c r="T26" s="151"/>
      <c r="U26" s="151"/>
      <c r="V26" s="73"/>
      <c r="W26" s="28"/>
      <c r="X26" s="24"/>
    </row>
    <row r="27" spans="2:24">
      <c r="B27" s="24"/>
      <c r="C27" s="47"/>
      <c r="D27" s="26"/>
      <c r="E27" s="27"/>
      <c r="F27" s="25"/>
      <c r="G27" s="25"/>
      <c r="H27" s="25"/>
      <c r="I27" s="58"/>
      <c r="J27" s="25"/>
      <c r="K27" s="25"/>
      <c r="L27" s="25"/>
      <c r="M27" s="25"/>
      <c r="N27" s="25"/>
      <c r="O27" s="25"/>
      <c r="P27" s="25"/>
      <c r="Q27" s="25"/>
      <c r="R27" s="25"/>
      <c r="S27" s="151"/>
      <c r="T27" s="151"/>
      <c r="U27" s="151"/>
      <c r="V27" s="73"/>
      <c r="W27" s="28"/>
      <c r="X27" s="24"/>
    </row>
    <row r="28" spans="2:24">
      <c r="B28" s="24"/>
      <c r="C28" s="47"/>
      <c r="D28" s="26"/>
      <c r="E28" s="27"/>
      <c r="F28" s="25"/>
      <c r="G28" s="25"/>
      <c r="H28" s="25"/>
      <c r="I28" s="58"/>
      <c r="J28" s="25"/>
      <c r="K28" s="25"/>
      <c r="L28" s="25"/>
      <c r="M28" s="25"/>
      <c r="N28" s="25"/>
      <c r="O28" s="25"/>
      <c r="P28" s="25"/>
      <c r="Q28" s="25"/>
      <c r="R28" s="25"/>
      <c r="S28" s="151"/>
      <c r="T28" s="151"/>
      <c r="U28" s="151"/>
      <c r="V28" s="73"/>
      <c r="W28" s="28"/>
      <c r="X28" s="24"/>
    </row>
    <row r="29" spans="2:24">
      <c r="B29" s="24"/>
      <c r="C29" s="47"/>
      <c r="D29" s="26"/>
      <c r="E29" s="27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151"/>
      <c r="T29" s="151"/>
      <c r="U29" s="151"/>
      <c r="V29" s="73"/>
      <c r="W29" s="28"/>
      <c r="X29" s="24"/>
    </row>
    <row r="30" spans="2:24">
      <c r="B30" s="24"/>
      <c r="C30" s="47"/>
      <c r="D30" s="26"/>
      <c r="E30" s="27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151"/>
      <c r="T30" s="151"/>
      <c r="U30" s="151"/>
      <c r="V30" s="73"/>
      <c r="W30" s="28"/>
      <c r="X30" s="24"/>
    </row>
    <row r="31" spans="2:24">
      <c r="B31" s="24"/>
      <c r="C31" s="47"/>
      <c r="D31" s="26"/>
      <c r="E31" s="27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151"/>
      <c r="T31" s="151"/>
      <c r="U31" s="151"/>
      <c r="V31" s="73"/>
      <c r="W31" s="28"/>
      <c r="X31" s="24"/>
    </row>
    <row r="32" spans="2:24">
      <c r="B32" s="24"/>
      <c r="C32" s="47"/>
      <c r="D32" s="26"/>
      <c r="E32" s="27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151"/>
      <c r="T32" s="151"/>
      <c r="U32" s="151"/>
      <c r="V32" s="73"/>
      <c r="W32" s="28"/>
      <c r="X32" s="24"/>
    </row>
    <row r="33" spans="2:24">
      <c r="B33" s="24"/>
      <c r="C33" s="47"/>
      <c r="D33" s="26"/>
      <c r="E33" s="27"/>
      <c r="F33" s="25"/>
      <c r="G33" s="25"/>
      <c r="H33" s="25"/>
      <c r="I33" s="58"/>
      <c r="J33" s="25"/>
      <c r="K33" s="25"/>
      <c r="L33" s="25"/>
      <c r="M33" s="25"/>
      <c r="N33" s="25"/>
      <c r="O33" s="25"/>
      <c r="P33" s="25"/>
      <c r="Q33" s="25"/>
      <c r="R33" s="25"/>
      <c r="S33" s="151"/>
      <c r="T33" s="151"/>
      <c r="U33" s="151"/>
      <c r="V33" s="73"/>
      <c r="W33" s="28"/>
      <c r="X33" s="24"/>
    </row>
    <row r="34" spans="2:24">
      <c r="B34" s="24"/>
      <c r="C34" s="47"/>
      <c r="D34" s="26"/>
      <c r="E34" s="27"/>
      <c r="F34" s="25"/>
      <c r="G34" s="25"/>
      <c r="H34" s="25"/>
      <c r="I34" s="58"/>
      <c r="J34" s="25"/>
      <c r="K34" s="25"/>
      <c r="L34" s="25"/>
      <c r="M34" s="25"/>
      <c r="N34" s="25"/>
      <c r="O34" s="25"/>
      <c r="P34" s="25"/>
      <c r="Q34" s="25"/>
      <c r="R34" s="25"/>
      <c r="S34" s="151"/>
      <c r="T34" s="151"/>
      <c r="U34" s="151"/>
      <c r="V34" s="73"/>
      <c r="W34" s="28"/>
      <c r="X34" s="24"/>
    </row>
    <row r="35" spans="2:24">
      <c r="B35" s="24"/>
      <c r="C35" s="47"/>
      <c r="D35" s="26"/>
      <c r="E35" s="27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151"/>
      <c r="T35" s="151"/>
      <c r="U35" s="151"/>
      <c r="V35" s="73"/>
      <c r="W35" s="28"/>
      <c r="X35" s="24"/>
    </row>
    <row r="36" spans="2:24">
      <c r="B36" s="24"/>
      <c r="C36" s="47"/>
      <c r="D36" s="26"/>
      <c r="E36" s="27"/>
      <c r="F36" s="25"/>
      <c r="G36" s="25"/>
      <c r="H36" s="25"/>
      <c r="I36" s="58"/>
      <c r="J36" s="25"/>
      <c r="K36" s="25"/>
      <c r="L36" s="25"/>
      <c r="M36" s="25"/>
      <c r="N36" s="25"/>
      <c r="O36" s="25"/>
      <c r="P36" s="25"/>
      <c r="Q36" s="25"/>
      <c r="R36" s="25"/>
      <c r="S36" s="151"/>
      <c r="T36" s="151"/>
      <c r="U36" s="151"/>
      <c r="V36" s="73"/>
      <c r="W36" s="28"/>
      <c r="X36" s="24"/>
    </row>
    <row r="37" spans="2:24">
      <c r="B37" s="24"/>
      <c r="C37" s="47"/>
      <c r="D37" s="26"/>
      <c r="E37" s="27"/>
      <c r="F37" s="25"/>
      <c r="G37" s="25"/>
      <c r="H37" s="25"/>
      <c r="I37" s="58"/>
      <c r="J37" s="25"/>
      <c r="K37" s="25"/>
      <c r="L37" s="25"/>
      <c r="M37" s="25"/>
      <c r="N37" s="25"/>
      <c r="O37" s="25"/>
      <c r="P37" s="25"/>
      <c r="Q37" s="25"/>
      <c r="R37" s="25"/>
      <c r="S37" s="151"/>
      <c r="T37" s="151"/>
      <c r="U37" s="151"/>
      <c r="V37" s="73"/>
      <c r="W37" s="28"/>
      <c r="X37" s="24"/>
    </row>
    <row r="38" spans="2:24">
      <c r="B38" s="24"/>
      <c r="C38" s="47"/>
      <c r="D38" s="26"/>
      <c r="E38" s="27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151"/>
      <c r="T38" s="151"/>
      <c r="U38" s="151"/>
      <c r="V38" s="73"/>
      <c r="W38" s="28"/>
      <c r="X38" s="24"/>
    </row>
    <row r="39" spans="2:24">
      <c r="B39" s="24"/>
      <c r="C39" s="47"/>
      <c r="D39" s="26"/>
      <c r="E39" s="27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151"/>
      <c r="T39" s="151"/>
      <c r="U39" s="151"/>
      <c r="V39" s="73"/>
      <c r="W39" s="28"/>
      <c r="X39" s="24"/>
    </row>
    <row r="40" spans="2:24">
      <c r="B40" s="24"/>
      <c r="C40" s="47"/>
      <c r="D40" s="26"/>
      <c r="E40" s="27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151"/>
      <c r="T40" s="151"/>
      <c r="U40" s="151"/>
      <c r="V40" s="73"/>
      <c r="W40" s="28"/>
      <c r="X40" s="24"/>
    </row>
    <row r="41" spans="2:24">
      <c r="B41" s="24"/>
      <c r="C41" s="47"/>
      <c r="D41" s="26"/>
      <c r="E41" s="27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151"/>
      <c r="T41" s="151"/>
      <c r="U41" s="151"/>
      <c r="V41" s="73"/>
      <c r="W41" s="28"/>
      <c r="X41" s="24"/>
    </row>
    <row r="42" spans="2:24">
      <c r="B42" s="24"/>
      <c r="C42" s="47"/>
      <c r="D42" s="26"/>
      <c r="E42" s="27"/>
      <c r="F42" s="25"/>
      <c r="G42" s="25"/>
      <c r="H42" s="25"/>
      <c r="I42" s="58"/>
      <c r="J42" s="25"/>
      <c r="K42" s="25"/>
      <c r="L42" s="25"/>
      <c r="M42" s="25"/>
      <c r="N42" s="25"/>
      <c r="O42" s="25"/>
      <c r="P42" s="25"/>
      <c r="Q42" s="25"/>
      <c r="R42" s="25"/>
      <c r="S42" s="151"/>
      <c r="T42" s="151"/>
      <c r="U42" s="151"/>
      <c r="V42" s="73"/>
      <c r="W42" s="28"/>
      <c r="X42" s="24"/>
    </row>
    <row r="43" spans="2:24">
      <c r="B43" s="24"/>
      <c r="C43" s="47"/>
      <c r="D43" s="26"/>
      <c r="E43" s="27"/>
      <c r="F43" s="25"/>
      <c r="G43" s="25"/>
      <c r="H43" s="25"/>
      <c r="I43" s="58"/>
      <c r="J43" s="25"/>
      <c r="K43" s="25"/>
      <c r="L43" s="25"/>
      <c r="M43" s="25"/>
      <c r="N43" s="25"/>
      <c r="O43" s="25"/>
      <c r="P43" s="25"/>
      <c r="Q43" s="25"/>
      <c r="R43" s="25"/>
      <c r="S43" s="151"/>
      <c r="T43" s="151"/>
      <c r="U43" s="151"/>
      <c r="V43" s="73"/>
      <c r="W43" s="28"/>
      <c r="X43" s="24"/>
    </row>
    <row r="44" spans="2:24">
      <c r="B44" s="24"/>
      <c r="C44" s="47"/>
      <c r="D44" s="26"/>
      <c r="E44" s="27"/>
      <c r="F44" s="25"/>
      <c r="G44" s="25"/>
      <c r="H44" s="25"/>
      <c r="I44" s="58"/>
      <c r="J44" s="25"/>
      <c r="K44" s="25"/>
      <c r="L44" s="25"/>
      <c r="M44" s="25"/>
      <c r="N44" s="25"/>
      <c r="O44" s="25"/>
      <c r="P44" s="25"/>
      <c r="Q44" s="25"/>
      <c r="R44" s="25"/>
      <c r="S44" s="151"/>
      <c r="T44" s="151"/>
      <c r="U44" s="151"/>
      <c r="V44" s="73"/>
      <c r="W44" s="28"/>
      <c r="X44" s="24"/>
    </row>
    <row r="45" spans="2:24">
      <c r="B45" s="24"/>
      <c r="C45" s="47"/>
      <c r="D45" s="26"/>
      <c r="E45" s="27"/>
      <c r="F45" s="25"/>
      <c r="G45" s="25"/>
      <c r="H45" s="25"/>
      <c r="I45" s="58"/>
      <c r="J45" s="25"/>
      <c r="K45" s="25"/>
      <c r="L45" s="25"/>
      <c r="M45" s="25"/>
      <c r="N45" s="25"/>
      <c r="O45" s="25"/>
      <c r="P45" s="25"/>
      <c r="Q45" s="25"/>
      <c r="R45" s="25"/>
      <c r="S45" s="151"/>
      <c r="T45" s="151"/>
      <c r="U45" s="151"/>
      <c r="V45" s="73"/>
      <c r="W45" s="28"/>
      <c r="X45" s="24"/>
    </row>
    <row r="46" spans="2:24">
      <c r="B46" s="24"/>
      <c r="C46" s="47"/>
      <c r="D46" s="26"/>
      <c r="E46" s="27"/>
      <c r="F46" s="25"/>
      <c r="G46" s="25"/>
      <c r="H46" s="25"/>
      <c r="I46" s="58"/>
      <c r="J46" s="25"/>
      <c r="K46" s="25"/>
      <c r="L46" s="25"/>
      <c r="M46" s="25"/>
      <c r="N46" s="25"/>
      <c r="O46" s="25"/>
      <c r="P46" s="25"/>
      <c r="Q46" s="25"/>
      <c r="R46" s="25"/>
      <c r="S46" s="151"/>
      <c r="T46" s="151"/>
      <c r="U46" s="151"/>
      <c r="V46" s="73"/>
      <c r="W46" s="28"/>
      <c r="X46" s="24"/>
    </row>
    <row r="47" spans="2:24">
      <c r="B47" s="24"/>
      <c r="C47" s="47"/>
      <c r="D47" s="26"/>
      <c r="E47" s="27"/>
      <c r="F47" s="25"/>
      <c r="G47" s="25"/>
      <c r="H47" s="25"/>
      <c r="I47" s="58"/>
      <c r="J47" s="25"/>
      <c r="K47" s="25"/>
      <c r="L47" s="25"/>
      <c r="M47" s="25"/>
      <c r="N47" s="25"/>
      <c r="O47" s="25"/>
      <c r="P47" s="25"/>
      <c r="Q47" s="25"/>
      <c r="R47" s="25"/>
      <c r="S47" s="151"/>
      <c r="T47" s="151"/>
      <c r="U47" s="151"/>
      <c r="V47" s="73"/>
      <c r="W47" s="28"/>
      <c r="X47" s="24"/>
    </row>
    <row r="48" spans="2:24">
      <c r="B48" s="24"/>
      <c r="C48" s="47"/>
      <c r="D48" s="26"/>
      <c r="E48" s="27"/>
      <c r="F48" s="25"/>
      <c r="G48" s="25"/>
      <c r="H48" s="25"/>
      <c r="I48" s="58"/>
      <c r="J48" s="25"/>
      <c r="K48" s="25"/>
      <c r="L48" s="25"/>
      <c r="M48" s="25"/>
      <c r="N48" s="25"/>
      <c r="O48" s="25"/>
      <c r="P48" s="25"/>
      <c r="Q48" s="25"/>
      <c r="R48" s="25"/>
      <c r="S48" s="151"/>
      <c r="T48" s="151"/>
      <c r="U48" s="151"/>
      <c r="V48" s="73"/>
      <c r="W48" s="28"/>
      <c r="X48" s="24"/>
    </row>
    <row r="49" spans="2:24">
      <c r="B49" s="24"/>
      <c r="C49" s="47"/>
      <c r="D49" s="26"/>
      <c r="E49" s="27"/>
      <c r="F49" s="25"/>
      <c r="G49" s="25"/>
      <c r="H49" s="25"/>
      <c r="I49" s="58"/>
      <c r="J49" s="25"/>
      <c r="K49" s="25"/>
      <c r="L49" s="25"/>
      <c r="M49" s="25"/>
      <c r="N49" s="25"/>
      <c r="O49" s="25"/>
      <c r="P49" s="25"/>
      <c r="Q49" s="25"/>
      <c r="R49" s="25"/>
      <c r="S49" s="151"/>
      <c r="T49" s="151"/>
      <c r="U49" s="151"/>
      <c r="V49" s="73"/>
      <c r="W49" s="28"/>
      <c r="X49" s="24"/>
    </row>
    <row r="50" spans="2:24">
      <c r="B50" s="24"/>
      <c r="C50" s="47"/>
      <c r="D50" s="26"/>
      <c r="E50" s="27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151"/>
      <c r="T50" s="151"/>
      <c r="U50" s="151"/>
      <c r="V50" s="73"/>
      <c r="W50" s="28"/>
      <c r="X50" s="24"/>
    </row>
    <row r="51" spans="2:24">
      <c r="B51" s="24"/>
      <c r="C51" s="47"/>
      <c r="D51" s="26"/>
      <c r="E51" s="27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151"/>
      <c r="T51" s="151"/>
      <c r="U51" s="151"/>
      <c r="V51" s="73"/>
      <c r="W51" s="28"/>
      <c r="X51" s="24"/>
    </row>
    <row r="52" spans="2:24">
      <c r="B52" s="24"/>
      <c r="C52" s="47"/>
      <c r="D52" s="26"/>
      <c r="E52" s="27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151"/>
      <c r="T52" s="151"/>
      <c r="U52" s="151"/>
      <c r="V52" s="73"/>
      <c r="W52" s="28"/>
      <c r="X52" s="24"/>
    </row>
    <row r="53" spans="2:24">
      <c r="B53" s="24"/>
      <c r="C53" s="47"/>
      <c r="D53" s="26"/>
      <c r="E53" s="27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151"/>
      <c r="T53" s="151"/>
      <c r="U53" s="151"/>
      <c r="V53" s="73"/>
      <c r="W53" s="28"/>
      <c r="X53" s="24"/>
    </row>
    <row r="54" spans="2:24">
      <c r="B54" s="24"/>
      <c r="C54" s="47"/>
      <c r="D54" s="26"/>
      <c r="E54" s="27"/>
      <c r="F54" s="25"/>
      <c r="G54" s="25"/>
      <c r="H54" s="25"/>
      <c r="I54" s="58"/>
      <c r="J54" s="25"/>
      <c r="K54" s="25"/>
      <c r="L54" s="25"/>
      <c r="M54" s="25"/>
      <c r="N54" s="25"/>
      <c r="O54" s="25"/>
      <c r="P54" s="25"/>
      <c r="Q54" s="25"/>
      <c r="R54" s="25"/>
      <c r="S54" s="151"/>
      <c r="T54" s="151"/>
      <c r="U54" s="151"/>
      <c r="V54" s="73"/>
      <c r="W54" s="28"/>
      <c r="X54" s="24"/>
    </row>
    <row r="55" spans="2:24">
      <c r="B55" s="24"/>
      <c r="C55" s="47"/>
      <c r="D55" s="26"/>
      <c r="E55" s="27"/>
      <c r="F55" s="25"/>
      <c r="G55" s="25"/>
      <c r="H55" s="25"/>
      <c r="I55" s="58"/>
      <c r="J55" s="25"/>
      <c r="K55" s="25"/>
      <c r="L55" s="25"/>
      <c r="M55" s="25"/>
      <c r="N55" s="25"/>
      <c r="O55" s="25"/>
      <c r="P55" s="25"/>
      <c r="Q55" s="25"/>
      <c r="R55" s="25"/>
      <c r="S55" s="151"/>
      <c r="T55" s="151"/>
      <c r="U55" s="151"/>
      <c r="V55" s="73"/>
      <c r="W55" s="28"/>
      <c r="X55" s="24"/>
    </row>
    <row r="56" spans="2:24">
      <c r="B56" s="24"/>
      <c r="C56" s="47"/>
      <c r="D56" s="26"/>
      <c r="E56" s="27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151"/>
      <c r="T56" s="151"/>
      <c r="U56" s="151"/>
      <c r="V56" s="73"/>
      <c r="W56" s="28"/>
      <c r="X56" s="24"/>
    </row>
    <row r="57" spans="2:24">
      <c r="B57" s="24"/>
      <c r="C57" s="47"/>
      <c r="D57" s="26"/>
      <c r="E57" s="27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151"/>
      <c r="T57" s="151"/>
      <c r="U57" s="151"/>
      <c r="V57" s="73"/>
      <c r="W57" s="28"/>
      <c r="X57" s="24"/>
    </row>
    <row r="58" spans="2:24">
      <c r="B58" s="24"/>
      <c r="C58" s="47"/>
      <c r="D58" s="26"/>
      <c r="E58" s="27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151"/>
      <c r="T58" s="151"/>
      <c r="U58" s="151"/>
      <c r="V58" s="73"/>
      <c r="W58" s="28"/>
      <c r="X58" s="24"/>
    </row>
    <row r="59" spans="2:24">
      <c r="B59" s="24"/>
      <c r="C59" s="47"/>
      <c r="D59" s="26"/>
      <c r="E59" s="27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151"/>
      <c r="T59" s="151"/>
      <c r="U59" s="151"/>
      <c r="V59" s="73"/>
      <c r="W59" s="28"/>
      <c r="X59" s="24"/>
    </row>
    <row r="60" spans="2:24">
      <c r="B60" s="24"/>
      <c r="C60" s="47"/>
      <c r="D60" s="26"/>
      <c r="E60" s="27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151"/>
      <c r="T60" s="151"/>
      <c r="U60" s="151"/>
      <c r="V60" s="73"/>
      <c r="W60" s="28"/>
      <c r="X60" s="24"/>
    </row>
    <row r="61" spans="2:24">
      <c r="B61" s="24"/>
      <c r="C61" s="47"/>
      <c r="D61" s="26"/>
      <c r="E61" s="27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151"/>
      <c r="T61" s="151"/>
      <c r="U61" s="151"/>
      <c r="V61" s="73"/>
      <c r="W61" s="28"/>
      <c r="X61" s="24"/>
    </row>
    <row r="62" spans="2:24">
      <c r="B62" s="24"/>
      <c r="C62" s="47"/>
      <c r="D62" s="26"/>
      <c r="E62" s="27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151"/>
      <c r="T62" s="151"/>
      <c r="U62" s="151"/>
      <c r="V62" s="73"/>
      <c r="W62" s="28"/>
      <c r="X62" s="24"/>
    </row>
    <row r="63" spans="2:24">
      <c r="B63" s="24"/>
      <c r="C63" s="47"/>
      <c r="D63" s="26"/>
      <c r="E63" s="27"/>
      <c r="F63" s="25"/>
      <c r="G63" s="25"/>
      <c r="H63" s="25"/>
      <c r="I63" s="58"/>
      <c r="J63" s="25"/>
      <c r="K63" s="25"/>
      <c r="L63" s="25"/>
      <c r="M63" s="25"/>
      <c r="N63" s="25"/>
      <c r="O63" s="25"/>
      <c r="P63" s="25"/>
      <c r="Q63" s="25"/>
      <c r="R63" s="25"/>
      <c r="S63" s="151"/>
      <c r="T63" s="151"/>
      <c r="U63" s="151"/>
      <c r="V63" s="73"/>
      <c r="W63" s="28"/>
      <c r="X63" s="24"/>
    </row>
    <row r="64" spans="2:24">
      <c r="B64" s="24"/>
      <c r="C64" s="47"/>
      <c r="D64" s="26"/>
      <c r="E64" s="27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151"/>
      <c r="T64" s="151"/>
      <c r="U64" s="151"/>
      <c r="V64" s="73"/>
      <c r="W64" s="28"/>
      <c r="X64" s="24"/>
    </row>
    <row r="65" spans="2:24">
      <c r="B65" s="24"/>
      <c r="C65" s="47"/>
      <c r="D65" s="26"/>
      <c r="E65" s="27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151"/>
      <c r="T65" s="151"/>
      <c r="U65" s="151"/>
      <c r="V65" s="73"/>
      <c r="W65" s="28"/>
      <c r="X65" s="24"/>
    </row>
    <row r="66" spans="2:24">
      <c r="B66" s="24"/>
      <c r="C66" s="47"/>
      <c r="D66" s="26"/>
      <c r="E66" s="27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151"/>
      <c r="T66" s="151"/>
      <c r="U66" s="151"/>
      <c r="V66" s="73"/>
      <c r="W66" s="28"/>
      <c r="X66" s="24"/>
    </row>
    <row r="67" spans="2:24">
      <c r="B67" s="24"/>
      <c r="C67" s="47"/>
      <c r="D67" s="26"/>
      <c r="E67" s="27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151"/>
      <c r="T67" s="151"/>
      <c r="U67" s="151"/>
      <c r="V67" s="73"/>
      <c r="W67" s="28"/>
      <c r="X67" s="24"/>
    </row>
    <row r="68" spans="2:24">
      <c r="B68" s="24"/>
      <c r="C68" s="47"/>
      <c r="D68" s="26"/>
      <c r="E68" s="27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151"/>
      <c r="T68" s="151"/>
      <c r="U68" s="151"/>
      <c r="V68" s="73"/>
      <c r="W68" s="28"/>
      <c r="X68" s="24"/>
    </row>
    <row r="69" spans="2:24">
      <c r="B69" s="24"/>
      <c r="C69" s="47"/>
      <c r="D69" s="26"/>
      <c r="E69" s="27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151"/>
      <c r="T69" s="151"/>
      <c r="U69" s="151"/>
      <c r="V69" s="73"/>
      <c r="W69" s="28"/>
      <c r="X69" s="24"/>
    </row>
    <row r="70" spans="2:24">
      <c r="B70" s="24"/>
      <c r="C70" s="47"/>
      <c r="D70" s="26"/>
      <c r="E70" s="27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151"/>
      <c r="T70" s="151"/>
      <c r="U70" s="151"/>
      <c r="V70" s="73"/>
      <c r="W70" s="28"/>
      <c r="X70" s="24"/>
    </row>
    <row r="71" spans="2:24">
      <c r="B71" s="24"/>
      <c r="C71" s="47"/>
      <c r="D71" s="26"/>
      <c r="E71" s="27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151"/>
      <c r="T71" s="151"/>
      <c r="U71" s="151"/>
      <c r="V71" s="73"/>
      <c r="W71" s="28"/>
      <c r="X71" s="24"/>
    </row>
    <row r="72" spans="2:24">
      <c r="B72" s="24"/>
      <c r="C72" s="47"/>
      <c r="D72" s="26"/>
      <c r="E72" s="27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151"/>
      <c r="T72" s="151"/>
      <c r="U72" s="151"/>
      <c r="V72" s="73"/>
      <c r="W72" s="28"/>
      <c r="X72" s="24"/>
    </row>
    <row r="73" spans="2:24">
      <c r="B73" s="24"/>
      <c r="C73" s="47"/>
      <c r="D73" s="26"/>
      <c r="E73" s="27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151"/>
      <c r="T73" s="151"/>
      <c r="U73" s="151"/>
      <c r="V73" s="73"/>
      <c r="W73" s="28"/>
      <c r="X73" s="24"/>
    </row>
    <row r="74" spans="2:24">
      <c r="B74" s="24"/>
      <c r="C74" s="47"/>
      <c r="D74" s="26"/>
      <c r="E74" s="27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151"/>
      <c r="T74" s="151"/>
      <c r="U74" s="151"/>
      <c r="V74" s="73"/>
      <c r="W74" s="28"/>
      <c r="X74" s="24"/>
    </row>
    <row r="75" spans="2:24">
      <c r="B75" s="24"/>
      <c r="C75" s="47"/>
      <c r="D75" s="26"/>
      <c r="E75" s="27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151"/>
      <c r="T75" s="151"/>
      <c r="U75" s="151"/>
      <c r="V75" s="73"/>
      <c r="W75" s="28"/>
      <c r="X75" s="24"/>
    </row>
    <row r="76" spans="2:24">
      <c r="B76" s="24"/>
      <c r="C76" s="47"/>
      <c r="D76" s="26"/>
      <c r="E76" s="27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151"/>
      <c r="T76" s="151"/>
      <c r="U76" s="151"/>
      <c r="V76" s="73"/>
      <c r="W76" s="28"/>
      <c r="X76" s="24"/>
    </row>
    <row r="77" spans="2:24">
      <c r="B77" s="24"/>
      <c r="C77" s="47"/>
      <c r="D77" s="26"/>
      <c r="E77" s="27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151"/>
      <c r="T77" s="151"/>
      <c r="U77" s="151"/>
      <c r="V77" s="73"/>
      <c r="W77" s="28"/>
      <c r="X77" s="24"/>
    </row>
    <row r="78" spans="2:24">
      <c r="B78" s="24"/>
      <c r="C78" s="47"/>
      <c r="D78" s="26"/>
      <c r="E78" s="27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151"/>
      <c r="T78" s="151"/>
      <c r="U78" s="151"/>
      <c r="V78" s="73"/>
      <c r="W78" s="28"/>
      <c r="X78" s="24"/>
    </row>
    <row r="79" spans="2:24">
      <c r="B79" s="24"/>
      <c r="C79" s="47"/>
      <c r="D79" s="26"/>
      <c r="E79" s="27"/>
      <c r="F79" s="25"/>
      <c r="G79" s="25"/>
      <c r="H79" s="25"/>
      <c r="I79" s="58"/>
      <c r="J79" s="25"/>
      <c r="K79" s="25"/>
      <c r="L79" s="25"/>
      <c r="M79" s="25"/>
      <c r="N79" s="25"/>
      <c r="O79" s="25"/>
      <c r="P79" s="25"/>
      <c r="Q79" s="25"/>
      <c r="R79" s="25"/>
      <c r="S79" s="151"/>
      <c r="T79" s="151"/>
      <c r="U79" s="151"/>
      <c r="V79" s="73"/>
      <c r="W79" s="28"/>
      <c r="X79" s="24"/>
    </row>
    <row r="80" spans="2:24">
      <c r="B80" s="24"/>
      <c r="C80" s="47"/>
      <c r="D80" s="26"/>
      <c r="E80" s="27"/>
      <c r="F80" s="25"/>
      <c r="G80" s="25"/>
      <c r="H80" s="25"/>
      <c r="I80" s="58"/>
      <c r="J80" s="25"/>
      <c r="K80" s="25"/>
      <c r="L80" s="25"/>
      <c r="M80" s="25"/>
      <c r="N80" s="25"/>
      <c r="O80" s="25"/>
      <c r="P80" s="25"/>
      <c r="Q80" s="25"/>
      <c r="R80" s="25"/>
      <c r="S80" s="151"/>
      <c r="T80" s="151"/>
      <c r="U80" s="151"/>
      <c r="V80" s="73"/>
      <c r="W80" s="28"/>
      <c r="X80" s="24"/>
    </row>
    <row r="81" spans="2:24">
      <c r="B81" s="24"/>
      <c r="C81" s="47"/>
      <c r="D81" s="26"/>
      <c r="E81" s="27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151"/>
      <c r="T81" s="151"/>
      <c r="U81" s="151"/>
      <c r="V81" s="73"/>
      <c r="W81" s="28"/>
      <c r="X81" s="24"/>
    </row>
    <row r="82" spans="2:24">
      <c r="B82" s="24"/>
      <c r="C82" s="47"/>
      <c r="D82" s="26"/>
      <c r="E82" s="27"/>
      <c r="F82" s="25"/>
      <c r="G82" s="25"/>
      <c r="H82" s="25"/>
      <c r="I82" s="58"/>
      <c r="J82" s="25"/>
      <c r="K82" s="25"/>
      <c r="L82" s="25"/>
      <c r="M82" s="25"/>
      <c r="N82" s="25"/>
      <c r="O82" s="25"/>
      <c r="P82" s="25"/>
      <c r="Q82" s="25"/>
      <c r="R82" s="25"/>
      <c r="S82" s="151"/>
      <c r="T82" s="151"/>
      <c r="U82" s="151"/>
      <c r="V82" s="73"/>
      <c r="W82" s="28"/>
      <c r="X82" s="24"/>
    </row>
    <row r="83" spans="2:24">
      <c r="B83" s="24"/>
      <c r="C83" s="47"/>
      <c r="D83" s="26"/>
      <c r="E83" s="27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151"/>
      <c r="T83" s="151"/>
      <c r="U83" s="151"/>
      <c r="V83" s="73"/>
      <c r="W83" s="28"/>
      <c r="X83" s="24"/>
    </row>
    <row r="84" spans="2:24">
      <c r="B84" s="24"/>
      <c r="C84" s="47"/>
      <c r="D84" s="26"/>
      <c r="E84" s="27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151"/>
      <c r="T84" s="151"/>
      <c r="U84" s="151"/>
      <c r="V84" s="73"/>
      <c r="W84" s="28"/>
      <c r="X84" s="24"/>
    </row>
    <row r="85" spans="2:24">
      <c r="B85" s="24"/>
      <c r="C85" s="47"/>
      <c r="D85" s="26"/>
      <c r="E85" s="27"/>
      <c r="F85" s="25"/>
      <c r="G85" s="25"/>
      <c r="H85" s="25"/>
      <c r="I85" s="58"/>
      <c r="J85" s="25"/>
      <c r="K85" s="25"/>
      <c r="L85" s="25"/>
      <c r="M85" s="25"/>
      <c r="N85" s="25"/>
      <c r="O85" s="25"/>
      <c r="P85" s="25"/>
      <c r="Q85" s="25"/>
      <c r="R85" s="25"/>
      <c r="S85" s="151"/>
      <c r="T85" s="151"/>
      <c r="U85" s="151"/>
      <c r="V85" s="73"/>
      <c r="W85" s="28"/>
      <c r="X85" s="24"/>
    </row>
    <row r="86" spans="2:24">
      <c r="B86" s="24"/>
      <c r="C86" s="47"/>
      <c r="D86" s="26"/>
      <c r="E86" s="27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151"/>
      <c r="T86" s="151"/>
      <c r="U86" s="151"/>
      <c r="V86" s="73"/>
      <c r="W86" s="28"/>
      <c r="X86" s="24"/>
    </row>
    <row r="87" spans="2:24">
      <c r="B87" s="24"/>
      <c r="C87" s="47"/>
      <c r="D87" s="26"/>
      <c r="E87" s="27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151"/>
      <c r="T87" s="151"/>
      <c r="U87" s="151"/>
      <c r="V87" s="73"/>
      <c r="W87" s="28"/>
      <c r="X87" s="24"/>
    </row>
    <row r="88" spans="2:24">
      <c r="B88" s="24"/>
      <c r="C88" s="47"/>
      <c r="D88" s="26"/>
      <c r="E88" s="27"/>
      <c r="F88" s="25"/>
      <c r="G88" s="25"/>
      <c r="H88" s="25"/>
      <c r="I88" s="58"/>
      <c r="J88" s="25"/>
      <c r="K88" s="25"/>
      <c r="L88" s="25"/>
      <c r="M88" s="25"/>
      <c r="N88" s="25"/>
      <c r="O88" s="25"/>
      <c r="P88" s="25"/>
      <c r="Q88" s="25"/>
      <c r="R88" s="25"/>
      <c r="S88" s="151"/>
      <c r="T88" s="151"/>
      <c r="U88" s="151"/>
      <c r="V88" s="73"/>
      <c r="W88" s="28"/>
      <c r="X88" s="24"/>
    </row>
    <row r="89" spans="2:24">
      <c r="B89" s="24"/>
      <c r="C89" s="47"/>
      <c r="D89" s="26"/>
      <c r="E89" s="27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151"/>
      <c r="T89" s="151"/>
      <c r="U89" s="151"/>
      <c r="V89" s="73"/>
      <c r="W89" s="28"/>
      <c r="X89" s="24"/>
    </row>
    <row r="90" spans="2:24">
      <c r="B90" s="24"/>
      <c r="C90" s="47"/>
      <c r="D90" s="26"/>
      <c r="E90" s="27"/>
      <c r="F90" s="25"/>
      <c r="G90" s="25"/>
      <c r="H90" s="25"/>
      <c r="I90" s="58"/>
      <c r="J90" s="25"/>
      <c r="K90" s="25"/>
      <c r="L90" s="25"/>
      <c r="M90" s="25"/>
      <c r="N90" s="25"/>
      <c r="O90" s="25"/>
      <c r="P90" s="25"/>
      <c r="Q90" s="25"/>
      <c r="R90" s="25"/>
      <c r="S90" s="151"/>
      <c r="T90" s="151"/>
      <c r="U90" s="151"/>
      <c r="V90" s="73"/>
      <c r="W90" s="28"/>
      <c r="X90" s="24"/>
    </row>
    <row r="91" spans="2:24">
      <c r="B91" s="24"/>
      <c r="C91" s="47"/>
      <c r="D91" s="26"/>
      <c r="E91" s="27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151"/>
      <c r="T91" s="151"/>
      <c r="U91" s="151"/>
      <c r="V91" s="73"/>
      <c r="W91" s="28"/>
      <c r="X91" s="24"/>
    </row>
    <row r="92" spans="2:24">
      <c r="B92" s="24"/>
      <c r="C92" s="47"/>
      <c r="D92" s="26"/>
      <c r="E92" s="27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151"/>
      <c r="T92" s="151"/>
      <c r="U92" s="151"/>
      <c r="V92" s="73"/>
      <c r="W92" s="28"/>
      <c r="X92" s="24"/>
    </row>
    <row r="93" spans="2:24">
      <c r="B93" s="24"/>
      <c r="C93" s="47"/>
      <c r="D93" s="26"/>
      <c r="E93" s="27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151"/>
      <c r="T93" s="151"/>
      <c r="U93" s="151"/>
      <c r="V93" s="73"/>
      <c r="W93" s="28"/>
      <c r="X93" s="24"/>
    </row>
    <row r="94" spans="2:24">
      <c r="B94" s="24"/>
      <c r="C94" s="47"/>
      <c r="D94" s="26"/>
      <c r="E94" s="27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151"/>
      <c r="T94" s="151"/>
      <c r="U94" s="151"/>
      <c r="V94" s="73"/>
      <c r="W94" s="28"/>
      <c r="X94" s="24"/>
    </row>
    <row r="95" spans="2:24">
      <c r="B95" s="24"/>
      <c r="C95" s="47"/>
      <c r="D95" s="26"/>
      <c r="E95" s="27"/>
      <c r="F95" s="25"/>
      <c r="G95" s="25"/>
      <c r="H95" s="25"/>
      <c r="I95" s="58"/>
      <c r="J95" s="25"/>
      <c r="K95" s="25"/>
      <c r="L95" s="25"/>
      <c r="M95" s="25"/>
      <c r="N95" s="25"/>
      <c r="O95" s="25"/>
      <c r="P95" s="25"/>
      <c r="Q95" s="25"/>
      <c r="R95" s="25"/>
      <c r="S95" s="151"/>
      <c r="T95" s="151"/>
      <c r="U95" s="151"/>
      <c r="V95" s="73"/>
      <c r="W95" s="28"/>
      <c r="X95" s="24"/>
    </row>
    <row r="96" spans="2:24">
      <c r="B96" s="24"/>
      <c r="C96" s="47"/>
      <c r="D96" s="26"/>
      <c r="E96" s="27"/>
      <c r="F96" s="25"/>
      <c r="G96" s="25"/>
      <c r="H96" s="25"/>
      <c r="I96" s="58"/>
      <c r="J96" s="25"/>
      <c r="K96" s="25"/>
      <c r="L96" s="25"/>
      <c r="M96" s="25"/>
      <c r="N96" s="25"/>
      <c r="O96" s="25"/>
      <c r="P96" s="25"/>
      <c r="Q96" s="25"/>
      <c r="R96" s="25"/>
      <c r="S96" s="151"/>
      <c r="T96" s="151"/>
      <c r="U96" s="151"/>
      <c r="V96" s="73"/>
      <c r="W96" s="28"/>
      <c r="X96" s="24"/>
    </row>
    <row r="97" spans="2:24">
      <c r="B97" s="24"/>
      <c r="C97" s="47"/>
      <c r="D97" s="26"/>
      <c r="E97" s="27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151"/>
      <c r="T97" s="151"/>
      <c r="U97" s="151"/>
      <c r="V97" s="73"/>
      <c r="W97" s="28"/>
      <c r="X97" s="24"/>
    </row>
    <row r="98" spans="2:24">
      <c r="B98" s="24"/>
      <c r="C98" s="47"/>
      <c r="D98" s="26"/>
      <c r="E98" s="27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151"/>
      <c r="T98" s="151"/>
      <c r="U98" s="151"/>
      <c r="V98" s="73"/>
      <c r="W98" s="28"/>
      <c r="X98" s="24"/>
    </row>
    <row r="99" spans="2:24">
      <c r="B99" s="24"/>
      <c r="C99" s="47"/>
      <c r="D99" s="26"/>
      <c r="E99" s="27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151"/>
      <c r="T99" s="151"/>
      <c r="U99" s="151"/>
      <c r="V99" s="73"/>
      <c r="W99" s="28"/>
      <c r="X99" s="24"/>
    </row>
    <row r="100" spans="2:24">
      <c r="B100" s="24"/>
      <c r="C100" s="47"/>
      <c r="D100" s="26"/>
      <c r="E100" s="27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151"/>
      <c r="T100" s="151"/>
      <c r="U100" s="151"/>
      <c r="V100" s="73"/>
      <c r="W100" s="28"/>
      <c r="X100" s="24"/>
    </row>
    <row r="101" spans="2:24">
      <c r="B101" s="24"/>
      <c r="C101" s="47"/>
      <c r="D101" s="26"/>
      <c r="E101" s="27"/>
      <c r="F101" s="25"/>
      <c r="G101" s="25"/>
      <c r="H101" s="25"/>
      <c r="I101" s="58"/>
      <c r="J101" s="25"/>
      <c r="K101" s="25"/>
      <c r="L101" s="25"/>
      <c r="M101" s="25"/>
      <c r="N101" s="25"/>
      <c r="O101" s="25"/>
      <c r="P101" s="25"/>
      <c r="Q101" s="25"/>
      <c r="R101" s="25"/>
      <c r="S101" s="151"/>
      <c r="T101" s="151"/>
      <c r="U101" s="151"/>
      <c r="V101" s="73"/>
      <c r="W101" s="28"/>
      <c r="X101" s="24"/>
    </row>
    <row r="102" spans="2:24">
      <c r="B102" s="24"/>
      <c r="C102" s="47"/>
      <c r="D102" s="26"/>
      <c r="E102" s="27"/>
      <c r="F102" s="25"/>
      <c r="G102" s="25"/>
      <c r="H102" s="25"/>
      <c r="I102" s="58"/>
      <c r="J102" s="25"/>
      <c r="K102" s="25"/>
      <c r="L102" s="25"/>
      <c r="M102" s="25"/>
      <c r="N102" s="25"/>
      <c r="O102" s="25"/>
      <c r="P102" s="25"/>
      <c r="Q102" s="25"/>
      <c r="R102" s="25"/>
      <c r="S102" s="151"/>
      <c r="T102" s="151"/>
      <c r="U102" s="151"/>
      <c r="V102" s="73"/>
      <c r="W102" s="28"/>
      <c r="X102" s="24"/>
    </row>
    <row r="103" spans="2:24">
      <c r="B103" s="24"/>
      <c r="C103" s="47"/>
      <c r="D103" s="26"/>
      <c r="E103" s="27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151"/>
      <c r="T103" s="151"/>
      <c r="U103" s="151"/>
      <c r="V103" s="73"/>
      <c r="W103" s="28"/>
      <c r="X103" s="24"/>
    </row>
    <row r="104" spans="2:24">
      <c r="B104" s="24"/>
      <c r="C104" s="47"/>
      <c r="D104" s="26"/>
      <c r="E104" s="27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151"/>
      <c r="T104" s="151"/>
      <c r="U104" s="151"/>
      <c r="V104" s="73"/>
      <c r="W104" s="28"/>
      <c r="X104" s="24"/>
    </row>
    <row r="105" spans="2:24">
      <c r="B105" s="24"/>
      <c r="C105" s="47"/>
      <c r="D105" s="26"/>
      <c r="E105" s="27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151"/>
      <c r="T105" s="151"/>
      <c r="U105" s="151"/>
      <c r="V105" s="73"/>
      <c r="W105" s="28"/>
      <c r="X105" s="24"/>
    </row>
    <row r="106" spans="2:24">
      <c r="B106" s="24"/>
      <c r="C106" s="47"/>
      <c r="D106" s="26"/>
      <c r="E106" s="27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151"/>
      <c r="T106" s="151"/>
      <c r="U106" s="151"/>
      <c r="V106" s="73"/>
      <c r="W106" s="28"/>
      <c r="X106" s="24"/>
    </row>
    <row r="107" spans="2:24">
      <c r="B107" s="24"/>
      <c r="C107" s="47"/>
      <c r="D107" s="26"/>
      <c r="E107" s="27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151"/>
      <c r="T107" s="151"/>
      <c r="U107" s="151"/>
      <c r="V107" s="73"/>
      <c r="W107" s="28"/>
      <c r="X107" s="24"/>
    </row>
    <row r="108" spans="2:24">
      <c r="B108" s="24"/>
      <c r="C108" s="47"/>
      <c r="D108" s="26"/>
      <c r="E108" s="27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151"/>
      <c r="T108" s="151"/>
      <c r="U108" s="151"/>
      <c r="V108" s="73"/>
      <c r="W108" s="28"/>
      <c r="X108" s="24"/>
    </row>
    <row r="109" spans="2:24">
      <c r="B109" s="24"/>
      <c r="C109" s="47"/>
      <c r="D109" s="26"/>
      <c r="E109" s="27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151"/>
      <c r="T109" s="151"/>
      <c r="U109" s="151"/>
      <c r="V109" s="73"/>
      <c r="W109" s="28"/>
      <c r="X109" s="24"/>
    </row>
    <row r="110" spans="2:24">
      <c r="B110" s="24"/>
      <c r="C110" s="47"/>
      <c r="D110" s="26"/>
      <c r="E110" s="27"/>
      <c r="F110" s="25"/>
      <c r="G110" s="25"/>
      <c r="H110" s="25"/>
      <c r="I110" s="58"/>
      <c r="J110" s="25"/>
      <c r="K110" s="25"/>
      <c r="L110" s="25"/>
      <c r="M110" s="25"/>
      <c r="N110" s="25"/>
      <c r="O110" s="25"/>
      <c r="P110" s="25"/>
      <c r="Q110" s="25"/>
      <c r="R110" s="25"/>
      <c r="S110" s="151"/>
      <c r="T110" s="151"/>
      <c r="U110" s="151"/>
      <c r="V110" s="73"/>
      <c r="W110" s="28"/>
      <c r="X110" s="24"/>
    </row>
    <row r="111" spans="2:24">
      <c r="B111" s="24"/>
      <c r="C111" s="47"/>
      <c r="D111" s="26"/>
      <c r="E111" s="27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151"/>
      <c r="T111" s="151"/>
      <c r="U111" s="151"/>
      <c r="V111" s="73"/>
      <c r="W111" s="28"/>
      <c r="X111" s="24"/>
    </row>
    <row r="112" spans="2:24">
      <c r="B112" s="24"/>
      <c r="C112" s="47"/>
      <c r="D112" s="26"/>
      <c r="E112" s="27"/>
      <c r="F112" s="25"/>
      <c r="G112" s="25"/>
      <c r="H112" s="25"/>
      <c r="I112" s="58"/>
      <c r="J112" s="25"/>
      <c r="K112" s="25"/>
      <c r="L112" s="25"/>
      <c r="M112" s="25"/>
      <c r="N112" s="25"/>
      <c r="O112" s="25"/>
      <c r="P112" s="25"/>
      <c r="Q112" s="25"/>
      <c r="R112" s="25"/>
      <c r="S112" s="151"/>
      <c r="T112" s="151"/>
      <c r="U112" s="151"/>
      <c r="V112" s="73"/>
      <c r="W112" s="28"/>
      <c r="X112" s="24"/>
    </row>
    <row r="113" spans="2:24">
      <c r="B113" s="24"/>
      <c r="C113" s="47"/>
      <c r="D113" s="26"/>
      <c r="E113" s="27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151"/>
      <c r="T113" s="151"/>
      <c r="U113" s="151"/>
      <c r="V113" s="73"/>
      <c r="W113" s="28"/>
      <c r="X113" s="24"/>
    </row>
    <row r="114" spans="2:24">
      <c r="B114" s="24"/>
      <c r="C114" s="47"/>
      <c r="D114" s="26"/>
      <c r="E114" s="27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151"/>
      <c r="T114" s="151"/>
      <c r="U114" s="151"/>
      <c r="V114" s="73"/>
      <c r="W114" s="28"/>
      <c r="X114" s="24"/>
    </row>
    <row r="115" spans="2:24">
      <c r="B115" s="24"/>
      <c r="C115" s="47"/>
      <c r="D115" s="26"/>
      <c r="E115" s="27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151"/>
      <c r="T115" s="151"/>
      <c r="U115" s="151"/>
      <c r="V115" s="73"/>
      <c r="W115" s="28"/>
      <c r="X115" s="24"/>
    </row>
    <row r="116" spans="2:24">
      <c r="B116" s="24"/>
      <c r="C116" s="47"/>
      <c r="D116" s="26"/>
      <c r="E116" s="27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151"/>
      <c r="T116" s="151"/>
      <c r="U116" s="151"/>
      <c r="V116" s="73"/>
      <c r="W116" s="28"/>
      <c r="X116" s="24"/>
    </row>
    <row r="117" spans="2:24">
      <c r="B117" s="24"/>
      <c r="C117" s="47"/>
      <c r="D117" s="26"/>
      <c r="E117" s="27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151"/>
      <c r="T117" s="151"/>
      <c r="U117" s="151"/>
      <c r="V117" s="73"/>
      <c r="W117" s="28"/>
      <c r="X117" s="24"/>
    </row>
    <row r="118" spans="2:24">
      <c r="B118" s="24"/>
      <c r="C118" s="47"/>
      <c r="D118" s="26"/>
      <c r="E118" s="27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151"/>
      <c r="T118" s="151"/>
      <c r="U118" s="151"/>
      <c r="V118" s="73"/>
      <c r="W118" s="28"/>
      <c r="X118" s="24"/>
    </row>
    <row r="119" spans="2:24">
      <c r="B119" s="24"/>
      <c r="C119" s="47"/>
      <c r="D119" s="26"/>
      <c r="E119" s="27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151"/>
      <c r="T119" s="151"/>
      <c r="U119" s="151"/>
      <c r="V119" s="73"/>
      <c r="W119" s="28"/>
      <c r="X119" s="24"/>
    </row>
    <row r="120" spans="2:24">
      <c r="B120" s="24"/>
      <c r="C120" s="47"/>
      <c r="D120" s="26"/>
      <c r="E120" s="27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151"/>
      <c r="T120" s="151"/>
      <c r="U120" s="151"/>
      <c r="V120" s="73"/>
      <c r="W120" s="28"/>
      <c r="X120" s="24"/>
    </row>
    <row r="121" spans="2:24">
      <c r="B121" s="24"/>
      <c r="C121" s="47"/>
      <c r="D121" s="26"/>
      <c r="E121" s="27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151"/>
      <c r="T121" s="151"/>
      <c r="U121" s="151"/>
      <c r="V121" s="73"/>
      <c r="W121" s="28"/>
      <c r="X121" s="24"/>
    </row>
    <row r="122" spans="2:24">
      <c r="B122" s="24"/>
      <c r="C122" s="47"/>
      <c r="D122" s="26"/>
      <c r="E122" s="27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151"/>
      <c r="T122" s="151"/>
      <c r="U122" s="151"/>
      <c r="V122" s="73"/>
      <c r="W122" s="28"/>
      <c r="X122" s="24"/>
    </row>
    <row r="123" spans="2:24">
      <c r="B123" s="24"/>
      <c r="C123" s="47"/>
      <c r="D123" s="26"/>
      <c r="E123" s="27"/>
      <c r="F123" s="25"/>
      <c r="G123" s="25"/>
      <c r="H123" s="25"/>
      <c r="I123" s="58"/>
      <c r="J123" s="25"/>
      <c r="K123" s="25"/>
      <c r="L123" s="25"/>
      <c r="M123" s="25"/>
      <c r="N123" s="25"/>
      <c r="O123" s="25"/>
      <c r="P123" s="25"/>
      <c r="Q123" s="25"/>
      <c r="R123" s="25"/>
      <c r="S123" s="151"/>
      <c r="T123" s="151"/>
      <c r="U123" s="151"/>
      <c r="V123" s="73"/>
      <c r="W123" s="28"/>
      <c r="X123" s="24"/>
    </row>
    <row r="124" spans="2:24">
      <c r="B124" s="24"/>
      <c r="C124" s="47"/>
      <c r="D124" s="26"/>
      <c r="E124" s="27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151"/>
      <c r="T124" s="151"/>
      <c r="U124" s="151"/>
      <c r="V124" s="73"/>
      <c r="W124" s="28"/>
      <c r="X124" s="24"/>
    </row>
    <row r="125" spans="2:24">
      <c r="B125" s="24"/>
      <c r="C125" s="47"/>
      <c r="D125" s="26"/>
      <c r="E125" s="27"/>
      <c r="F125" s="25"/>
      <c r="G125" s="25"/>
      <c r="H125" s="25"/>
      <c r="I125" s="58"/>
      <c r="J125" s="25"/>
      <c r="K125" s="25"/>
      <c r="L125" s="25"/>
      <c r="M125" s="25"/>
      <c r="N125" s="25"/>
      <c r="O125" s="25"/>
      <c r="P125" s="25"/>
      <c r="Q125" s="25"/>
      <c r="R125" s="25"/>
      <c r="S125" s="151"/>
      <c r="T125" s="151"/>
      <c r="U125" s="151"/>
      <c r="V125" s="73"/>
      <c r="W125" s="28"/>
      <c r="X125" s="24"/>
    </row>
    <row r="126" spans="2:24">
      <c r="B126" s="24"/>
      <c r="C126" s="47"/>
      <c r="D126" s="26"/>
      <c r="E126" s="27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151"/>
      <c r="T126" s="151"/>
      <c r="U126" s="151"/>
      <c r="V126" s="73"/>
      <c r="W126" s="28"/>
      <c r="X126" s="24"/>
    </row>
    <row r="127" spans="2:24">
      <c r="B127" s="24"/>
      <c r="C127" s="47"/>
      <c r="D127" s="26"/>
      <c r="E127" s="27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151"/>
      <c r="T127" s="151"/>
      <c r="U127" s="151"/>
      <c r="V127" s="73"/>
      <c r="W127" s="28"/>
      <c r="X127" s="24"/>
    </row>
    <row r="128" spans="2:24">
      <c r="B128" s="24"/>
      <c r="C128" s="47"/>
      <c r="D128" s="26"/>
      <c r="E128" s="27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151"/>
      <c r="T128" s="151"/>
      <c r="U128" s="151"/>
      <c r="V128" s="73"/>
      <c r="W128" s="28"/>
      <c r="X128" s="24"/>
    </row>
    <row r="129" spans="2:24">
      <c r="B129" s="24"/>
      <c r="C129" s="47"/>
      <c r="D129" s="26"/>
      <c r="E129" s="27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151"/>
      <c r="T129" s="151"/>
      <c r="U129" s="151"/>
      <c r="V129" s="73"/>
      <c r="W129" s="28"/>
      <c r="X129" s="24"/>
    </row>
    <row r="130" spans="2:24">
      <c r="B130" s="24"/>
      <c r="C130" s="47"/>
      <c r="D130" s="26"/>
      <c r="E130" s="27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151"/>
      <c r="T130" s="151"/>
      <c r="U130" s="151"/>
      <c r="V130" s="73"/>
      <c r="W130" s="28"/>
      <c r="X130" s="24"/>
    </row>
    <row r="131" spans="2:24">
      <c r="B131" s="24"/>
      <c r="C131" s="47"/>
      <c r="D131" s="26"/>
      <c r="E131" s="27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151"/>
      <c r="T131" s="151"/>
      <c r="U131" s="151"/>
      <c r="V131" s="73"/>
      <c r="W131" s="28"/>
      <c r="X131" s="24"/>
    </row>
    <row r="132" spans="2:24">
      <c r="B132" s="24"/>
      <c r="C132" s="47"/>
      <c r="D132" s="26"/>
      <c r="E132" s="27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151"/>
      <c r="T132" s="151"/>
      <c r="U132" s="151"/>
      <c r="V132" s="73"/>
      <c r="W132" s="28"/>
      <c r="X132" s="24"/>
    </row>
    <row r="133" spans="2:24">
      <c r="B133" s="24"/>
      <c r="C133" s="47"/>
      <c r="D133" s="26"/>
      <c r="E133" s="27"/>
      <c r="F133" s="25"/>
      <c r="G133" s="25"/>
      <c r="H133" s="25"/>
      <c r="I133" s="58"/>
      <c r="J133" s="25"/>
      <c r="K133" s="25"/>
      <c r="L133" s="25"/>
      <c r="M133" s="25"/>
      <c r="N133" s="25"/>
      <c r="O133" s="25"/>
      <c r="P133" s="25"/>
      <c r="Q133" s="25"/>
      <c r="R133" s="25"/>
      <c r="S133" s="151"/>
      <c r="T133" s="151"/>
      <c r="U133" s="151"/>
      <c r="V133" s="73"/>
      <c r="W133" s="28"/>
      <c r="X133" s="24"/>
    </row>
    <row r="134" spans="2:24">
      <c r="B134" s="24"/>
      <c r="C134" s="47"/>
      <c r="D134" s="26"/>
      <c r="E134" s="27"/>
      <c r="F134" s="25"/>
      <c r="G134" s="25"/>
      <c r="H134" s="25"/>
      <c r="I134" s="58"/>
      <c r="J134" s="25"/>
      <c r="K134" s="25"/>
      <c r="L134" s="25"/>
      <c r="M134" s="25"/>
      <c r="N134" s="25"/>
      <c r="O134" s="25"/>
      <c r="P134" s="25"/>
      <c r="Q134" s="25"/>
      <c r="R134" s="25"/>
      <c r="S134" s="151"/>
      <c r="T134" s="151"/>
      <c r="U134" s="151"/>
      <c r="V134" s="73"/>
      <c r="W134" s="28"/>
      <c r="X134" s="24"/>
    </row>
    <row r="135" spans="2:24">
      <c r="B135" s="24"/>
      <c r="C135" s="47"/>
      <c r="D135" s="26"/>
      <c r="E135" s="27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151"/>
      <c r="T135" s="151"/>
      <c r="U135" s="151"/>
      <c r="V135" s="73"/>
      <c r="W135" s="28"/>
      <c r="X135" s="24"/>
    </row>
    <row r="136" spans="2:24">
      <c r="B136" s="24"/>
      <c r="C136" s="47"/>
      <c r="D136" s="26"/>
      <c r="E136" s="27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151"/>
      <c r="T136" s="151"/>
      <c r="U136" s="151"/>
      <c r="V136" s="73"/>
      <c r="W136" s="28"/>
      <c r="X136" s="24"/>
    </row>
    <row r="137" spans="2:24">
      <c r="B137" s="24"/>
      <c r="C137" s="47"/>
      <c r="D137" s="26"/>
      <c r="E137" s="27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151"/>
      <c r="T137" s="151"/>
      <c r="U137" s="151"/>
      <c r="V137" s="73"/>
      <c r="W137" s="28"/>
      <c r="X137" s="24"/>
    </row>
    <row r="138" spans="2:24">
      <c r="B138" s="24"/>
      <c r="C138" s="47"/>
      <c r="D138" s="26"/>
      <c r="E138" s="27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151"/>
      <c r="T138" s="151"/>
      <c r="U138" s="151"/>
      <c r="V138" s="73"/>
      <c r="W138" s="28"/>
      <c r="X138" s="24"/>
    </row>
    <row r="139" spans="2:24">
      <c r="B139" s="24"/>
      <c r="C139" s="47"/>
      <c r="D139" s="26"/>
      <c r="E139" s="27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151"/>
      <c r="T139" s="151"/>
      <c r="U139" s="151"/>
      <c r="V139" s="73"/>
      <c r="W139" s="28"/>
      <c r="X139" s="24"/>
    </row>
    <row r="140" spans="2:24">
      <c r="B140" s="24"/>
      <c r="C140" s="47"/>
      <c r="D140" s="26"/>
      <c r="E140" s="27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151"/>
      <c r="T140" s="151"/>
      <c r="U140" s="151"/>
      <c r="V140" s="73"/>
      <c r="W140" s="28"/>
      <c r="X140" s="24"/>
    </row>
    <row r="141" spans="2:24">
      <c r="B141" s="24"/>
      <c r="C141" s="47"/>
      <c r="D141" s="26"/>
      <c r="E141" s="27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151"/>
      <c r="T141" s="151"/>
      <c r="U141" s="151"/>
      <c r="V141" s="73"/>
      <c r="W141" s="28"/>
      <c r="X141" s="24"/>
    </row>
    <row r="142" spans="2:24">
      <c r="B142" s="24"/>
      <c r="C142" s="47"/>
      <c r="D142" s="26"/>
      <c r="E142" s="27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151"/>
      <c r="T142" s="151"/>
      <c r="U142" s="151"/>
      <c r="V142" s="73"/>
      <c r="W142" s="28"/>
      <c r="X142" s="24"/>
    </row>
    <row r="143" spans="2:24">
      <c r="B143" s="24"/>
      <c r="C143" s="47"/>
      <c r="D143" s="26"/>
      <c r="E143" s="27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151"/>
      <c r="T143" s="151"/>
      <c r="U143" s="151"/>
      <c r="V143" s="73"/>
      <c r="W143" s="28"/>
      <c r="X143" s="24"/>
    </row>
    <row r="144" spans="2:24">
      <c r="B144" s="24"/>
      <c r="C144" s="47"/>
      <c r="D144" s="26"/>
      <c r="E144" s="27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151"/>
      <c r="T144" s="151"/>
      <c r="U144" s="151"/>
      <c r="V144" s="73"/>
      <c r="W144" s="28"/>
      <c r="X144" s="24"/>
    </row>
    <row r="145" spans="2:24">
      <c r="B145" s="24"/>
      <c r="C145" s="47"/>
      <c r="D145" s="26"/>
      <c r="E145" s="27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151"/>
      <c r="T145" s="151"/>
      <c r="U145" s="151"/>
      <c r="V145" s="73"/>
      <c r="W145" s="28"/>
      <c r="X145" s="24"/>
    </row>
    <row r="146" spans="2:24">
      <c r="B146" s="24"/>
      <c r="C146" s="47"/>
      <c r="D146" s="26"/>
      <c r="E146" s="27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151"/>
      <c r="T146" s="151"/>
      <c r="U146" s="151"/>
      <c r="V146" s="73"/>
      <c r="W146" s="28"/>
      <c r="X146" s="24"/>
    </row>
    <row r="147" spans="2:24">
      <c r="B147" s="24"/>
      <c r="C147" s="47"/>
      <c r="D147" s="26"/>
      <c r="E147" s="27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151"/>
      <c r="T147" s="151"/>
      <c r="U147" s="151"/>
      <c r="V147" s="73"/>
      <c r="W147" s="28"/>
      <c r="X147" s="24"/>
    </row>
    <row r="148" spans="2:24">
      <c r="B148" s="24"/>
      <c r="C148" s="47"/>
      <c r="D148" s="26"/>
      <c r="E148" s="27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151"/>
      <c r="T148" s="151"/>
      <c r="U148" s="151"/>
      <c r="V148" s="73"/>
      <c r="W148" s="28"/>
      <c r="X148" s="24"/>
    </row>
    <row r="149" spans="2:24">
      <c r="B149" s="24"/>
      <c r="C149" s="47"/>
      <c r="D149" s="26"/>
      <c r="E149" s="27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151"/>
      <c r="T149" s="151"/>
      <c r="U149" s="151"/>
      <c r="V149" s="73"/>
      <c r="W149" s="28"/>
      <c r="X149" s="24"/>
    </row>
    <row r="150" spans="2:24">
      <c r="B150" s="24"/>
      <c r="C150" s="47"/>
      <c r="D150" s="26"/>
      <c r="E150" s="27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151"/>
      <c r="T150" s="151"/>
      <c r="U150" s="151"/>
      <c r="V150" s="73"/>
      <c r="W150" s="28"/>
      <c r="X150" s="24"/>
    </row>
    <row r="151" spans="2:24">
      <c r="B151" s="24"/>
      <c r="C151" s="47"/>
      <c r="D151" s="26"/>
      <c r="E151" s="27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151"/>
      <c r="T151" s="151"/>
      <c r="U151" s="151"/>
      <c r="V151" s="73"/>
      <c r="W151" s="28"/>
      <c r="X151" s="24"/>
    </row>
    <row r="152" spans="2:24">
      <c r="B152" s="24"/>
      <c r="C152" s="47"/>
      <c r="D152" s="26"/>
      <c r="E152" s="27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151"/>
      <c r="T152" s="151"/>
      <c r="U152" s="151"/>
      <c r="V152" s="73"/>
      <c r="W152" s="28"/>
      <c r="X152" s="24"/>
    </row>
    <row r="153" spans="2:24">
      <c r="B153" s="24"/>
      <c r="C153" s="47"/>
      <c r="D153" s="26"/>
      <c r="E153" s="27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151"/>
      <c r="T153" s="151"/>
      <c r="U153" s="151"/>
      <c r="V153" s="73"/>
      <c r="W153" s="28"/>
      <c r="X153" s="24"/>
    </row>
    <row r="154" spans="2:24">
      <c r="B154" s="24"/>
      <c r="C154" s="47"/>
      <c r="D154" s="26"/>
      <c r="E154" s="27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151"/>
      <c r="T154" s="151"/>
      <c r="U154" s="151"/>
      <c r="V154" s="73"/>
      <c r="W154" s="28"/>
      <c r="X154" s="24"/>
    </row>
    <row r="155" spans="2:24">
      <c r="B155" s="24"/>
      <c r="C155" s="47"/>
      <c r="D155" s="26"/>
      <c r="E155" s="27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151"/>
      <c r="T155" s="151"/>
      <c r="U155" s="151"/>
      <c r="V155" s="73"/>
      <c r="W155" s="28"/>
      <c r="X155" s="24"/>
    </row>
    <row r="156" spans="2:24">
      <c r="B156" s="24"/>
      <c r="C156" s="47"/>
      <c r="D156" s="26"/>
      <c r="E156" s="27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151"/>
      <c r="T156" s="151"/>
      <c r="U156" s="151"/>
      <c r="V156" s="73"/>
      <c r="W156" s="28"/>
      <c r="X156" s="24"/>
    </row>
    <row r="157" spans="2:24">
      <c r="B157" s="24"/>
      <c r="C157" s="47"/>
      <c r="D157" s="26"/>
      <c r="E157" s="27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151"/>
      <c r="T157" s="151"/>
      <c r="U157" s="151"/>
      <c r="V157" s="73"/>
      <c r="W157" s="28"/>
      <c r="X157" s="24"/>
    </row>
    <row r="158" spans="2:24">
      <c r="B158" s="24"/>
      <c r="C158" s="47"/>
      <c r="D158" s="26"/>
      <c r="E158" s="27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151"/>
      <c r="T158" s="151"/>
      <c r="U158" s="151"/>
      <c r="V158" s="73"/>
      <c r="W158" s="28"/>
      <c r="X158" s="24"/>
    </row>
    <row r="159" spans="2:24">
      <c r="B159" s="24"/>
      <c r="C159" s="47"/>
      <c r="D159" s="26"/>
      <c r="E159" s="27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151"/>
      <c r="T159" s="151"/>
      <c r="U159" s="151"/>
      <c r="V159" s="73"/>
      <c r="W159" s="28"/>
      <c r="X159" s="24"/>
    </row>
    <row r="160" spans="2:24">
      <c r="B160" s="24"/>
      <c r="C160" s="47"/>
      <c r="D160" s="26"/>
      <c r="E160" s="27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151"/>
      <c r="T160" s="151"/>
      <c r="U160" s="151"/>
      <c r="V160" s="73"/>
      <c r="W160" s="28"/>
      <c r="X160" s="24"/>
    </row>
    <row r="161" spans="2:24">
      <c r="B161" s="24"/>
      <c r="C161" s="47"/>
      <c r="D161" s="26"/>
      <c r="E161" s="27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151"/>
      <c r="T161" s="151"/>
      <c r="U161" s="151"/>
      <c r="V161" s="73"/>
      <c r="W161" s="28"/>
      <c r="X161" s="24"/>
    </row>
    <row r="162" spans="2:24">
      <c r="B162" s="24"/>
      <c r="C162" s="47"/>
      <c r="D162" s="26"/>
      <c r="E162" s="27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151"/>
      <c r="T162" s="151"/>
      <c r="U162" s="151"/>
      <c r="V162" s="73"/>
      <c r="W162" s="28"/>
      <c r="X162" s="24"/>
    </row>
    <row r="163" spans="2:24">
      <c r="B163" s="24"/>
      <c r="C163" s="47"/>
      <c r="D163" s="26"/>
      <c r="E163" s="27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151"/>
      <c r="T163" s="151"/>
      <c r="U163" s="151"/>
      <c r="V163" s="73"/>
      <c r="W163" s="28"/>
      <c r="X163" s="24"/>
    </row>
    <row r="164" spans="2:24">
      <c r="B164" s="24"/>
      <c r="C164" s="47"/>
      <c r="D164" s="26"/>
      <c r="E164" s="27"/>
      <c r="F164" s="25"/>
      <c r="G164" s="25"/>
      <c r="H164" s="25"/>
      <c r="I164" s="58"/>
      <c r="J164" s="25"/>
      <c r="K164" s="25"/>
      <c r="L164" s="25"/>
      <c r="M164" s="25"/>
      <c r="N164" s="25"/>
      <c r="O164" s="25"/>
      <c r="P164" s="25"/>
      <c r="Q164" s="25"/>
      <c r="R164" s="25"/>
      <c r="S164" s="151"/>
      <c r="T164" s="151"/>
      <c r="U164" s="151"/>
      <c r="V164" s="73"/>
      <c r="W164" s="28"/>
      <c r="X164" s="24"/>
    </row>
    <row r="165" spans="2:24">
      <c r="B165" s="24"/>
      <c r="C165" s="47"/>
      <c r="D165" s="26"/>
      <c r="E165" s="27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151"/>
      <c r="T165" s="151"/>
      <c r="U165" s="151"/>
      <c r="V165" s="73"/>
      <c r="W165" s="28"/>
      <c r="X165" s="24"/>
    </row>
    <row r="166" spans="2:24">
      <c r="B166" s="24"/>
      <c r="C166" s="47"/>
      <c r="D166" s="26"/>
      <c r="E166" s="27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151"/>
      <c r="T166" s="151"/>
      <c r="U166" s="151"/>
      <c r="V166" s="73"/>
      <c r="W166" s="28"/>
      <c r="X166" s="24"/>
    </row>
    <row r="167" spans="2:24">
      <c r="B167" s="24"/>
      <c r="C167" s="47"/>
      <c r="D167" s="26"/>
      <c r="E167" s="27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151"/>
      <c r="T167" s="151"/>
      <c r="U167" s="151"/>
      <c r="V167" s="73"/>
      <c r="W167" s="28"/>
      <c r="X167" s="24"/>
    </row>
    <row r="168" spans="2:24">
      <c r="B168" s="24"/>
      <c r="C168" s="47"/>
      <c r="D168" s="26"/>
      <c r="E168" s="27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151"/>
      <c r="T168" s="151"/>
      <c r="U168" s="151"/>
      <c r="V168" s="73"/>
      <c r="W168" s="28"/>
      <c r="X168" s="24"/>
    </row>
    <row r="169" spans="2:24">
      <c r="B169" s="24"/>
      <c r="C169" s="47"/>
      <c r="D169" s="26"/>
      <c r="E169" s="27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151"/>
      <c r="T169" s="151"/>
      <c r="U169" s="151"/>
      <c r="V169" s="73"/>
      <c r="W169" s="28"/>
      <c r="X169" s="24"/>
    </row>
    <row r="170" spans="2:24">
      <c r="B170" s="24"/>
      <c r="C170" s="47"/>
      <c r="D170" s="26"/>
      <c r="E170" s="27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151"/>
      <c r="T170" s="151"/>
      <c r="U170" s="151"/>
      <c r="V170" s="73"/>
      <c r="W170" s="28"/>
      <c r="X170" s="24"/>
    </row>
    <row r="171" spans="2:24">
      <c r="B171" s="24"/>
      <c r="C171" s="47"/>
      <c r="D171" s="26"/>
      <c r="E171" s="27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151"/>
      <c r="T171" s="151"/>
      <c r="U171" s="151"/>
      <c r="V171" s="73"/>
      <c r="W171" s="28"/>
      <c r="X171" s="24"/>
    </row>
    <row r="172" spans="2:24">
      <c r="B172" s="24"/>
      <c r="C172" s="47"/>
      <c r="D172" s="26"/>
      <c r="E172" s="27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151"/>
      <c r="T172" s="151"/>
      <c r="U172" s="151"/>
      <c r="V172" s="73"/>
      <c r="W172" s="28"/>
      <c r="X172" s="24"/>
    </row>
    <row r="173" spans="2:24">
      <c r="B173" s="24"/>
      <c r="C173" s="47"/>
      <c r="D173" s="26"/>
      <c r="E173" s="27"/>
      <c r="F173" s="25"/>
      <c r="G173" s="25"/>
      <c r="H173" s="25"/>
      <c r="I173" s="58"/>
      <c r="J173" s="25"/>
      <c r="K173" s="25"/>
      <c r="L173" s="25"/>
      <c r="M173" s="25"/>
      <c r="N173" s="25"/>
      <c r="O173" s="25"/>
      <c r="P173" s="25"/>
      <c r="Q173" s="25"/>
      <c r="R173" s="25"/>
      <c r="S173" s="151"/>
      <c r="T173" s="151"/>
      <c r="U173" s="151"/>
      <c r="V173" s="73"/>
      <c r="W173" s="28"/>
      <c r="X173" s="24"/>
    </row>
    <row r="174" spans="2:24">
      <c r="B174" s="24"/>
      <c r="C174" s="47"/>
      <c r="D174" s="26"/>
      <c r="E174" s="27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151"/>
      <c r="T174" s="151"/>
      <c r="U174" s="151"/>
      <c r="V174" s="73"/>
      <c r="W174" s="28"/>
      <c r="X174" s="24"/>
    </row>
    <row r="175" spans="2:24">
      <c r="B175" s="24"/>
      <c r="C175" s="47"/>
      <c r="D175" s="26"/>
      <c r="E175" s="27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151"/>
      <c r="T175" s="151"/>
      <c r="U175" s="151"/>
      <c r="V175" s="73"/>
      <c r="W175" s="28"/>
      <c r="X175" s="24"/>
    </row>
    <row r="176" spans="2:24">
      <c r="B176" s="24"/>
      <c r="C176" s="47"/>
      <c r="D176" s="26"/>
      <c r="E176" s="27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151"/>
      <c r="T176" s="151"/>
      <c r="U176" s="151"/>
      <c r="V176" s="73"/>
      <c r="W176" s="28"/>
      <c r="X176" s="24"/>
    </row>
    <row r="177" spans="2:24">
      <c r="B177" s="24"/>
      <c r="C177" s="47"/>
      <c r="D177" s="26"/>
      <c r="E177" s="27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151"/>
      <c r="T177" s="151"/>
      <c r="U177" s="151"/>
      <c r="V177" s="73"/>
      <c r="W177" s="28"/>
      <c r="X177" s="24"/>
    </row>
    <row r="178" spans="2:24">
      <c r="B178" s="24"/>
      <c r="C178" s="47"/>
      <c r="D178" s="26"/>
      <c r="E178" s="27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151"/>
      <c r="T178" s="151"/>
      <c r="U178" s="151"/>
      <c r="V178" s="73"/>
      <c r="W178" s="28"/>
      <c r="X178" s="24"/>
    </row>
    <row r="179" spans="2:24">
      <c r="B179" s="24"/>
      <c r="C179" s="47"/>
      <c r="D179" s="26"/>
      <c r="E179" s="27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151"/>
      <c r="T179" s="151"/>
      <c r="U179" s="151"/>
      <c r="V179" s="73"/>
      <c r="W179" s="28"/>
      <c r="X179" s="24"/>
    </row>
    <row r="180" spans="2:24">
      <c r="B180" s="24"/>
      <c r="C180" s="47"/>
      <c r="D180" s="26"/>
      <c r="E180" s="27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151"/>
      <c r="T180" s="151"/>
      <c r="U180" s="151"/>
      <c r="V180" s="73"/>
      <c r="W180" s="28"/>
      <c r="X180" s="24"/>
    </row>
    <row r="181" spans="2:24">
      <c r="B181" s="24"/>
      <c r="C181" s="47"/>
      <c r="D181" s="26"/>
      <c r="E181" s="27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151"/>
      <c r="T181" s="151"/>
      <c r="U181" s="151"/>
      <c r="V181" s="73"/>
      <c r="W181" s="28"/>
      <c r="X181" s="24"/>
    </row>
    <row r="182" spans="2:24">
      <c r="B182" s="24"/>
      <c r="C182" s="47"/>
      <c r="D182" s="26"/>
      <c r="E182" s="27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151"/>
      <c r="T182" s="151"/>
      <c r="U182" s="151"/>
      <c r="V182" s="73"/>
      <c r="W182" s="28"/>
      <c r="X182" s="24"/>
    </row>
    <row r="183" spans="2:24">
      <c r="B183" s="24"/>
      <c r="C183" s="47"/>
      <c r="D183" s="26"/>
      <c r="E183" s="27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151"/>
      <c r="T183" s="151"/>
      <c r="U183" s="151"/>
      <c r="V183" s="73"/>
      <c r="W183" s="28"/>
      <c r="X183" s="24"/>
    </row>
    <row r="184" spans="2:24">
      <c r="B184" s="24"/>
      <c r="C184" s="47"/>
      <c r="D184" s="26"/>
      <c r="E184" s="27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151"/>
      <c r="T184" s="151"/>
      <c r="U184" s="151"/>
      <c r="V184" s="73"/>
      <c r="W184" s="28"/>
      <c r="X184" s="24"/>
    </row>
    <row r="185" spans="2:24">
      <c r="B185" s="24"/>
      <c r="C185" s="47"/>
      <c r="D185" s="26"/>
      <c r="E185" s="27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151"/>
      <c r="T185" s="151"/>
      <c r="U185" s="151"/>
      <c r="V185" s="73"/>
      <c r="W185" s="28"/>
      <c r="X185" s="24"/>
    </row>
    <row r="186" spans="2:24">
      <c r="B186" s="24"/>
      <c r="C186" s="47"/>
      <c r="D186" s="26"/>
      <c r="E186" s="27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151"/>
      <c r="T186" s="151"/>
      <c r="U186" s="151"/>
      <c r="V186" s="73"/>
      <c r="W186" s="28"/>
      <c r="X186" s="24"/>
    </row>
    <row r="187" spans="2:24">
      <c r="B187" s="24"/>
      <c r="C187" s="47"/>
      <c r="D187" s="26"/>
      <c r="E187" s="27"/>
      <c r="F187" s="25"/>
      <c r="G187" s="25"/>
      <c r="H187" s="25"/>
      <c r="I187" s="58"/>
      <c r="J187" s="25"/>
      <c r="K187" s="25"/>
      <c r="L187" s="25"/>
      <c r="M187" s="25"/>
      <c r="N187" s="25"/>
      <c r="O187" s="25"/>
      <c r="P187" s="25"/>
      <c r="Q187" s="25"/>
      <c r="R187" s="25"/>
      <c r="S187" s="151"/>
      <c r="T187" s="151"/>
      <c r="U187" s="151"/>
      <c r="V187" s="73"/>
      <c r="W187" s="28"/>
      <c r="X187" s="24"/>
    </row>
    <row r="188" spans="2:24">
      <c r="B188" s="24"/>
      <c r="C188" s="47"/>
      <c r="D188" s="26"/>
      <c r="E188" s="27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151"/>
      <c r="T188" s="151"/>
      <c r="U188" s="151"/>
      <c r="V188" s="73"/>
      <c r="W188" s="28"/>
      <c r="X188" s="24"/>
    </row>
    <row r="189" spans="2:24">
      <c r="B189" s="24"/>
      <c r="C189" s="47"/>
      <c r="D189" s="26"/>
      <c r="E189" s="27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151"/>
      <c r="T189" s="151"/>
      <c r="U189" s="151"/>
      <c r="V189" s="73"/>
      <c r="W189" s="28"/>
      <c r="X189" s="24"/>
    </row>
    <row r="190" spans="2:24">
      <c r="B190" s="24"/>
      <c r="C190" s="47"/>
      <c r="D190" s="26"/>
      <c r="E190" s="27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151"/>
      <c r="T190" s="151"/>
      <c r="U190" s="151"/>
      <c r="V190" s="73"/>
      <c r="W190" s="28"/>
      <c r="X190" s="24"/>
    </row>
    <row r="191" spans="2:24">
      <c r="B191" s="24"/>
      <c r="C191" s="47"/>
      <c r="D191" s="26"/>
      <c r="E191" s="27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151"/>
      <c r="T191" s="151"/>
      <c r="U191" s="151"/>
      <c r="V191" s="73"/>
      <c r="W191" s="28"/>
      <c r="X191" s="24"/>
    </row>
    <row r="192" spans="2:24">
      <c r="B192" s="24"/>
      <c r="C192" s="47"/>
      <c r="D192" s="26"/>
      <c r="E192" s="27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151"/>
      <c r="T192" s="151"/>
      <c r="U192" s="151"/>
      <c r="V192" s="73"/>
      <c r="W192" s="28"/>
      <c r="X192" s="24"/>
    </row>
    <row r="193" spans="2:24">
      <c r="B193" s="24"/>
      <c r="C193" s="47"/>
      <c r="D193" s="26"/>
      <c r="E193" s="27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151"/>
      <c r="T193" s="151"/>
      <c r="U193" s="151"/>
      <c r="V193" s="73"/>
      <c r="W193" s="28"/>
      <c r="X193" s="24"/>
    </row>
    <row r="194" spans="2:24">
      <c r="B194" s="24"/>
      <c r="C194" s="47"/>
      <c r="D194" s="26"/>
      <c r="E194" s="27"/>
      <c r="F194" s="25"/>
      <c r="G194" s="25"/>
      <c r="H194" s="25"/>
      <c r="I194" s="58"/>
      <c r="J194" s="25"/>
      <c r="K194" s="25"/>
      <c r="L194" s="25"/>
      <c r="M194" s="25"/>
      <c r="N194" s="25"/>
      <c r="O194" s="25"/>
      <c r="P194" s="25"/>
      <c r="Q194" s="25"/>
      <c r="R194" s="25"/>
      <c r="S194" s="151"/>
      <c r="T194" s="151"/>
      <c r="U194" s="151"/>
      <c r="V194" s="73"/>
      <c r="W194" s="28"/>
      <c r="X194" s="24"/>
    </row>
    <row r="195" spans="2:24">
      <c r="B195" s="24"/>
      <c r="C195" s="47"/>
      <c r="D195" s="26"/>
      <c r="E195" s="27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151"/>
      <c r="T195" s="151"/>
      <c r="U195" s="151"/>
      <c r="V195" s="73"/>
      <c r="W195" s="28"/>
      <c r="X195" s="24"/>
    </row>
    <row r="196" spans="2:24">
      <c r="B196" s="24"/>
      <c r="C196" s="47"/>
      <c r="D196" s="26"/>
      <c r="E196" s="27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151"/>
      <c r="T196" s="151"/>
      <c r="U196" s="151"/>
      <c r="V196" s="73"/>
      <c r="W196" s="28"/>
      <c r="X196" s="24"/>
    </row>
    <row r="197" spans="2:24">
      <c r="B197" s="24"/>
      <c r="C197" s="47"/>
      <c r="D197" s="26"/>
      <c r="E197" s="27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151"/>
      <c r="T197" s="151"/>
      <c r="U197" s="151"/>
      <c r="V197" s="73"/>
      <c r="W197" s="28"/>
      <c r="X197" s="24"/>
    </row>
    <row r="198" spans="2:24">
      <c r="B198" s="24"/>
      <c r="C198" s="47"/>
      <c r="D198" s="26"/>
      <c r="E198" s="27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151"/>
      <c r="T198" s="151"/>
      <c r="U198" s="151"/>
      <c r="V198" s="73"/>
      <c r="W198" s="28"/>
      <c r="X198" s="24"/>
    </row>
    <row r="199" spans="2:24">
      <c r="B199" s="24"/>
      <c r="C199" s="47"/>
      <c r="D199" s="26"/>
      <c r="E199" s="27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151"/>
      <c r="T199" s="151"/>
      <c r="U199" s="151"/>
      <c r="V199" s="73"/>
      <c r="W199" s="28"/>
      <c r="X199" s="24"/>
    </row>
    <row r="200" spans="2:24">
      <c r="B200" s="24"/>
      <c r="C200" s="47"/>
      <c r="D200" s="26"/>
      <c r="E200" s="27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151"/>
      <c r="T200" s="151"/>
      <c r="U200" s="151"/>
      <c r="V200" s="73"/>
      <c r="W200" s="28"/>
      <c r="X200" s="24"/>
    </row>
    <row r="201" spans="2:24">
      <c r="B201" s="24"/>
      <c r="C201" s="47"/>
      <c r="D201" s="26"/>
      <c r="E201" s="27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151"/>
      <c r="T201" s="151"/>
      <c r="U201" s="151"/>
      <c r="V201" s="73"/>
      <c r="W201" s="28"/>
      <c r="X201" s="24"/>
    </row>
    <row r="202" spans="2:24">
      <c r="B202" s="24"/>
      <c r="C202" s="47"/>
      <c r="D202" s="26"/>
      <c r="E202" s="27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151"/>
      <c r="T202" s="151"/>
      <c r="U202" s="151"/>
      <c r="V202" s="73"/>
      <c r="W202" s="28"/>
      <c r="X202" s="24"/>
    </row>
    <row r="203" spans="2:24">
      <c r="B203" s="24"/>
      <c r="C203" s="47"/>
      <c r="D203" s="26"/>
      <c r="E203" s="27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151"/>
      <c r="T203" s="151"/>
      <c r="U203" s="151"/>
      <c r="V203" s="73"/>
      <c r="W203" s="28"/>
      <c r="X203" s="24"/>
    </row>
    <row r="204" spans="2:24">
      <c r="B204" s="24"/>
      <c r="C204" s="47"/>
      <c r="D204" s="26"/>
      <c r="E204" s="27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151"/>
      <c r="T204" s="151"/>
      <c r="U204" s="151"/>
      <c r="V204" s="73"/>
      <c r="W204" s="28"/>
      <c r="X204" s="24"/>
    </row>
    <row r="205" spans="2:24">
      <c r="B205" s="24"/>
      <c r="C205" s="47"/>
      <c r="D205" s="26"/>
      <c r="E205" s="27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151"/>
      <c r="T205" s="151"/>
      <c r="U205" s="151"/>
      <c r="V205" s="73"/>
      <c r="W205" s="28"/>
      <c r="X205" s="24"/>
    </row>
    <row r="206" spans="2:24">
      <c r="B206" s="24"/>
      <c r="C206" s="47"/>
      <c r="D206" s="26"/>
      <c r="E206" s="27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151"/>
      <c r="T206" s="151"/>
      <c r="U206" s="151"/>
      <c r="V206" s="73"/>
      <c r="W206" s="28"/>
      <c r="X206" s="24"/>
    </row>
    <row r="207" spans="2:24">
      <c r="B207" s="24"/>
      <c r="C207" s="47"/>
      <c r="D207" s="26"/>
      <c r="E207" s="27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151"/>
      <c r="T207" s="151"/>
      <c r="U207" s="151"/>
      <c r="V207" s="73"/>
      <c r="W207" s="28"/>
      <c r="X207" s="24"/>
    </row>
    <row r="208" spans="2:24">
      <c r="B208" s="24"/>
      <c r="C208" s="47"/>
      <c r="D208" s="26"/>
      <c r="E208" s="27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151"/>
      <c r="T208" s="151"/>
      <c r="U208" s="151"/>
      <c r="V208" s="73"/>
      <c r="W208" s="28"/>
      <c r="X208" s="24"/>
    </row>
    <row r="209" spans="2:24">
      <c r="B209" s="24"/>
      <c r="C209" s="47"/>
      <c r="D209" s="26"/>
      <c r="E209" s="27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151"/>
      <c r="T209" s="151"/>
      <c r="U209" s="151"/>
      <c r="V209" s="73"/>
      <c r="W209" s="28"/>
      <c r="X209" s="24"/>
    </row>
    <row r="210" spans="2:24">
      <c r="B210" s="24"/>
      <c r="C210" s="47"/>
      <c r="D210" s="26"/>
      <c r="E210" s="27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151"/>
      <c r="T210" s="151"/>
      <c r="U210" s="151"/>
      <c r="V210" s="73"/>
      <c r="W210" s="28"/>
      <c r="X210" s="24"/>
    </row>
    <row r="211" spans="2:24">
      <c r="B211" s="24"/>
      <c r="C211" s="47"/>
      <c r="D211" s="26"/>
      <c r="E211" s="27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151"/>
      <c r="T211" s="151"/>
      <c r="U211" s="151"/>
      <c r="V211" s="73"/>
      <c r="W211" s="28"/>
      <c r="X211" s="24"/>
    </row>
    <row r="212" spans="2:24">
      <c r="B212" s="24"/>
      <c r="C212" s="47"/>
      <c r="D212" s="26"/>
      <c r="E212" s="27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151"/>
      <c r="T212" s="151"/>
      <c r="U212" s="151"/>
      <c r="V212" s="73"/>
      <c r="W212" s="28"/>
      <c r="X212" s="24"/>
    </row>
    <row r="213" spans="2:24">
      <c r="B213" s="24"/>
      <c r="C213" s="47"/>
      <c r="D213" s="26"/>
      <c r="E213" s="27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151"/>
      <c r="T213" s="151"/>
      <c r="U213" s="151"/>
      <c r="V213" s="73"/>
      <c r="W213" s="28"/>
      <c r="X213" s="24"/>
    </row>
    <row r="214" spans="2:24">
      <c r="B214" s="24"/>
      <c r="C214" s="47"/>
      <c r="D214" s="26"/>
      <c r="E214" s="27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151"/>
      <c r="T214" s="151"/>
      <c r="U214" s="151"/>
      <c r="V214" s="73"/>
      <c r="W214" s="28"/>
      <c r="X214" s="24"/>
    </row>
    <row r="215" spans="2:24">
      <c r="B215" s="24"/>
      <c r="C215" s="47"/>
      <c r="D215" s="26"/>
      <c r="E215" s="27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151"/>
      <c r="T215" s="151"/>
      <c r="U215" s="151"/>
      <c r="V215" s="73"/>
      <c r="W215" s="28"/>
      <c r="X215" s="24"/>
    </row>
    <row r="216" spans="2:24">
      <c r="B216" s="24"/>
      <c r="C216" s="47"/>
      <c r="D216" s="26"/>
      <c r="E216" s="27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151"/>
      <c r="T216" s="151"/>
      <c r="U216" s="151"/>
      <c r="V216" s="73"/>
      <c r="W216" s="28"/>
      <c r="X216" s="24"/>
    </row>
    <row r="217" spans="2:24">
      <c r="B217" s="24"/>
      <c r="C217" s="47"/>
      <c r="D217" s="26"/>
      <c r="E217" s="27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151"/>
      <c r="T217" s="151"/>
      <c r="U217" s="151"/>
      <c r="V217" s="73"/>
      <c r="W217" s="28"/>
      <c r="X217" s="24"/>
    </row>
    <row r="218" spans="2:24">
      <c r="B218" s="24"/>
      <c r="C218" s="47"/>
      <c r="D218" s="26"/>
      <c r="E218" s="27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151"/>
      <c r="T218" s="151"/>
      <c r="U218" s="151"/>
      <c r="V218" s="73"/>
      <c r="W218" s="28"/>
      <c r="X218" s="24"/>
    </row>
    <row r="219" spans="2:24">
      <c r="B219" s="24"/>
      <c r="C219" s="47"/>
      <c r="D219" s="26"/>
      <c r="E219" s="27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151"/>
      <c r="T219" s="151"/>
      <c r="U219" s="151"/>
      <c r="V219" s="73"/>
      <c r="W219" s="28"/>
      <c r="X219" s="24"/>
    </row>
    <row r="220" spans="2:24">
      <c r="B220" s="24"/>
      <c r="C220" s="47"/>
      <c r="D220" s="26"/>
      <c r="E220" s="27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151"/>
      <c r="T220" s="151"/>
      <c r="U220" s="151"/>
      <c r="V220" s="73"/>
      <c r="W220" s="28"/>
      <c r="X220" s="24"/>
    </row>
    <row r="221" spans="2:24">
      <c r="B221" s="24"/>
      <c r="C221" s="47"/>
      <c r="D221" s="26"/>
      <c r="E221" s="27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151"/>
      <c r="T221" s="151"/>
      <c r="U221" s="151"/>
      <c r="V221" s="73"/>
      <c r="W221" s="28"/>
      <c r="X221" s="24"/>
    </row>
    <row r="222" spans="2:24">
      <c r="B222" s="24"/>
      <c r="C222" s="47"/>
      <c r="D222" s="26"/>
      <c r="E222" s="27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151"/>
      <c r="T222" s="151"/>
      <c r="U222" s="151"/>
      <c r="V222" s="73"/>
      <c r="W222" s="28"/>
      <c r="X222" s="24"/>
    </row>
    <row r="223" spans="2:24">
      <c r="B223" s="24"/>
      <c r="C223" s="47"/>
      <c r="D223" s="26"/>
      <c r="E223" s="27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151"/>
      <c r="T223" s="151"/>
      <c r="U223" s="151"/>
      <c r="V223" s="73"/>
      <c r="W223" s="28"/>
      <c r="X223" s="24"/>
    </row>
    <row r="224" spans="2:24">
      <c r="B224" s="24"/>
      <c r="C224" s="47"/>
      <c r="D224" s="26"/>
      <c r="E224" s="27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151"/>
      <c r="T224" s="151"/>
      <c r="U224" s="151"/>
      <c r="V224" s="73"/>
      <c r="W224" s="28"/>
      <c r="X224" s="24"/>
    </row>
    <row r="225" spans="2:24">
      <c r="B225" s="24"/>
      <c r="C225" s="47"/>
      <c r="D225" s="26"/>
      <c r="E225" s="27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151"/>
      <c r="T225" s="151"/>
      <c r="U225" s="151"/>
      <c r="V225" s="73"/>
      <c r="W225" s="28"/>
      <c r="X225" s="24"/>
    </row>
    <row r="226" spans="2:24">
      <c r="B226" s="24"/>
      <c r="C226" s="47"/>
      <c r="D226" s="26"/>
      <c r="E226" s="27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151"/>
      <c r="T226" s="151"/>
      <c r="U226" s="151"/>
      <c r="V226" s="73"/>
      <c r="W226" s="28"/>
      <c r="X226" s="24"/>
    </row>
    <row r="227" spans="2:24">
      <c r="B227" s="24"/>
      <c r="C227" s="47"/>
      <c r="D227" s="26"/>
      <c r="E227" s="27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151"/>
      <c r="T227" s="151"/>
      <c r="U227" s="151"/>
      <c r="V227" s="73"/>
      <c r="W227" s="28"/>
      <c r="X227" s="24"/>
    </row>
    <row r="228" spans="2:24">
      <c r="B228" s="24"/>
      <c r="C228" s="47"/>
      <c r="D228" s="26"/>
      <c r="E228" s="27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151"/>
      <c r="T228" s="151"/>
      <c r="U228" s="151"/>
      <c r="V228" s="73"/>
      <c r="W228" s="28"/>
      <c r="X228" s="24"/>
    </row>
    <row r="229" spans="2:24">
      <c r="B229" s="24"/>
      <c r="C229" s="47"/>
      <c r="D229" s="26"/>
      <c r="E229" s="27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151"/>
      <c r="T229" s="151"/>
      <c r="U229" s="151"/>
      <c r="V229" s="73"/>
      <c r="W229" s="28"/>
      <c r="X229" s="24"/>
    </row>
    <row r="230" spans="2:24">
      <c r="B230" s="24"/>
      <c r="C230" s="47"/>
      <c r="D230" s="26"/>
      <c r="E230" s="27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151"/>
      <c r="T230" s="151"/>
      <c r="U230" s="151"/>
      <c r="V230" s="73"/>
      <c r="W230" s="28"/>
      <c r="X230" s="24"/>
    </row>
    <row r="231" spans="2:24">
      <c r="B231" s="24"/>
      <c r="C231" s="47"/>
      <c r="D231" s="26"/>
      <c r="E231" s="27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151"/>
      <c r="T231" s="151"/>
      <c r="U231" s="151"/>
      <c r="V231" s="73"/>
      <c r="W231" s="28"/>
      <c r="X231" s="24"/>
    </row>
    <row r="232" spans="2:24">
      <c r="B232" s="24"/>
      <c r="C232" s="47"/>
      <c r="D232" s="26"/>
      <c r="E232" s="27"/>
      <c r="F232" s="25"/>
      <c r="G232" s="25"/>
      <c r="H232" s="25"/>
      <c r="I232" s="58"/>
      <c r="J232" s="25"/>
      <c r="K232" s="25"/>
      <c r="L232" s="25"/>
      <c r="M232" s="25"/>
      <c r="N232" s="25"/>
      <c r="O232" s="25"/>
      <c r="P232" s="25"/>
      <c r="Q232" s="25"/>
      <c r="R232" s="25"/>
      <c r="S232" s="151"/>
      <c r="T232" s="151"/>
      <c r="U232" s="151"/>
      <c r="V232" s="73"/>
      <c r="W232" s="28"/>
      <c r="X232" s="24"/>
    </row>
    <row r="233" spans="2:24">
      <c r="B233" s="24"/>
      <c r="C233" s="47"/>
      <c r="D233" s="26"/>
      <c r="E233" s="27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151"/>
      <c r="T233" s="151"/>
      <c r="U233" s="151"/>
      <c r="V233" s="73"/>
      <c r="W233" s="28"/>
      <c r="X233" s="24"/>
    </row>
    <row r="234" spans="2:24">
      <c r="B234" s="24"/>
      <c r="C234" s="47"/>
      <c r="D234" s="26"/>
      <c r="E234" s="27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151"/>
      <c r="T234" s="151"/>
      <c r="U234" s="151"/>
      <c r="V234" s="73"/>
      <c r="W234" s="28"/>
      <c r="X234" s="24"/>
    </row>
    <row r="235" spans="2:24">
      <c r="B235" s="24"/>
      <c r="C235" s="47"/>
      <c r="D235" s="26"/>
      <c r="E235" s="27"/>
      <c r="F235" s="25"/>
      <c r="G235" s="25"/>
      <c r="H235" s="25"/>
      <c r="I235" s="58"/>
      <c r="J235" s="25"/>
      <c r="K235" s="25"/>
      <c r="L235" s="25"/>
      <c r="M235" s="25"/>
      <c r="N235" s="25"/>
      <c r="O235" s="25"/>
      <c r="P235" s="25"/>
      <c r="Q235" s="25"/>
      <c r="R235" s="25"/>
      <c r="S235" s="151"/>
      <c r="T235" s="151"/>
      <c r="U235" s="151"/>
      <c r="V235" s="73"/>
      <c r="W235" s="28"/>
      <c r="X235" s="24"/>
    </row>
    <row r="236" spans="2:24">
      <c r="B236" s="24"/>
      <c r="C236" s="47"/>
      <c r="D236" s="26"/>
      <c r="E236" s="27"/>
      <c r="F236" s="25"/>
      <c r="G236" s="25"/>
      <c r="H236" s="25"/>
      <c r="I236" s="58"/>
      <c r="J236" s="25"/>
      <c r="K236" s="25"/>
      <c r="L236" s="25"/>
      <c r="M236" s="25"/>
      <c r="N236" s="25"/>
      <c r="O236" s="25"/>
      <c r="P236" s="25"/>
      <c r="Q236" s="25"/>
      <c r="R236" s="25"/>
      <c r="S236" s="151"/>
      <c r="T236" s="151"/>
      <c r="U236" s="151"/>
      <c r="V236" s="73"/>
      <c r="W236" s="28"/>
      <c r="X236" s="24"/>
    </row>
    <row r="237" spans="2:24">
      <c r="B237" s="24"/>
      <c r="C237" s="47"/>
      <c r="D237" s="26"/>
      <c r="E237" s="27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151"/>
      <c r="T237" s="151"/>
      <c r="U237" s="151"/>
      <c r="V237" s="73"/>
      <c r="W237" s="28"/>
      <c r="X237" s="24"/>
    </row>
    <row r="238" spans="2:24">
      <c r="B238" s="24"/>
      <c r="C238" s="47"/>
      <c r="D238" s="26"/>
      <c r="E238" s="27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151"/>
      <c r="T238" s="151"/>
      <c r="U238" s="151"/>
      <c r="V238" s="73"/>
      <c r="W238" s="28"/>
      <c r="X238" s="24"/>
    </row>
    <row r="239" spans="2:24">
      <c r="B239" s="24"/>
      <c r="C239" s="47"/>
      <c r="D239" s="26"/>
      <c r="E239" s="27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151"/>
      <c r="T239" s="151"/>
      <c r="U239" s="151"/>
      <c r="V239" s="73"/>
      <c r="W239" s="28"/>
      <c r="X239" s="24"/>
    </row>
    <row r="240" spans="2:24">
      <c r="B240" s="24"/>
      <c r="C240" s="47"/>
      <c r="D240" s="26"/>
      <c r="E240" s="27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151"/>
      <c r="T240" s="151"/>
      <c r="U240" s="151"/>
      <c r="V240" s="73"/>
      <c r="W240" s="28"/>
      <c r="X240" s="24"/>
    </row>
    <row r="241" spans="2:24">
      <c r="B241" s="24"/>
      <c r="C241" s="47"/>
      <c r="D241" s="26"/>
      <c r="E241" s="27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151"/>
      <c r="T241" s="151"/>
      <c r="U241" s="151"/>
      <c r="V241" s="73"/>
      <c r="W241" s="28"/>
      <c r="X241" s="24"/>
    </row>
    <row r="242" spans="2:24">
      <c r="B242" s="24"/>
      <c r="C242" s="47"/>
      <c r="D242" s="26"/>
      <c r="E242" s="27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151"/>
      <c r="T242" s="151"/>
      <c r="U242" s="151"/>
      <c r="V242" s="73"/>
      <c r="W242" s="28"/>
      <c r="X242" s="24"/>
    </row>
    <row r="243" spans="2:24">
      <c r="B243" s="24"/>
      <c r="C243" s="47"/>
      <c r="D243" s="26"/>
      <c r="E243" s="27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151"/>
      <c r="T243" s="151"/>
      <c r="U243" s="151"/>
      <c r="V243" s="73"/>
      <c r="W243" s="28"/>
      <c r="X243" s="24"/>
    </row>
    <row r="244" spans="2:24">
      <c r="B244" s="24"/>
      <c r="C244" s="47"/>
      <c r="D244" s="26"/>
      <c r="E244" s="27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151"/>
      <c r="T244" s="151"/>
      <c r="U244" s="151"/>
      <c r="V244" s="73"/>
      <c r="W244" s="28"/>
      <c r="X244" s="24"/>
    </row>
    <row r="245" spans="2:24">
      <c r="B245" s="24"/>
      <c r="C245" s="47"/>
      <c r="D245" s="26"/>
      <c r="E245" s="27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151"/>
      <c r="T245" s="151"/>
      <c r="U245" s="151"/>
      <c r="V245" s="73"/>
      <c r="W245" s="28"/>
      <c r="X245" s="24"/>
    </row>
    <row r="246" spans="2:24">
      <c r="B246" s="24"/>
      <c r="C246" s="47"/>
      <c r="D246" s="26"/>
      <c r="E246" s="27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151"/>
      <c r="T246" s="151"/>
      <c r="U246" s="151"/>
      <c r="V246" s="73"/>
      <c r="W246" s="28"/>
      <c r="X246" s="24"/>
    </row>
    <row r="247" spans="2:24">
      <c r="B247" s="24"/>
      <c r="C247" s="47"/>
      <c r="D247" s="26"/>
      <c r="E247" s="27"/>
      <c r="F247" s="25"/>
      <c r="G247" s="25"/>
      <c r="H247" s="25"/>
      <c r="I247" s="58"/>
      <c r="J247" s="25"/>
      <c r="K247" s="25"/>
      <c r="L247" s="25"/>
      <c r="M247" s="25"/>
      <c r="N247" s="25"/>
      <c r="O247" s="25"/>
      <c r="P247" s="25"/>
      <c r="Q247" s="25"/>
      <c r="R247" s="25"/>
      <c r="S247" s="151"/>
      <c r="T247" s="151"/>
      <c r="U247" s="151"/>
      <c r="V247" s="73"/>
      <c r="W247" s="28"/>
      <c r="X247" s="24"/>
    </row>
    <row r="248" spans="2:24">
      <c r="B248" s="24"/>
      <c r="C248" s="47"/>
      <c r="D248" s="26"/>
      <c r="E248" s="27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151"/>
      <c r="T248" s="151"/>
      <c r="U248" s="151"/>
      <c r="V248" s="73"/>
      <c r="W248" s="28"/>
      <c r="X248" s="24"/>
    </row>
    <row r="249" spans="2:24">
      <c r="B249" s="24"/>
      <c r="C249" s="47"/>
      <c r="D249" s="26"/>
      <c r="E249" s="27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151"/>
      <c r="T249" s="151"/>
      <c r="U249" s="151"/>
      <c r="V249" s="73"/>
      <c r="W249" s="28"/>
      <c r="X249" s="24"/>
    </row>
    <row r="250" spans="2:24">
      <c r="B250" s="24"/>
      <c r="C250" s="47"/>
      <c r="D250" s="26"/>
      <c r="E250" s="27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151"/>
      <c r="T250" s="151"/>
      <c r="U250" s="151"/>
      <c r="V250" s="73"/>
      <c r="W250" s="28"/>
      <c r="X250" s="24"/>
    </row>
    <row r="251" spans="2:24">
      <c r="B251" s="24"/>
      <c r="C251" s="47"/>
      <c r="D251" s="26"/>
      <c r="E251" s="27"/>
      <c r="F251" s="25"/>
      <c r="G251" s="25"/>
      <c r="H251" s="25"/>
      <c r="I251" s="58"/>
      <c r="J251" s="25"/>
      <c r="K251" s="25"/>
      <c r="L251" s="25"/>
      <c r="M251" s="25"/>
      <c r="N251" s="25"/>
      <c r="O251" s="25"/>
      <c r="P251" s="25"/>
      <c r="Q251" s="25"/>
      <c r="R251" s="25"/>
      <c r="S251" s="151"/>
      <c r="T251" s="151"/>
      <c r="U251" s="151"/>
      <c r="V251" s="73"/>
      <c r="W251" s="28"/>
      <c r="X251" s="24"/>
    </row>
    <row r="252" spans="2:24">
      <c r="B252" s="24"/>
      <c r="C252" s="47"/>
      <c r="D252" s="26"/>
      <c r="E252" s="27"/>
      <c r="F252" s="25"/>
      <c r="G252" s="25"/>
      <c r="H252" s="25"/>
      <c r="I252" s="58"/>
      <c r="J252" s="25"/>
      <c r="K252" s="25"/>
      <c r="L252" s="25"/>
      <c r="M252" s="25"/>
      <c r="N252" s="25"/>
      <c r="O252" s="25"/>
      <c r="P252" s="25"/>
      <c r="Q252" s="25"/>
      <c r="R252" s="25"/>
      <c r="S252" s="151"/>
      <c r="T252" s="151"/>
      <c r="U252" s="151"/>
      <c r="V252" s="73"/>
      <c r="W252" s="28"/>
      <c r="X252" s="24"/>
    </row>
    <row r="253" spans="2:24">
      <c r="B253" s="24"/>
      <c r="C253" s="47"/>
      <c r="D253" s="26"/>
      <c r="E253" s="27"/>
      <c r="F253" s="25"/>
      <c r="G253" s="25"/>
      <c r="H253" s="25"/>
      <c r="I253" s="58"/>
      <c r="J253" s="25"/>
      <c r="K253" s="25"/>
      <c r="L253" s="25"/>
      <c r="M253" s="25"/>
      <c r="N253" s="25"/>
      <c r="O253" s="25"/>
      <c r="P253" s="25"/>
      <c r="Q253" s="25"/>
      <c r="R253" s="25"/>
      <c r="S253" s="151"/>
      <c r="T253" s="151"/>
      <c r="U253" s="151"/>
      <c r="V253" s="73"/>
      <c r="W253" s="28"/>
      <c r="X253" s="24"/>
    </row>
    <row r="254" spans="2:24">
      <c r="B254" s="24"/>
      <c r="C254" s="47"/>
      <c r="D254" s="26"/>
      <c r="E254" s="27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151"/>
      <c r="T254" s="151"/>
      <c r="U254" s="151"/>
      <c r="V254" s="73"/>
      <c r="W254" s="28"/>
      <c r="X254" s="24"/>
    </row>
    <row r="255" spans="2:24">
      <c r="B255" s="24"/>
      <c r="C255" s="47"/>
      <c r="D255" s="26"/>
      <c r="E255" s="27"/>
      <c r="F255" s="25"/>
      <c r="G255" s="25"/>
      <c r="H255" s="25"/>
      <c r="I255" s="58"/>
      <c r="J255" s="25"/>
      <c r="K255" s="25"/>
      <c r="L255" s="25"/>
      <c r="M255" s="25"/>
      <c r="N255" s="25"/>
      <c r="O255" s="25"/>
      <c r="P255" s="25"/>
      <c r="Q255" s="25"/>
      <c r="R255" s="25"/>
      <c r="S255" s="151"/>
      <c r="T255" s="151"/>
      <c r="U255" s="151"/>
      <c r="V255" s="73"/>
      <c r="W255" s="28"/>
      <c r="X255" s="24"/>
    </row>
    <row r="256" spans="2:24">
      <c r="B256" s="24"/>
      <c r="C256" s="47"/>
      <c r="D256" s="26"/>
      <c r="E256" s="27"/>
      <c r="F256" s="25"/>
      <c r="G256" s="25"/>
      <c r="H256" s="25"/>
      <c r="I256" s="58"/>
      <c r="J256" s="25"/>
      <c r="K256" s="25"/>
      <c r="L256" s="25"/>
      <c r="M256" s="25"/>
      <c r="N256" s="25"/>
      <c r="O256" s="25"/>
      <c r="P256" s="25"/>
      <c r="Q256" s="25"/>
      <c r="R256" s="25"/>
      <c r="S256" s="151"/>
      <c r="T256" s="151"/>
      <c r="U256" s="151"/>
      <c r="V256" s="73"/>
      <c r="W256" s="28"/>
      <c r="X256" s="24"/>
    </row>
    <row r="257" spans="2:24">
      <c r="B257" s="24"/>
      <c r="C257" s="47"/>
      <c r="D257" s="26"/>
      <c r="E257" s="27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151"/>
      <c r="T257" s="151"/>
      <c r="U257" s="151"/>
      <c r="V257" s="73"/>
      <c r="W257" s="28"/>
      <c r="X257" s="24"/>
    </row>
    <row r="258" spans="2:24">
      <c r="B258" s="24"/>
      <c r="C258" s="47"/>
      <c r="D258" s="26"/>
      <c r="E258" s="27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151"/>
      <c r="T258" s="151"/>
      <c r="U258" s="151"/>
      <c r="V258" s="73"/>
      <c r="W258" s="28"/>
      <c r="X258" s="24"/>
    </row>
    <row r="259" spans="2:24">
      <c r="B259" s="24"/>
      <c r="C259" s="47"/>
      <c r="D259" s="26"/>
      <c r="E259" s="27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151"/>
      <c r="T259" s="151"/>
      <c r="U259" s="151"/>
      <c r="V259" s="73"/>
      <c r="W259" s="28"/>
      <c r="X259" s="24"/>
    </row>
    <row r="260" spans="2:24">
      <c r="B260" s="24"/>
      <c r="C260" s="47"/>
      <c r="D260" s="26"/>
      <c r="E260" s="27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151"/>
      <c r="T260" s="151"/>
      <c r="U260" s="151"/>
      <c r="V260" s="73"/>
      <c r="W260" s="28"/>
      <c r="X260" s="24"/>
    </row>
    <row r="261" spans="2:24">
      <c r="B261" s="24"/>
      <c r="C261" s="47"/>
      <c r="D261" s="26"/>
      <c r="E261" s="27"/>
      <c r="F261" s="25"/>
      <c r="G261" s="25"/>
      <c r="H261" s="25"/>
      <c r="I261" s="58"/>
      <c r="J261" s="25"/>
      <c r="K261" s="25"/>
      <c r="L261" s="25"/>
      <c r="M261" s="25"/>
      <c r="N261" s="25"/>
      <c r="O261" s="25"/>
      <c r="P261" s="25"/>
      <c r="Q261" s="25"/>
      <c r="R261" s="25"/>
      <c r="S261" s="151"/>
      <c r="T261" s="151"/>
      <c r="U261" s="151"/>
      <c r="V261" s="73"/>
      <c r="W261" s="28"/>
      <c r="X261" s="24"/>
    </row>
    <row r="262" spans="2:24">
      <c r="B262" s="24"/>
      <c r="C262" s="47"/>
      <c r="D262" s="26"/>
      <c r="E262" s="27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151"/>
      <c r="T262" s="151"/>
      <c r="U262" s="151"/>
      <c r="V262" s="73"/>
      <c r="W262" s="28"/>
      <c r="X262" s="24"/>
    </row>
    <row r="263" spans="2:24">
      <c r="B263" s="24"/>
      <c r="C263" s="47"/>
      <c r="D263" s="26"/>
      <c r="E263" s="27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151"/>
      <c r="T263" s="151"/>
      <c r="U263" s="151"/>
      <c r="V263" s="73"/>
      <c r="W263" s="28"/>
      <c r="X263" s="24"/>
    </row>
    <row r="264" spans="2:24">
      <c r="B264" s="24"/>
      <c r="C264" s="47"/>
      <c r="D264" s="26"/>
      <c r="E264" s="27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151"/>
      <c r="T264" s="151"/>
      <c r="U264" s="151"/>
      <c r="V264" s="73"/>
      <c r="W264" s="28"/>
      <c r="X264" s="24"/>
    </row>
    <row r="265" spans="2:24">
      <c r="B265" s="24"/>
      <c r="C265" s="47"/>
      <c r="D265" s="26"/>
      <c r="E265" s="27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151"/>
      <c r="T265" s="151"/>
      <c r="U265" s="151"/>
      <c r="V265" s="73"/>
      <c r="W265" s="28"/>
      <c r="X265" s="24"/>
    </row>
    <row r="266" spans="2:24">
      <c r="B266" s="24"/>
      <c r="C266" s="47"/>
      <c r="D266" s="26"/>
      <c r="E266" s="27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151"/>
      <c r="T266" s="151"/>
      <c r="U266" s="151"/>
      <c r="V266" s="73"/>
      <c r="W266" s="28"/>
      <c r="X266" s="24"/>
    </row>
    <row r="267" spans="2:24">
      <c r="B267" s="24"/>
      <c r="C267" s="47"/>
      <c r="D267" s="26"/>
      <c r="E267" s="27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151"/>
      <c r="T267" s="151"/>
      <c r="U267" s="151"/>
      <c r="V267" s="73"/>
      <c r="W267" s="28"/>
      <c r="X267" s="24"/>
    </row>
    <row r="268" spans="2:24">
      <c r="B268" s="24"/>
      <c r="C268" s="47"/>
      <c r="D268" s="26"/>
      <c r="E268" s="27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151"/>
      <c r="T268" s="151"/>
      <c r="U268" s="151"/>
      <c r="V268" s="73"/>
      <c r="W268" s="28"/>
      <c r="X268" s="24"/>
    </row>
    <row r="269" spans="2:24">
      <c r="B269" s="24"/>
      <c r="C269" s="47"/>
      <c r="D269" s="26"/>
      <c r="E269" s="27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151"/>
      <c r="T269" s="151"/>
      <c r="U269" s="151"/>
      <c r="V269" s="73"/>
      <c r="W269" s="28"/>
      <c r="X269" s="24"/>
    </row>
    <row r="270" spans="2:24">
      <c r="B270" s="24"/>
      <c r="C270" s="47"/>
      <c r="D270" s="26"/>
      <c r="E270" s="27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151"/>
      <c r="T270" s="151"/>
      <c r="U270" s="151"/>
      <c r="V270" s="73"/>
      <c r="W270" s="28"/>
      <c r="X270" s="24"/>
    </row>
    <row r="271" spans="2:24">
      <c r="B271" s="24"/>
      <c r="C271" s="47"/>
      <c r="D271" s="26"/>
      <c r="E271" s="27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151"/>
      <c r="T271" s="151"/>
      <c r="U271" s="151"/>
      <c r="V271" s="73"/>
      <c r="W271" s="28"/>
      <c r="X271" s="24"/>
    </row>
    <row r="272" spans="2:24">
      <c r="B272" s="24"/>
      <c r="C272" s="47"/>
      <c r="D272" s="26"/>
      <c r="E272" s="27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151"/>
      <c r="T272" s="151"/>
      <c r="U272" s="151"/>
      <c r="V272" s="73"/>
      <c r="W272" s="28"/>
      <c r="X272" s="24"/>
    </row>
    <row r="273" spans="2:24">
      <c r="B273" s="24"/>
      <c r="C273" s="47"/>
      <c r="D273" s="26"/>
      <c r="E273" s="27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151"/>
      <c r="T273" s="151"/>
      <c r="U273" s="151"/>
      <c r="V273" s="73"/>
      <c r="W273" s="28"/>
      <c r="X273" s="24"/>
    </row>
    <row r="274" spans="2:24">
      <c r="B274" s="24"/>
      <c r="C274" s="47"/>
      <c r="D274" s="26"/>
      <c r="E274" s="27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151"/>
      <c r="T274" s="151"/>
      <c r="U274" s="151"/>
      <c r="V274" s="73"/>
      <c r="W274" s="28"/>
      <c r="X274" s="24"/>
    </row>
    <row r="275" spans="2:24">
      <c r="B275" s="24"/>
      <c r="C275" s="47"/>
      <c r="D275" s="26"/>
      <c r="E275" s="27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151"/>
      <c r="T275" s="151"/>
      <c r="U275" s="151"/>
      <c r="V275" s="73"/>
      <c r="W275" s="28"/>
      <c r="X275" s="24"/>
    </row>
    <row r="276" spans="2:24">
      <c r="B276" s="24"/>
      <c r="C276" s="47"/>
      <c r="D276" s="26"/>
      <c r="E276" s="27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151"/>
      <c r="T276" s="151"/>
      <c r="U276" s="151"/>
      <c r="V276" s="73"/>
      <c r="W276" s="28"/>
      <c r="X276" s="24"/>
    </row>
    <row r="277" spans="2:24">
      <c r="B277" s="24"/>
      <c r="C277" s="47"/>
      <c r="D277" s="26"/>
      <c r="E277" s="27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151"/>
      <c r="T277" s="151"/>
      <c r="U277" s="151"/>
      <c r="V277" s="73"/>
      <c r="W277" s="28"/>
      <c r="X277" s="24"/>
    </row>
    <row r="278" spans="2:24">
      <c r="B278" s="24"/>
      <c r="C278" s="47"/>
      <c r="D278" s="26"/>
      <c r="E278" s="27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151"/>
      <c r="T278" s="151"/>
      <c r="U278" s="151"/>
      <c r="V278" s="73"/>
      <c r="W278" s="28"/>
      <c r="X278" s="24"/>
    </row>
    <row r="279" spans="2:24">
      <c r="B279" s="24"/>
      <c r="C279" s="47"/>
      <c r="D279" s="26"/>
      <c r="E279" s="27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151"/>
      <c r="T279" s="151"/>
      <c r="U279" s="151"/>
      <c r="V279" s="73"/>
      <c r="W279" s="28"/>
      <c r="X279" s="24"/>
    </row>
    <row r="280" spans="2:24">
      <c r="B280" s="24"/>
      <c r="C280" s="47"/>
      <c r="D280" s="26"/>
      <c r="E280" s="27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151"/>
      <c r="T280" s="151"/>
      <c r="U280" s="151"/>
      <c r="V280" s="73"/>
      <c r="W280" s="28"/>
      <c r="X280" s="24"/>
    </row>
    <row r="281" spans="2:24">
      <c r="B281" s="24"/>
      <c r="C281" s="47"/>
      <c r="D281" s="26"/>
      <c r="E281" s="27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151"/>
      <c r="T281" s="151"/>
      <c r="U281" s="151"/>
      <c r="V281" s="73"/>
      <c r="W281" s="28"/>
      <c r="X281" s="24"/>
    </row>
    <row r="282" spans="2:24">
      <c r="B282" s="24"/>
      <c r="C282" s="47"/>
      <c r="D282" s="26"/>
      <c r="E282" s="27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151"/>
      <c r="T282" s="151"/>
      <c r="U282" s="151"/>
      <c r="V282" s="73"/>
      <c r="W282" s="28"/>
      <c r="X282" s="24"/>
    </row>
    <row r="283" spans="2:24">
      <c r="B283" s="24"/>
      <c r="C283" s="47"/>
      <c r="D283" s="26"/>
      <c r="E283" s="27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151"/>
      <c r="T283" s="151"/>
      <c r="U283" s="151"/>
      <c r="V283" s="73"/>
      <c r="W283" s="28"/>
      <c r="X283" s="24"/>
    </row>
    <row r="284" spans="2:24">
      <c r="B284" s="24"/>
      <c r="C284" s="47"/>
      <c r="D284" s="26"/>
      <c r="E284" s="27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151"/>
      <c r="T284" s="151"/>
      <c r="U284" s="151"/>
      <c r="V284" s="73"/>
      <c r="W284" s="28"/>
      <c r="X284" s="24"/>
    </row>
    <row r="285" spans="2:24">
      <c r="B285" s="24"/>
      <c r="C285" s="47"/>
      <c r="D285" s="26"/>
      <c r="E285" s="27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151"/>
      <c r="T285" s="151"/>
      <c r="U285" s="151"/>
      <c r="V285" s="73"/>
      <c r="W285" s="28"/>
      <c r="X285" s="24"/>
    </row>
    <row r="286" spans="2:24">
      <c r="B286" s="24"/>
      <c r="C286" s="47"/>
      <c r="D286" s="26"/>
      <c r="E286" s="27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151"/>
      <c r="T286" s="151"/>
      <c r="U286" s="151"/>
      <c r="V286" s="73"/>
      <c r="W286" s="28"/>
      <c r="X286" s="24"/>
    </row>
    <row r="287" spans="2:24">
      <c r="B287" s="24"/>
      <c r="C287" s="47"/>
      <c r="D287" s="26"/>
      <c r="E287" s="27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151"/>
      <c r="T287" s="151"/>
      <c r="U287" s="151"/>
      <c r="V287" s="73"/>
      <c r="W287" s="28"/>
      <c r="X287" s="24"/>
    </row>
    <row r="288" spans="2:24">
      <c r="B288" s="24"/>
      <c r="C288" s="47"/>
      <c r="D288" s="26"/>
      <c r="E288" s="27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151"/>
      <c r="T288" s="151"/>
      <c r="U288" s="151"/>
      <c r="V288" s="73"/>
      <c r="W288" s="28"/>
      <c r="X288" s="24"/>
    </row>
    <row r="289" spans="2:24">
      <c r="B289" s="24"/>
      <c r="C289" s="47"/>
      <c r="D289" s="26"/>
      <c r="E289" s="27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151"/>
      <c r="T289" s="151"/>
      <c r="U289" s="151"/>
      <c r="V289" s="73"/>
      <c r="W289" s="28"/>
      <c r="X289" s="24"/>
    </row>
    <row r="290" spans="2:24">
      <c r="B290" s="24"/>
      <c r="C290" s="47"/>
      <c r="D290" s="26"/>
      <c r="E290" s="27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151"/>
      <c r="T290" s="151"/>
      <c r="U290" s="151"/>
      <c r="V290" s="73"/>
      <c r="W290" s="28"/>
      <c r="X290" s="24"/>
    </row>
    <row r="291" spans="2:24">
      <c r="B291" s="24"/>
      <c r="C291" s="47"/>
      <c r="D291" s="26"/>
      <c r="E291" s="27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151"/>
      <c r="T291" s="151"/>
      <c r="U291" s="151"/>
      <c r="V291" s="73"/>
      <c r="W291" s="28"/>
      <c r="X291" s="24"/>
    </row>
    <row r="292" spans="2:24">
      <c r="B292" s="24"/>
      <c r="C292" s="47"/>
      <c r="D292" s="26"/>
      <c r="E292" s="27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151"/>
      <c r="T292" s="151"/>
      <c r="U292" s="151"/>
      <c r="V292" s="73"/>
      <c r="W292" s="28"/>
      <c r="X292" s="24"/>
    </row>
    <row r="293" spans="2:24">
      <c r="B293" s="24"/>
      <c r="C293" s="47"/>
      <c r="D293" s="26"/>
      <c r="E293" s="27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151"/>
      <c r="T293" s="151"/>
      <c r="U293" s="151"/>
      <c r="V293" s="73"/>
      <c r="W293" s="28"/>
      <c r="X293" s="24"/>
    </row>
    <row r="294" spans="2:24">
      <c r="B294" s="24"/>
      <c r="C294" s="47"/>
      <c r="D294" s="26"/>
      <c r="E294" s="27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151"/>
      <c r="T294" s="151"/>
      <c r="U294" s="151"/>
      <c r="V294" s="73"/>
      <c r="W294" s="28"/>
      <c r="X294" s="24"/>
    </row>
    <row r="295" spans="2:24">
      <c r="B295" s="24"/>
      <c r="C295" s="47"/>
      <c r="D295" s="26"/>
      <c r="E295" s="27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151"/>
      <c r="T295" s="151"/>
      <c r="U295" s="151"/>
      <c r="V295" s="73"/>
      <c r="W295" s="28"/>
      <c r="X295" s="24"/>
    </row>
    <row r="296" spans="2:24">
      <c r="B296" s="24"/>
      <c r="C296" s="47"/>
      <c r="D296" s="26"/>
      <c r="E296" s="27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151"/>
      <c r="T296" s="151"/>
      <c r="U296" s="151"/>
      <c r="V296" s="73"/>
      <c r="W296" s="28"/>
      <c r="X296" s="24"/>
    </row>
    <row r="297" spans="2:24">
      <c r="B297" s="24"/>
      <c r="C297" s="47"/>
      <c r="D297" s="26"/>
      <c r="E297" s="27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151"/>
      <c r="T297" s="151"/>
      <c r="U297" s="151"/>
      <c r="V297" s="73"/>
      <c r="W297" s="28"/>
      <c r="X297" s="24"/>
    </row>
    <row r="298" spans="2:24">
      <c r="B298" s="24"/>
      <c r="C298" s="47"/>
      <c r="D298" s="26"/>
      <c r="E298" s="27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151"/>
      <c r="T298" s="151"/>
      <c r="U298" s="151"/>
      <c r="V298" s="73"/>
      <c r="W298" s="28"/>
      <c r="X298" s="24"/>
    </row>
    <row r="299" spans="2:24">
      <c r="B299" s="24"/>
      <c r="C299" s="47"/>
      <c r="D299" s="26"/>
      <c r="E299" s="27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151"/>
      <c r="T299" s="151"/>
      <c r="U299" s="151"/>
      <c r="V299" s="73"/>
      <c r="W299" s="28"/>
      <c r="X299" s="24"/>
    </row>
    <row r="300" spans="2:24">
      <c r="B300" s="24"/>
      <c r="C300" s="47"/>
      <c r="D300" s="26"/>
      <c r="E300" s="27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151"/>
      <c r="T300" s="151"/>
      <c r="U300" s="151"/>
      <c r="V300" s="73"/>
      <c r="W300" s="28"/>
      <c r="X300" s="24"/>
    </row>
    <row r="301" spans="2:24">
      <c r="B301" s="24"/>
      <c r="C301" s="47"/>
      <c r="D301" s="26"/>
      <c r="E301" s="27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151"/>
      <c r="T301" s="151"/>
      <c r="U301" s="151"/>
      <c r="V301" s="73"/>
      <c r="W301" s="28"/>
      <c r="X301" s="24"/>
    </row>
    <row r="302" spans="2:24">
      <c r="B302" s="24"/>
      <c r="C302" s="47"/>
      <c r="D302" s="26"/>
      <c r="E302" s="27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151"/>
      <c r="T302" s="151"/>
      <c r="U302" s="151"/>
      <c r="V302" s="73"/>
      <c r="W302" s="28"/>
      <c r="X302" s="24"/>
    </row>
    <row r="303" spans="2:24">
      <c r="B303" s="24"/>
      <c r="C303" s="47"/>
      <c r="D303" s="26"/>
      <c r="E303" s="27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151"/>
      <c r="T303" s="151"/>
      <c r="U303" s="151"/>
      <c r="V303" s="73"/>
      <c r="W303" s="28"/>
      <c r="X303" s="24"/>
    </row>
    <row r="304" spans="2:24">
      <c r="B304" s="24"/>
      <c r="C304" s="47"/>
      <c r="D304" s="26"/>
      <c r="E304" s="27"/>
      <c r="F304" s="25"/>
      <c r="G304" s="25"/>
      <c r="H304" s="25"/>
      <c r="I304" s="25"/>
      <c r="J304" s="25"/>
      <c r="K304" s="25"/>
      <c r="L304" s="25"/>
      <c r="M304" s="25"/>
      <c r="N304" s="25"/>
      <c r="O304" s="25"/>
      <c r="P304" s="25"/>
      <c r="Q304" s="25"/>
      <c r="R304" s="25"/>
      <c r="S304" s="151"/>
      <c r="T304" s="151"/>
      <c r="U304" s="151"/>
      <c r="V304" s="73"/>
      <c r="W304" s="28"/>
      <c r="X304" s="24"/>
    </row>
    <row r="305" spans="2:24">
      <c r="B305" s="24"/>
      <c r="C305" s="47"/>
      <c r="D305" s="26"/>
      <c r="E305" s="27"/>
      <c r="F305" s="25"/>
      <c r="G305" s="25"/>
      <c r="H305" s="25"/>
      <c r="I305" s="25"/>
      <c r="J305" s="25"/>
      <c r="K305" s="25"/>
      <c r="L305" s="25"/>
      <c r="M305" s="25"/>
      <c r="N305" s="25"/>
      <c r="O305" s="25"/>
      <c r="P305" s="25"/>
      <c r="Q305" s="25"/>
      <c r="R305" s="25"/>
      <c r="S305" s="151"/>
      <c r="T305" s="151"/>
      <c r="U305" s="151"/>
      <c r="V305" s="73"/>
      <c r="W305" s="28"/>
      <c r="X305" s="24"/>
    </row>
    <row r="306" spans="2:24">
      <c r="B306" s="24"/>
      <c r="C306" s="47"/>
      <c r="D306" s="26"/>
      <c r="E306" s="27"/>
      <c r="F306" s="25"/>
      <c r="G306" s="25"/>
      <c r="H306" s="25"/>
      <c r="I306" s="25"/>
      <c r="J306" s="25"/>
      <c r="K306" s="25"/>
      <c r="L306" s="25"/>
      <c r="M306" s="25"/>
      <c r="N306" s="25"/>
      <c r="O306" s="25"/>
      <c r="P306" s="25"/>
      <c r="Q306" s="25"/>
      <c r="R306" s="25"/>
      <c r="S306" s="151"/>
      <c r="T306" s="151"/>
      <c r="U306" s="151"/>
      <c r="V306" s="73"/>
      <c r="W306" s="28"/>
      <c r="X306" s="24"/>
    </row>
    <row r="307" spans="2:24">
      <c r="B307" s="24"/>
      <c r="C307" s="47"/>
      <c r="D307" s="26"/>
      <c r="E307" s="27"/>
      <c r="F307" s="25"/>
      <c r="G307" s="25"/>
      <c r="H307" s="25"/>
      <c r="I307" s="25"/>
      <c r="J307" s="25"/>
      <c r="K307" s="25"/>
      <c r="L307" s="25"/>
      <c r="M307" s="25"/>
      <c r="N307" s="25"/>
      <c r="O307" s="25"/>
      <c r="P307" s="25"/>
      <c r="Q307" s="25"/>
      <c r="R307" s="25"/>
      <c r="S307" s="151"/>
      <c r="T307" s="151"/>
      <c r="U307" s="151"/>
      <c r="V307" s="73"/>
      <c r="W307" s="28"/>
      <c r="X307" s="24"/>
    </row>
    <row r="308" spans="2:24">
      <c r="B308" s="24"/>
      <c r="C308" s="47"/>
      <c r="D308" s="26"/>
      <c r="E308" s="27"/>
      <c r="F308" s="25"/>
      <c r="G308" s="25"/>
      <c r="H308" s="25"/>
      <c r="I308" s="25"/>
      <c r="J308" s="25"/>
      <c r="K308" s="25"/>
      <c r="L308" s="25"/>
      <c r="M308" s="25"/>
      <c r="N308" s="25"/>
      <c r="O308" s="25"/>
      <c r="P308" s="25"/>
      <c r="Q308" s="25"/>
      <c r="R308" s="25"/>
      <c r="S308" s="151"/>
      <c r="T308" s="151"/>
      <c r="U308" s="151"/>
      <c r="V308" s="73"/>
      <c r="W308" s="28"/>
      <c r="X308" s="24"/>
    </row>
    <row r="309" spans="2:24">
      <c r="B309" s="24"/>
      <c r="C309" s="47"/>
      <c r="D309" s="26"/>
      <c r="E309" s="27"/>
      <c r="F309" s="25"/>
      <c r="G309" s="25"/>
      <c r="H309" s="25"/>
      <c r="I309" s="25"/>
      <c r="J309" s="25"/>
      <c r="K309" s="25"/>
      <c r="L309" s="25"/>
      <c r="M309" s="25"/>
      <c r="N309" s="25"/>
      <c r="O309" s="25"/>
      <c r="P309" s="25"/>
      <c r="Q309" s="25"/>
      <c r="R309" s="25"/>
      <c r="S309" s="151"/>
      <c r="T309" s="151"/>
      <c r="U309" s="151"/>
      <c r="V309" s="73"/>
      <c r="W309" s="28"/>
      <c r="X309" s="24"/>
    </row>
    <row r="310" spans="2:24">
      <c r="B310" s="24"/>
      <c r="C310" s="47"/>
      <c r="D310" s="26"/>
      <c r="E310" s="27"/>
      <c r="F310" s="25"/>
      <c r="G310" s="25"/>
      <c r="H310" s="25"/>
      <c r="I310" s="25"/>
      <c r="J310" s="25"/>
      <c r="K310" s="25"/>
      <c r="L310" s="25"/>
      <c r="M310" s="25"/>
      <c r="N310" s="25"/>
      <c r="O310" s="25"/>
      <c r="P310" s="25"/>
      <c r="Q310" s="25"/>
      <c r="R310" s="25"/>
      <c r="S310" s="151"/>
      <c r="T310" s="151"/>
      <c r="U310" s="151"/>
      <c r="V310" s="73"/>
      <c r="W310" s="28"/>
      <c r="X310" s="24"/>
    </row>
    <row r="311" spans="2:24">
      <c r="B311" s="24"/>
      <c r="C311" s="47"/>
      <c r="D311" s="26"/>
      <c r="E311" s="27"/>
      <c r="F311" s="25"/>
      <c r="G311" s="25"/>
      <c r="H311" s="25"/>
      <c r="I311" s="25"/>
      <c r="J311" s="25"/>
      <c r="K311" s="25"/>
      <c r="L311" s="25"/>
      <c r="M311" s="25"/>
      <c r="N311" s="25"/>
      <c r="O311" s="25"/>
      <c r="P311" s="25"/>
      <c r="Q311" s="25"/>
      <c r="R311" s="25"/>
      <c r="S311" s="151"/>
      <c r="T311" s="151"/>
      <c r="U311" s="151"/>
      <c r="V311" s="73"/>
      <c r="W311" s="28"/>
      <c r="X311" s="24"/>
    </row>
    <row r="312" spans="2:24">
      <c r="B312" s="24"/>
      <c r="C312" s="47"/>
      <c r="D312" s="26"/>
      <c r="E312" s="27"/>
      <c r="F312" s="25"/>
      <c r="G312" s="25"/>
      <c r="H312" s="25"/>
      <c r="I312" s="25"/>
      <c r="J312" s="25"/>
      <c r="K312" s="25"/>
      <c r="L312" s="25"/>
      <c r="M312" s="25"/>
      <c r="N312" s="25"/>
      <c r="O312" s="25"/>
      <c r="P312" s="25"/>
      <c r="Q312" s="25"/>
      <c r="R312" s="25"/>
      <c r="S312" s="151"/>
      <c r="T312" s="151"/>
      <c r="U312" s="151"/>
      <c r="V312" s="73"/>
      <c r="W312" s="28"/>
      <c r="X312" s="24"/>
    </row>
    <row r="313" spans="2:24">
      <c r="B313" s="24"/>
      <c r="C313" s="47"/>
      <c r="D313" s="26"/>
      <c r="E313" s="27"/>
      <c r="F313" s="25"/>
      <c r="G313" s="25"/>
      <c r="H313" s="25"/>
      <c r="I313" s="25"/>
      <c r="J313" s="25"/>
      <c r="K313" s="25"/>
      <c r="L313" s="25"/>
      <c r="M313" s="25"/>
      <c r="N313" s="25"/>
      <c r="O313" s="25"/>
      <c r="P313" s="25"/>
      <c r="Q313" s="25"/>
      <c r="R313" s="25"/>
      <c r="S313" s="151"/>
      <c r="T313" s="151"/>
      <c r="U313" s="151"/>
      <c r="V313" s="73"/>
      <c r="W313" s="28"/>
      <c r="X313" s="24"/>
    </row>
    <row r="314" spans="2:24">
      <c r="B314" s="24"/>
      <c r="C314" s="47"/>
      <c r="D314" s="26"/>
      <c r="E314" s="27"/>
      <c r="F314" s="25"/>
      <c r="G314" s="25"/>
      <c r="H314" s="25"/>
      <c r="I314" s="25"/>
      <c r="J314" s="25"/>
      <c r="K314" s="25"/>
      <c r="L314" s="25"/>
      <c r="M314" s="25"/>
      <c r="N314" s="25"/>
      <c r="O314" s="25"/>
      <c r="P314" s="25"/>
      <c r="Q314" s="25"/>
      <c r="R314" s="25"/>
      <c r="S314" s="151"/>
      <c r="T314" s="151"/>
      <c r="U314" s="151"/>
      <c r="V314" s="73"/>
      <c r="W314" s="28"/>
      <c r="X314" s="24"/>
    </row>
    <row r="315" spans="2:24">
      <c r="B315" s="24"/>
      <c r="C315" s="47"/>
      <c r="D315" s="26"/>
      <c r="E315" s="27"/>
      <c r="F315" s="25"/>
      <c r="G315" s="25"/>
      <c r="H315" s="25"/>
      <c r="I315" s="25"/>
      <c r="J315" s="25"/>
      <c r="K315" s="25"/>
      <c r="L315" s="25"/>
      <c r="M315" s="25"/>
      <c r="N315" s="25"/>
      <c r="O315" s="25"/>
      <c r="P315" s="25"/>
      <c r="Q315" s="25"/>
      <c r="R315" s="25"/>
      <c r="S315" s="151"/>
      <c r="T315" s="151"/>
      <c r="U315" s="151"/>
      <c r="V315" s="73"/>
      <c r="W315" s="28"/>
      <c r="X315" s="24"/>
    </row>
    <row r="316" spans="2:24">
      <c r="B316" s="24"/>
      <c r="C316" s="47"/>
      <c r="D316" s="26"/>
      <c r="E316" s="27"/>
      <c r="F316" s="25"/>
      <c r="G316" s="25"/>
      <c r="H316" s="25"/>
      <c r="I316" s="25"/>
      <c r="J316" s="25"/>
      <c r="K316" s="25"/>
      <c r="L316" s="25"/>
      <c r="M316" s="25"/>
      <c r="N316" s="25"/>
      <c r="O316" s="25"/>
      <c r="P316" s="25"/>
      <c r="Q316" s="25"/>
      <c r="R316" s="25"/>
      <c r="S316" s="151"/>
      <c r="T316" s="151"/>
      <c r="U316" s="151"/>
      <c r="V316" s="73"/>
      <c r="W316" s="28"/>
      <c r="X316" s="24"/>
    </row>
    <row r="317" spans="2:24">
      <c r="B317" s="24"/>
      <c r="C317" s="47"/>
      <c r="D317" s="26"/>
      <c r="E317" s="27"/>
      <c r="F317" s="25"/>
      <c r="G317" s="25"/>
      <c r="H317" s="25"/>
      <c r="I317" s="25"/>
      <c r="J317" s="25"/>
      <c r="K317" s="25"/>
      <c r="L317" s="25"/>
      <c r="M317" s="25"/>
      <c r="N317" s="25"/>
      <c r="O317" s="25"/>
      <c r="P317" s="25"/>
      <c r="Q317" s="25"/>
      <c r="R317" s="25"/>
      <c r="S317" s="151"/>
      <c r="T317" s="151"/>
      <c r="U317" s="151"/>
      <c r="V317" s="73"/>
      <c r="W317" s="28"/>
      <c r="X317" s="24"/>
    </row>
    <row r="318" spans="2:24">
      <c r="B318" s="24"/>
      <c r="C318" s="47"/>
      <c r="D318" s="26"/>
      <c r="E318" s="27"/>
      <c r="F318" s="25"/>
      <c r="G318" s="25"/>
      <c r="H318" s="25"/>
      <c r="I318" s="25"/>
      <c r="J318" s="25"/>
      <c r="K318" s="25"/>
      <c r="L318" s="25"/>
      <c r="M318" s="25"/>
      <c r="N318" s="25"/>
      <c r="O318" s="25"/>
      <c r="P318" s="25"/>
      <c r="Q318" s="25"/>
      <c r="R318" s="25"/>
      <c r="S318" s="151"/>
      <c r="T318" s="151"/>
      <c r="U318" s="151"/>
      <c r="V318" s="73"/>
      <c r="W318" s="28"/>
      <c r="X318" s="24"/>
    </row>
    <row r="319" spans="2:24">
      <c r="B319" s="24"/>
      <c r="C319" s="47"/>
      <c r="D319" s="26"/>
      <c r="E319" s="27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151"/>
      <c r="T319" s="151"/>
      <c r="U319" s="151"/>
      <c r="V319" s="73"/>
      <c r="W319" s="28"/>
      <c r="X319" s="24"/>
    </row>
    <row r="320" spans="2:24">
      <c r="B320" s="24"/>
      <c r="C320" s="47"/>
      <c r="D320" s="26"/>
      <c r="E320" s="27"/>
      <c r="F320" s="25"/>
      <c r="G320" s="25"/>
      <c r="H320" s="25"/>
      <c r="I320" s="25"/>
      <c r="J320" s="25"/>
      <c r="K320" s="25"/>
      <c r="L320" s="25"/>
      <c r="M320" s="25"/>
      <c r="N320" s="25"/>
      <c r="O320" s="25"/>
      <c r="P320" s="25"/>
      <c r="Q320" s="25"/>
      <c r="R320" s="25"/>
      <c r="S320" s="151"/>
      <c r="T320" s="151"/>
      <c r="U320" s="151"/>
      <c r="V320" s="73"/>
      <c r="W320" s="28"/>
      <c r="X320" s="24"/>
    </row>
    <row r="321" spans="2:24">
      <c r="B321" s="24"/>
      <c r="C321" s="47"/>
      <c r="D321" s="26"/>
      <c r="E321" s="27"/>
      <c r="F321" s="25"/>
      <c r="G321" s="25"/>
      <c r="H321" s="25"/>
      <c r="I321" s="25"/>
      <c r="J321" s="25"/>
      <c r="K321" s="25"/>
      <c r="L321" s="25"/>
      <c r="M321" s="25"/>
      <c r="N321" s="25"/>
      <c r="O321" s="25"/>
      <c r="P321" s="25"/>
      <c r="Q321" s="25"/>
      <c r="R321" s="25"/>
      <c r="S321" s="151"/>
      <c r="T321" s="151"/>
      <c r="U321" s="151"/>
      <c r="V321" s="73"/>
      <c r="W321" s="28"/>
      <c r="X321" s="24"/>
    </row>
    <row r="322" spans="2:24">
      <c r="B322" s="24"/>
      <c r="C322" s="47"/>
      <c r="D322" s="26"/>
      <c r="E322" s="27"/>
      <c r="F322" s="25"/>
      <c r="G322" s="25"/>
      <c r="H322" s="25"/>
      <c r="I322" s="25"/>
      <c r="J322" s="25"/>
      <c r="K322" s="25"/>
      <c r="L322" s="25"/>
      <c r="M322" s="25"/>
      <c r="N322" s="25"/>
      <c r="O322" s="25"/>
      <c r="P322" s="25"/>
      <c r="Q322" s="25"/>
      <c r="R322" s="25"/>
      <c r="S322" s="151"/>
      <c r="T322" s="151"/>
      <c r="U322" s="151"/>
      <c r="V322" s="73"/>
      <c r="W322" s="28"/>
      <c r="X322" s="24"/>
    </row>
    <row r="323" spans="2:24">
      <c r="B323" s="24"/>
      <c r="C323" s="47"/>
      <c r="D323" s="26"/>
      <c r="E323" s="27"/>
      <c r="F323" s="25"/>
      <c r="G323" s="25"/>
      <c r="H323" s="25"/>
      <c r="I323" s="25"/>
      <c r="J323" s="25"/>
      <c r="K323" s="25"/>
      <c r="L323" s="25"/>
      <c r="M323" s="25"/>
      <c r="N323" s="25"/>
      <c r="O323" s="25"/>
      <c r="P323" s="25"/>
      <c r="Q323" s="25"/>
      <c r="R323" s="25"/>
      <c r="S323" s="151"/>
      <c r="T323" s="151"/>
      <c r="U323" s="151"/>
      <c r="V323" s="73"/>
      <c r="W323" s="28"/>
      <c r="X323" s="24"/>
    </row>
    <row r="324" spans="2:24">
      <c r="B324" s="24"/>
      <c r="C324" s="47"/>
      <c r="D324" s="26"/>
      <c r="E324" s="27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151"/>
      <c r="T324" s="151"/>
      <c r="U324" s="151"/>
      <c r="V324" s="73"/>
      <c r="W324" s="28"/>
      <c r="X324" s="24"/>
    </row>
    <row r="325" spans="2:24">
      <c r="B325" s="24"/>
      <c r="C325" s="47"/>
      <c r="D325" s="26"/>
      <c r="E325" s="27"/>
      <c r="F325" s="25"/>
      <c r="G325" s="25"/>
      <c r="H325" s="25"/>
      <c r="I325" s="25"/>
      <c r="J325" s="25"/>
      <c r="K325" s="25"/>
      <c r="L325" s="25"/>
      <c r="M325" s="25"/>
      <c r="N325" s="25"/>
      <c r="O325" s="25"/>
      <c r="P325" s="25"/>
      <c r="Q325" s="25"/>
      <c r="R325" s="25"/>
      <c r="S325" s="151"/>
      <c r="T325" s="151"/>
      <c r="U325" s="151"/>
      <c r="V325" s="73"/>
      <c r="W325" s="28"/>
      <c r="X325" s="24"/>
    </row>
    <row r="326" spans="2:24">
      <c r="B326" s="24"/>
      <c r="C326" s="47"/>
      <c r="D326" s="26"/>
      <c r="E326" s="27"/>
      <c r="F326" s="25"/>
      <c r="G326" s="25"/>
      <c r="H326" s="25"/>
      <c r="I326" s="25"/>
      <c r="J326" s="25"/>
      <c r="K326" s="25"/>
      <c r="L326" s="25"/>
      <c r="M326" s="25"/>
      <c r="N326" s="25"/>
      <c r="O326" s="25"/>
      <c r="P326" s="25"/>
      <c r="Q326" s="25"/>
      <c r="R326" s="25"/>
      <c r="S326" s="151"/>
      <c r="T326" s="151"/>
      <c r="U326" s="151"/>
      <c r="V326" s="73"/>
      <c r="W326" s="28"/>
      <c r="X326" s="24"/>
    </row>
    <row r="327" spans="2:24">
      <c r="B327" s="24"/>
      <c r="C327" s="47"/>
      <c r="D327" s="26"/>
      <c r="E327" s="27"/>
      <c r="F327" s="25"/>
      <c r="G327" s="25"/>
      <c r="H327" s="25"/>
      <c r="I327" s="25"/>
      <c r="J327" s="25"/>
      <c r="K327" s="25"/>
      <c r="L327" s="25"/>
      <c r="M327" s="25"/>
      <c r="N327" s="25"/>
      <c r="O327" s="25"/>
      <c r="P327" s="25"/>
      <c r="Q327" s="25"/>
      <c r="R327" s="25"/>
      <c r="S327" s="151"/>
      <c r="T327" s="151"/>
      <c r="U327" s="151"/>
      <c r="V327" s="73"/>
      <c r="W327" s="28"/>
      <c r="X327" s="24"/>
    </row>
    <row r="328" spans="2:24">
      <c r="B328" s="24"/>
      <c r="C328" s="47"/>
      <c r="D328" s="26"/>
      <c r="E328" s="27"/>
      <c r="F328" s="25"/>
      <c r="G328" s="25"/>
      <c r="H328" s="25"/>
      <c r="I328" s="25"/>
      <c r="J328" s="25"/>
      <c r="K328" s="25"/>
      <c r="L328" s="25"/>
      <c r="M328" s="25"/>
      <c r="N328" s="25"/>
      <c r="O328" s="25"/>
      <c r="P328" s="25"/>
      <c r="Q328" s="25"/>
      <c r="R328" s="25"/>
      <c r="S328" s="151"/>
      <c r="T328" s="151"/>
      <c r="U328" s="151"/>
      <c r="V328" s="73"/>
      <c r="W328" s="28"/>
      <c r="X328" s="24"/>
    </row>
    <row r="329" spans="2:24">
      <c r="B329" s="24"/>
      <c r="C329" s="47"/>
      <c r="D329" s="26"/>
      <c r="E329" s="27"/>
      <c r="F329" s="25"/>
      <c r="G329" s="25"/>
      <c r="H329" s="25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151"/>
      <c r="T329" s="151"/>
      <c r="U329" s="151"/>
      <c r="V329" s="73"/>
      <c r="W329" s="28"/>
      <c r="X329" s="24"/>
    </row>
    <row r="330" spans="2:24">
      <c r="B330" s="24"/>
      <c r="C330" s="47"/>
      <c r="D330" s="26"/>
      <c r="E330" s="27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151"/>
      <c r="T330" s="151"/>
      <c r="U330" s="151"/>
      <c r="V330" s="73"/>
      <c r="W330" s="28"/>
      <c r="X330" s="24"/>
    </row>
    <row r="331" spans="2:24">
      <c r="B331" s="24"/>
      <c r="C331" s="47"/>
      <c r="D331" s="26"/>
      <c r="E331" s="27"/>
      <c r="F331" s="25"/>
      <c r="G331" s="25"/>
      <c r="H331" s="25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151"/>
      <c r="T331" s="151"/>
      <c r="U331" s="151"/>
      <c r="V331" s="73"/>
      <c r="W331" s="28"/>
      <c r="X331" s="24"/>
    </row>
    <row r="332" spans="2:24">
      <c r="B332" s="24"/>
      <c r="C332" s="47"/>
      <c r="D332" s="26"/>
      <c r="E332" s="27"/>
      <c r="F332" s="25"/>
      <c r="G332" s="25"/>
      <c r="H332" s="25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151"/>
      <c r="T332" s="151"/>
      <c r="U332" s="151"/>
      <c r="V332" s="73"/>
      <c r="W332" s="28"/>
      <c r="X332" s="24"/>
    </row>
    <row r="333" spans="2:24">
      <c r="B333" s="24"/>
      <c r="C333" s="47"/>
      <c r="D333" s="26"/>
      <c r="E333" s="27"/>
      <c r="F333" s="25"/>
      <c r="G333" s="25"/>
      <c r="H333" s="25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151"/>
      <c r="T333" s="151"/>
      <c r="U333" s="151"/>
      <c r="V333" s="73"/>
      <c r="W333" s="28"/>
      <c r="X333" s="24"/>
    </row>
    <row r="334" spans="2:24">
      <c r="B334" s="24"/>
      <c r="C334" s="47"/>
      <c r="D334" s="26"/>
      <c r="E334" s="27"/>
      <c r="F334" s="25"/>
      <c r="G334" s="25"/>
      <c r="H334" s="25"/>
      <c r="I334" s="25"/>
      <c r="J334" s="25"/>
      <c r="K334" s="25"/>
      <c r="L334" s="25"/>
      <c r="M334" s="25"/>
      <c r="N334" s="25"/>
      <c r="O334" s="25"/>
      <c r="P334" s="25"/>
      <c r="Q334" s="25"/>
      <c r="R334" s="25"/>
      <c r="S334" s="151"/>
      <c r="T334" s="151"/>
      <c r="U334" s="151"/>
      <c r="V334" s="73"/>
      <c r="W334" s="28"/>
      <c r="X334" s="24"/>
    </row>
    <row r="335" spans="2:24">
      <c r="B335" s="24"/>
      <c r="C335" s="47"/>
      <c r="D335" s="26"/>
      <c r="E335" s="27"/>
      <c r="F335" s="25"/>
      <c r="G335" s="25"/>
      <c r="H335" s="25"/>
      <c r="I335" s="25"/>
      <c r="J335" s="25"/>
      <c r="K335" s="25"/>
      <c r="L335" s="25"/>
      <c r="M335" s="25"/>
      <c r="N335" s="25"/>
      <c r="O335" s="25"/>
      <c r="P335" s="25"/>
      <c r="Q335" s="25"/>
      <c r="R335" s="25"/>
      <c r="S335" s="151"/>
      <c r="T335" s="151"/>
      <c r="U335" s="151"/>
      <c r="V335" s="73"/>
      <c r="W335" s="28"/>
      <c r="X335" s="24"/>
    </row>
    <row r="336" spans="2:24">
      <c r="B336" s="24"/>
      <c r="C336" s="47"/>
      <c r="D336" s="26"/>
      <c r="E336" s="27"/>
      <c r="F336" s="25"/>
      <c r="G336" s="25"/>
      <c r="H336" s="25"/>
      <c r="I336" s="25"/>
      <c r="J336" s="25"/>
      <c r="K336" s="25"/>
      <c r="L336" s="25"/>
      <c r="M336" s="25"/>
      <c r="N336" s="25"/>
      <c r="O336" s="25"/>
      <c r="P336" s="25"/>
      <c r="Q336" s="25"/>
      <c r="R336" s="25"/>
      <c r="S336" s="151"/>
      <c r="T336" s="151"/>
      <c r="U336" s="151"/>
      <c r="V336" s="73"/>
      <c r="W336" s="28"/>
      <c r="X336" s="24"/>
    </row>
    <row r="337" spans="2:24">
      <c r="B337" s="24"/>
      <c r="C337" s="47"/>
      <c r="D337" s="26"/>
      <c r="E337" s="27"/>
      <c r="F337" s="25"/>
      <c r="G337" s="25"/>
      <c r="H337" s="25"/>
      <c r="I337" s="25"/>
      <c r="J337" s="25"/>
      <c r="K337" s="25"/>
      <c r="L337" s="25"/>
      <c r="M337" s="25"/>
      <c r="N337" s="25"/>
      <c r="O337" s="25"/>
      <c r="P337" s="25"/>
      <c r="Q337" s="25"/>
      <c r="R337" s="25"/>
      <c r="S337" s="151"/>
      <c r="T337" s="151"/>
      <c r="U337" s="151"/>
      <c r="V337" s="73"/>
      <c r="W337" s="28"/>
      <c r="X337" s="24"/>
    </row>
    <row r="338" spans="2:24">
      <c r="B338" s="24"/>
      <c r="C338" s="47"/>
      <c r="D338" s="26"/>
      <c r="E338" s="27"/>
      <c r="F338" s="25"/>
      <c r="G338" s="25"/>
      <c r="H338" s="25"/>
      <c r="I338" s="25"/>
      <c r="J338" s="25"/>
      <c r="K338" s="25"/>
      <c r="L338" s="25"/>
      <c r="M338" s="25"/>
      <c r="N338" s="25"/>
      <c r="O338" s="25"/>
      <c r="P338" s="25"/>
      <c r="Q338" s="25"/>
      <c r="R338" s="25"/>
      <c r="S338" s="151"/>
      <c r="T338" s="151"/>
      <c r="U338" s="151"/>
      <c r="V338" s="73"/>
      <c r="W338" s="28"/>
      <c r="X338" s="24"/>
    </row>
    <row r="339" spans="2:24">
      <c r="B339" s="24"/>
      <c r="C339" s="47"/>
      <c r="D339" s="26"/>
      <c r="E339" s="27"/>
      <c r="F339" s="25"/>
      <c r="G339" s="25"/>
      <c r="H339" s="25"/>
      <c r="I339" s="25"/>
      <c r="J339" s="25"/>
      <c r="K339" s="25"/>
      <c r="L339" s="25"/>
      <c r="M339" s="25"/>
      <c r="N339" s="25"/>
      <c r="O339" s="25"/>
      <c r="P339" s="25"/>
      <c r="Q339" s="25"/>
      <c r="R339" s="25"/>
      <c r="S339" s="151"/>
      <c r="T339" s="151"/>
      <c r="U339" s="151"/>
      <c r="V339" s="73"/>
      <c r="W339" s="28"/>
      <c r="X339" s="24"/>
    </row>
    <row r="340" spans="2:24">
      <c r="B340" s="24"/>
      <c r="C340" s="47"/>
      <c r="D340" s="26"/>
      <c r="E340" s="27"/>
      <c r="F340" s="25"/>
      <c r="G340" s="25"/>
      <c r="H340" s="25"/>
      <c r="I340" s="25"/>
      <c r="J340" s="25"/>
      <c r="K340" s="25"/>
      <c r="L340" s="25"/>
      <c r="M340" s="25"/>
      <c r="N340" s="25"/>
      <c r="O340" s="25"/>
      <c r="P340" s="25"/>
      <c r="Q340" s="25"/>
      <c r="R340" s="25"/>
      <c r="S340" s="151"/>
      <c r="T340" s="151"/>
      <c r="U340" s="151"/>
      <c r="V340" s="73"/>
      <c r="W340" s="28"/>
      <c r="X340" s="24"/>
    </row>
    <row r="341" spans="2:24">
      <c r="B341" s="24"/>
      <c r="C341" s="47"/>
      <c r="D341" s="26"/>
      <c r="E341" s="27"/>
      <c r="F341" s="25"/>
      <c r="G341" s="25"/>
      <c r="H341" s="25"/>
      <c r="I341" s="25"/>
      <c r="J341" s="25"/>
      <c r="K341" s="25"/>
      <c r="L341" s="25"/>
      <c r="M341" s="25"/>
      <c r="N341" s="25"/>
      <c r="O341" s="25"/>
      <c r="P341" s="25"/>
      <c r="Q341" s="25"/>
      <c r="R341" s="25"/>
      <c r="S341" s="151"/>
      <c r="T341" s="151"/>
      <c r="U341" s="151"/>
      <c r="V341" s="73"/>
      <c r="W341" s="28"/>
      <c r="X341" s="24"/>
    </row>
    <row r="342" spans="2:24">
      <c r="B342" s="24"/>
      <c r="C342" s="47"/>
      <c r="D342" s="26"/>
      <c r="E342" s="27"/>
      <c r="F342" s="25"/>
      <c r="G342" s="25"/>
      <c r="H342" s="25"/>
      <c r="I342" s="25"/>
      <c r="J342" s="25"/>
      <c r="K342" s="25"/>
      <c r="L342" s="25"/>
      <c r="M342" s="25"/>
      <c r="N342" s="25"/>
      <c r="O342" s="25"/>
      <c r="P342" s="25"/>
      <c r="Q342" s="25"/>
      <c r="R342" s="25"/>
      <c r="S342" s="151"/>
      <c r="T342" s="151"/>
      <c r="U342" s="151"/>
      <c r="V342" s="73"/>
      <c r="W342" s="28"/>
      <c r="X342" s="24"/>
    </row>
    <row r="343" spans="2:24">
      <c r="B343" s="24"/>
      <c r="C343" s="47"/>
      <c r="D343" s="26"/>
      <c r="E343" s="27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151"/>
      <c r="T343" s="151"/>
      <c r="U343" s="151"/>
      <c r="V343" s="73"/>
      <c r="W343" s="28"/>
      <c r="X343" s="24"/>
    </row>
    <row r="344" spans="2:24">
      <c r="B344" s="24"/>
      <c r="C344" s="47"/>
      <c r="D344" s="26"/>
      <c r="E344" s="27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151"/>
      <c r="T344" s="151"/>
      <c r="U344" s="151"/>
      <c r="V344" s="73"/>
      <c r="W344" s="28"/>
      <c r="X344" s="24"/>
    </row>
    <row r="345" spans="2:24">
      <c r="B345" s="24"/>
      <c r="C345" s="47"/>
      <c r="D345" s="26"/>
      <c r="E345" s="27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151"/>
      <c r="T345" s="151"/>
      <c r="U345" s="151"/>
      <c r="V345" s="73"/>
      <c r="W345" s="28"/>
      <c r="X345" s="24"/>
    </row>
    <row r="346" spans="2:24">
      <c r="B346" s="24"/>
      <c r="C346" s="47"/>
      <c r="D346" s="26"/>
      <c r="E346" s="27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151"/>
      <c r="T346" s="151"/>
      <c r="U346" s="151"/>
      <c r="V346" s="73"/>
      <c r="W346" s="28"/>
      <c r="X346" s="24"/>
    </row>
    <row r="347" spans="2:24">
      <c r="B347" s="24"/>
      <c r="C347" s="47"/>
      <c r="D347" s="26"/>
      <c r="E347" s="27"/>
      <c r="F347" s="25"/>
      <c r="G347" s="25"/>
      <c r="H347" s="25"/>
      <c r="I347" s="25"/>
      <c r="J347" s="25"/>
      <c r="K347" s="25"/>
      <c r="L347" s="25"/>
      <c r="M347" s="25"/>
      <c r="N347" s="25"/>
      <c r="O347" s="25"/>
      <c r="P347" s="25"/>
      <c r="Q347" s="25"/>
      <c r="R347" s="25"/>
      <c r="S347" s="151"/>
      <c r="T347" s="151"/>
      <c r="U347" s="151"/>
      <c r="V347" s="73"/>
      <c r="W347" s="28"/>
      <c r="X347" s="24"/>
    </row>
    <row r="348" spans="2:24">
      <c r="B348" s="24"/>
      <c r="C348" s="47"/>
      <c r="D348" s="26"/>
      <c r="E348" s="27"/>
      <c r="F348" s="25"/>
      <c r="G348" s="25"/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151"/>
      <c r="T348" s="151"/>
      <c r="U348" s="151"/>
      <c r="V348" s="73"/>
      <c r="W348" s="28"/>
      <c r="X348" s="24"/>
    </row>
    <row r="349" spans="2:24">
      <c r="B349" s="24"/>
      <c r="C349" s="47"/>
      <c r="D349" s="26"/>
      <c r="E349" s="27"/>
      <c r="F349" s="25"/>
      <c r="G349" s="25"/>
      <c r="H349" s="25"/>
      <c r="I349" s="25"/>
      <c r="J349" s="25"/>
      <c r="K349" s="25"/>
      <c r="L349" s="25"/>
      <c r="M349" s="25"/>
      <c r="N349" s="25"/>
      <c r="O349" s="25"/>
      <c r="P349" s="25"/>
      <c r="Q349" s="25"/>
      <c r="R349" s="25"/>
      <c r="S349" s="151"/>
      <c r="T349" s="151"/>
      <c r="U349" s="151"/>
      <c r="V349" s="73"/>
      <c r="W349" s="28"/>
      <c r="X349" s="24"/>
    </row>
    <row r="350" spans="2:24">
      <c r="B350" s="24"/>
      <c r="C350" s="47"/>
      <c r="D350" s="26"/>
      <c r="E350" s="27"/>
      <c r="F350" s="25"/>
      <c r="G350" s="25"/>
      <c r="H350" s="25"/>
      <c r="I350" s="25"/>
      <c r="J350" s="25"/>
      <c r="K350" s="25"/>
      <c r="L350" s="25"/>
      <c r="M350" s="25"/>
      <c r="N350" s="25"/>
      <c r="O350" s="25"/>
      <c r="P350" s="25"/>
      <c r="Q350" s="25"/>
      <c r="R350" s="25"/>
      <c r="S350" s="151"/>
      <c r="T350" s="151"/>
      <c r="U350" s="151"/>
      <c r="V350" s="73"/>
      <c r="W350" s="28"/>
      <c r="X350" s="24"/>
    </row>
    <row r="351" spans="2:24">
      <c r="B351" s="24"/>
      <c r="C351" s="47"/>
      <c r="D351" s="26"/>
      <c r="E351" s="27"/>
      <c r="F351" s="25"/>
      <c r="G351" s="25"/>
      <c r="H351" s="25"/>
      <c r="I351" s="25"/>
      <c r="J351" s="25"/>
      <c r="K351" s="25"/>
      <c r="L351" s="25"/>
      <c r="M351" s="25"/>
      <c r="N351" s="25"/>
      <c r="O351" s="25"/>
      <c r="P351" s="25"/>
      <c r="Q351" s="25"/>
      <c r="R351" s="25"/>
      <c r="S351" s="151"/>
      <c r="T351" s="151"/>
      <c r="U351" s="151"/>
      <c r="V351" s="73"/>
      <c r="W351" s="28"/>
      <c r="X351" s="24"/>
    </row>
    <row r="352" spans="2:24">
      <c r="B352" s="24"/>
      <c r="C352" s="47"/>
      <c r="D352" s="26"/>
      <c r="E352" s="27"/>
      <c r="F352" s="25"/>
      <c r="G352" s="25"/>
      <c r="H352" s="25"/>
      <c r="I352" s="25"/>
      <c r="J352" s="25"/>
      <c r="K352" s="25"/>
      <c r="L352" s="25"/>
      <c r="M352" s="25"/>
      <c r="N352" s="25"/>
      <c r="O352" s="25"/>
      <c r="P352" s="25"/>
      <c r="Q352" s="25"/>
      <c r="R352" s="25"/>
      <c r="S352" s="151"/>
      <c r="T352" s="151"/>
      <c r="U352" s="151"/>
      <c r="V352" s="73"/>
      <c r="W352" s="28"/>
      <c r="X352" s="24"/>
    </row>
    <row r="353" spans="2:24">
      <c r="B353" s="24"/>
      <c r="C353" s="47"/>
      <c r="D353" s="26"/>
      <c r="E353" s="27"/>
      <c r="F353" s="25"/>
      <c r="G353" s="25"/>
      <c r="H353" s="25"/>
      <c r="I353" s="25"/>
      <c r="J353" s="25"/>
      <c r="K353" s="25"/>
      <c r="L353" s="25"/>
      <c r="M353" s="25"/>
      <c r="N353" s="25"/>
      <c r="O353" s="25"/>
      <c r="P353" s="25"/>
      <c r="Q353" s="25"/>
      <c r="R353" s="25"/>
      <c r="S353" s="151"/>
      <c r="T353" s="151"/>
      <c r="U353" s="151"/>
      <c r="V353" s="73"/>
      <c r="W353" s="28"/>
      <c r="X353" s="24"/>
    </row>
    <row r="354" spans="2:24">
      <c r="B354" s="24"/>
      <c r="C354" s="47"/>
      <c r="D354" s="26"/>
      <c r="E354" s="27"/>
      <c r="F354" s="25"/>
      <c r="G354" s="25"/>
      <c r="H354" s="25"/>
      <c r="I354" s="25"/>
      <c r="J354" s="25"/>
      <c r="K354" s="25"/>
      <c r="L354" s="25"/>
      <c r="M354" s="25"/>
      <c r="N354" s="25"/>
      <c r="O354" s="25"/>
      <c r="P354" s="25"/>
      <c r="Q354" s="25"/>
      <c r="R354" s="25"/>
      <c r="S354" s="151"/>
      <c r="T354" s="151"/>
      <c r="U354" s="151"/>
      <c r="V354" s="73"/>
      <c r="W354" s="28"/>
      <c r="X354" s="24"/>
    </row>
    <row r="355" spans="2:24">
      <c r="B355" s="24"/>
      <c r="C355" s="47"/>
      <c r="D355" s="26"/>
      <c r="E355" s="27"/>
      <c r="F355" s="25"/>
      <c r="G355" s="25"/>
      <c r="H355" s="25"/>
      <c r="I355" s="25"/>
      <c r="J355" s="25"/>
      <c r="K355" s="25"/>
      <c r="L355" s="25"/>
      <c r="M355" s="25"/>
      <c r="N355" s="25"/>
      <c r="O355" s="25"/>
      <c r="P355" s="25"/>
      <c r="Q355" s="25"/>
      <c r="R355" s="25"/>
      <c r="S355" s="151"/>
      <c r="T355" s="151"/>
      <c r="U355" s="151"/>
      <c r="V355" s="73"/>
      <c r="W355" s="28"/>
      <c r="X355" s="24"/>
    </row>
    <row r="356" spans="2:24">
      <c r="B356" s="24"/>
      <c r="C356" s="47"/>
      <c r="D356" s="26"/>
      <c r="E356" s="27"/>
      <c r="F356" s="25"/>
      <c r="G356" s="25"/>
      <c r="H356" s="25"/>
      <c r="I356" s="25"/>
      <c r="J356" s="25"/>
      <c r="K356" s="25"/>
      <c r="L356" s="25"/>
      <c r="M356" s="25"/>
      <c r="N356" s="25"/>
      <c r="O356" s="25"/>
      <c r="P356" s="25"/>
      <c r="Q356" s="25"/>
      <c r="R356" s="25"/>
      <c r="S356" s="151"/>
      <c r="T356" s="151"/>
      <c r="U356" s="151"/>
      <c r="V356" s="73"/>
      <c r="W356" s="28"/>
      <c r="X356" s="24"/>
    </row>
    <row r="357" spans="2:24">
      <c r="B357" s="24"/>
      <c r="C357" s="47"/>
      <c r="D357" s="26"/>
      <c r="E357" s="27"/>
      <c r="F357" s="25"/>
      <c r="G357" s="25"/>
      <c r="H357" s="25"/>
      <c r="I357" s="58"/>
      <c r="J357" s="25"/>
      <c r="K357" s="25"/>
      <c r="L357" s="25"/>
      <c r="M357" s="25"/>
      <c r="N357" s="25"/>
      <c r="O357" s="25"/>
      <c r="P357" s="25"/>
      <c r="Q357" s="25"/>
      <c r="R357" s="25"/>
      <c r="S357" s="151"/>
      <c r="T357" s="151"/>
      <c r="U357" s="151"/>
      <c r="V357" s="73"/>
      <c r="W357" s="28"/>
      <c r="X357" s="24"/>
    </row>
    <row r="358" spans="2:24">
      <c r="B358" s="24"/>
      <c r="C358" s="47"/>
      <c r="D358" s="26"/>
      <c r="E358" s="27"/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151"/>
      <c r="T358" s="151"/>
      <c r="U358" s="151"/>
      <c r="V358" s="73"/>
      <c r="W358" s="28"/>
      <c r="X358" s="24"/>
    </row>
    <row r="359" spans="2:24">
      <c r="B359" s="24"/>
      <c r="C359" s="47"/>
      <c r="D359" s="26"/>
      <c r="E359" s="27"/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151"/>
      <c r="T359" s="151"/>
      <c r="U359" s="151"/>
      <c r="V359" s="73"/>
      <c r="W359" s="28"/>
      <c r="X359" s="24"/>
    </row>
    <row r="360" spans="2:24">
      <c r="B360" s="24"/>
      <c r="C360" s="47"/>
      <c r="D360" s="26"/>
      <c r="E360" s="27"/>
      <c r="F360" s="25"/>
      <c r="G360" s="25"/>
      <c r="H360" s="25"/>
      <c r="I360" s="58"/>
      <c r="J360" s="25"/>
      <c r="K360" s="25"/>
      <c r="L360" s="25"/>
      <c r="M360" s="25"/>
      <c r="N360" s="25"/>
      <c r="O360" s="25"/>
      <c r="P360" s="25"/>
      <c r="Q360" s="25"/>
      <c r="R360" s="25"/>
      <c r="S360" s="151"/>
      <c r="T360" s="151"/>
      <c r="U360" s="151"/>
      <c r="V360" s="73"/>
      <c r="W360" s="28"/>
      <c r="X360" s="24"/>
    </row>
    <row r="361" spans="2:24">
      <c r="B361" s="24"/>
      <c r="C361" s="47"/>
      <c r="D361" s="26"/>
      <c r="E361" s="27"/>
      <c r="F361" s="25"/>
      <c r="G361" s="25"/>
      <c r="H361" s="25"/>
      <c r="I361" s="58"/>
      <c r="J361" s="25"/>
      <c r="K361" s="25"/>
      <c r="L361" s="25"/>
      <c r="M361" s="25"/>
      <c r="N361" s="25"/>
      <c r="O361" s="25"/>
      <c r="P361" s="25"/>
      <c r="Q361" s="25"/>
      <c r="R361" s="25"/>
      <c r="S361" s="151"/>
      <c r="T361" s="151"/>
      <c r="U361" s="151"/>
      <c r="V361" s="73"/>
      <c r="W361" s="28"/>
      <c r="X361" s="24"/>
    </row>
    <row r="362" spans="2:24">
      <c r="B362" s="24"/>
      <c r="C362" s="47"/>
      <c r="D362" s="26"/>
      <c r="E362" s="27"/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151"/>
      <c r="T362" s="151"/>
      <c r="U362" s="151"/>
      <c r="V362" s="73"/>
      <c r="W362" s="28"/>
      <c r="X362" s="24"/>
    </row>
    <row r="363" spans="2:24">
      <c r="B363" s="24"/>
      <c r="C363" s="47"/>
      <c r="D363" s="26"/>
      <c r="E363" s="27"/>
      <c r="F363" s="25"/>
      <c r="G363" s="25"/>
      <c r="H363" s="25"/>
      <c r="I363" s="25"/>
      <c r="J363" s="25"/>
      <c r="K363" s="25"/>
      <c r="L363" s="25"/>
      <c r="M363" s="25"/>
      <c r="N363" s="25"/>
      <c r="O363" s="25"/>
      <c r="P363" s="25"/>
      <c r="Q363" s="25"/>
      <c r="R363" s="25"/>
      <c r="S363" s="151"/>
      <c r="T363" s="151"/>
      <c r="U363" s="151"/>
      <c r="V363" s="73"/>
      <c r="W363" s="28"/>
      <c r="X363" s="24"/>
    </row>
    <row r="364" spans="2:24">
      <c r="B364" s="24"/>
      <c r="C364" s="47"/>
      <c r="D364" s="26"/>
      <c r="E364" s="27"/>
      <c r="F364" s="25"/>
      <c r="G364" s="25"/>
      <c r="H364" s="25"/>
      <c r="I364" s="25"/>
      <c r="J364" s="25"/>
      <c r="K364" s="25"/>
      <c r="L364" s="25"/>
      <c r="M364" s="25"/>
      <c r="N364" s="25"/>
      <c r="O364" s="25"/>
      <c r="P364" s="25"/>
      <c r="Q364" s="25"/>
      <c r="R364" s="25"/>
      <c r="S364" s="151"/>
      <c r="T364" s="151"/>
      <c r="U364" s="151"/>
      <c r="V364" s="73"/>
      <c r="W364" s="28"/>
      <c r="X364" s="24"/>
    </row>
    <row r="365" spans="2:24">
      <c r="B365" s="24"/>
      <c r="C365" s="47"/>
      <c r="D365" s="26"/>
      <c r="E365" s="27"/>
      <c r="F365" s="25"/>
      <c r="G365" s="25"/>
      <c r="H365" s="25"/>
      <c r="I365" s="25"/>
      <c r="J365" s="25"/>
      <c r="K365" s="25"/>
      <c r="L365" s="25"/>
      <c r="M365" s="25"/>
      <c r="N365" s="25"/>
      <c r="O365" s="25"/>
      <c r="P365" s="25"/>
      <c r="Q365" s="25"/>
      <c r="R365" s="25"/>
      <c r="S365" s="151"/>
      <c r="T365" s="151"/>
      <c r="U365" s="151"/>
      <c r="V365" s="73"/>
      <c r="W365" s="28"/>
      <c r="X365" s="24"/>
    </row>
    <row r="366" spans="2:24">
      <c r="B366" s="24"/>
      <c r="C366" s="47"/>
      <c r="D366" s="26"/>
      <c r="E366" s="27"/>
      <c r="F366" s="25"/>
      <c r="G366" s="25"/>
      <c r="H366" s="25"/>
      <c r="I366" s="25"/>
      <c r="J366" s="25"/>
      <c r="K366" s="25"/>
      <c r="L366" s="25"/>
      <c r="M366" s="25"/>
      <c r="N366" s="25"/>
      <c r="O366" s="25"/>
      <c r="P366" s="25"/>
      <c r="Q366" s="25"/>
      <c r="R366" s="25"/>
      <c r="S366" s="151"/>
      <c r="T366" s="151"/>
      <c r="U366" s="151"/>
      <c r="V366" s="73"/>
      <c r="W366" s="28"/>
      <c r="X366" s="24"/>
    </row>
    <row r="367" spans="2:24">
      <c r="B367" s="24"/>
      <c r="C367" s="47"/>
      <c r="D367" s="26"/>
      <c r="E367" s="27"/>
      <c r="F367" s="25"/>
      <c r="G367" s="25"/>
      <c r="H367" s="25"/>
      <c r="I367" s="25"/>
      <c r="J367" s="25"/>
      <c r="K367" s="25"/>
      <c r="L367" s="25"/>
      <c r="M367" s="25"/>
      <c r="N367" s="25"/>
      <c r="O367" s="25"/>
      <c r="P367" s="25"/>
      <c r="Q367" s="25"/>
      <c r="R367" s="25"/>
      <c r="S367" s="151"/>
      <c r="T367" s="151"/>
      <c r="U367" s="151"/>
      <c r="V367" s="73"/>
      <c r="W367" s="28"/>
      <c r="X367" s="24"/>
    </row>
    <row r="368" spans="2:24">
      <c r="B368" s="24"/>
      <c r="C368" s="47"/>
      <c r="D368" s="26"/>
      <c r="E368" s="27"/>
      <c r="F368" s="25"/>
      <c r="G368" s="25"/>
      <c r="H368" s="25"/>
      <c r="I368" s="25"/>
      <c r="J368" s="25"/>
      <c r="K368" s="25"/>
      <c r="L368" s="25"/>
      <c r="M368" s="25"/>
      <c r="N368" s="25"/>
      <c r="O368" s="25"/>
      <c r="P368" s="25"/>
      <c r="Q368" s="25"/>
      <c r="R368" s="25"/>
      <c r="S368" s="151"/>
      <c r="T368" s="151"/>
      <c r="U368" s="151"/>
      <c r="V368" s="73"/>
      <c r="W368" s="28"/>
      <c r="X368" s="24"/>
    </row>
    <row r="369" spans="2:24">
      <c r="B369" s="24"/>
      <c r="C369" s="47"/>
      <c r="D369" s="26"/>
      <c r="E369" s="27"/>
      <c r="F369" s="25"/>
      <c r="G369" s="25"/>
      <c r="H369" s="25"/>
      <c r="I369" s="25"/>
      <c r="J369" s="25"/>
      <c r="K369" s="25"/>
      <c r="L369" s="25"/>
      <c r="M369" s="25"/>
      <c r="N369" s="25"/>
      <c r="O369" s="25"/>
      <c r="P369" s="25"/>
      <c r="Q369" s="25"/>
      <c r="R369" s="25"/>
      <c r="S369" s="151"/>
      <c r="T369" s="151"/>
      <c r="U369" s="151"/>
      <c r="V369" s="73"/>
      <c r="W369" s="28"/>
      <c r="X369" s="24"/>
    </row>
    <row r="370" spans="2:24">
      <c r="B370" s="24"/>
      <c r="C370" s="47"/>
      <c r="D370" s="26"/>
      <c r="E370" s="27"/>
      <c r="F370" s="25"/>
      <c r="G370" s="25"/>
      <c r="H370" s="25"/>
      <c r="I370" s="25"/>
      <c r="J370" s="25"/>
      <c r="K370" s="25"/>
      <c r="L370" s="25"/>
      <c r="M370" s="25"/>
      <c r="N370" s="25"/>
      <c r="O370" s="25"/>
      <c r="P370" s="25"/>
      <c r="Q370" s="25"/>
      <c r="R370" s="25"/>
      <c r="S370" s="151"/>
      <c r="T370" s="151"/>
      <c r="U370" s="151"/>
      <c r="V370" s="73"/>
      <c r="W370" s="28"/>
      <c r="X370" s="24"/>
    </row>
    <row r="371" spans="2:24">
      <c r="B371" s="24"/>
      <c r="C371" s="47"/>
      <c r="D371" s="26"/>
      <c r="E371" s="27"/>
      <c r="F371" s="25"/>
      <c r="G371" s="25"/>
      <c r="H371" s="25"/>
      <c r="I371" s="25"/>
      <c r="J371" s="25"/>
      <c r="K371" s="25"/>
      <c r="L371" s="25"/>
      <c r="M371" s="25"/>
      <c r="N371" s="25"/>
      <c r="O371" s="25"/>
      <c r="P371" s="25"/>
      <c r="Q371" s="25"/>
      <c r="R371" s="25"/>
      <c r="S371" s="151"/>
      <c r="T371" s="151"/>
      <c r="U371" s="151"/>
      <c r="V371" s="73"/>
      <c r="W371" s="28"/>
      <c r="X371" s="24"/>
    </row>
    <row r="372" spans="2:24">
      <c r="B372" s="24"/>
      <c r="C372" s="47"/>
      <c r="D372" s="26"/>
      <c r="E372" s="27"/>
      <c r="F372" s="25"/>
      <c r="G372" s="25"/>
      <c r="H372" s="25"/>
      <c r="I372" s="25"/>
      <c r="J372" s="25"/>
      <c r="K372" s="25"/>
      <c r="L372" s="25"/>
      <c r="M372" s="25"/>
      <c r="N372" s="25"/>
      <c r="O372" s="25"/>
      <c r="P372" s="25"/>
      <c r="Q372" s="25"/>
      <c r="R372" s="25"/>
      <c r="S372" s="151"/>
      <c r="T372" s="151"/>
      <c r="U372" s="151"/>
      <c r="V372" s="73"/>
      <c r="W372" s="28"/>
      <c r="X372" s="24"/>
    </row>
    <row r="373" spans="2:24">
      <c r="B373" s="24"/>
      <c r="C373" s="47"/>
      <c r="D373" s="26"/>
      <c r="E373" s="27"/>
      <c r="F373" s="25"/>
      <c r="G373" s="25"/>
      <c r="H373" s="25"/>
      <c r="I373" s="25"/>
      <c r="J373" s="25"/>
      <c r="K373" s="25"/>
      <c r="L373" s="25"/>
      <c r="M373" s="25"/>
      <c r="N373" s="25"/>
      <c r="O373" s="25"/>
      <c r="P373" s="25"/>
      <c r="Q373" s="25"/>
      <c r="R373" s="25"/>
      <c r="S373" s="151"/>
      <c r="T373" s="151"/>
      <c r="U373" s="151"/>
      <c r="V373" s="73"/>
      <c r="W373" s="28"/>
      <c r="X373" s="24"/>
    </row>
    <row r="374" spans="2:24">
      <c r="B374" s="24"/>
      <c r="C374" s="47"/>
      <c r="D374" s="26"/>
      <c r="E374" s="27"/>
      <c r="F374" s="25"/>
      <c r="G374" s="25"/>
      <c r="H374" s="25"/>
      <c r="I374" s="25"/>
      <c r="J374" s="25"/>
      <c r="K374" s="25"/>
      <c r="L374" s="25"/>
      <c r="M374" s="25"/>
      <c r="N374" s="25"/>
      <c r="O374" s="25"/>
      <c r="P374" s="25"/>
      <c r="Q374" s="25"/>
      <c r="R374" s="25"/>
      <c r="S374" s="151"/>
      <c r="T374" s="151"/>
      <c r="U374" s="151"/>
      <c r="V374" s="73"/>
      <c r="W374" s="28"/>
      <c r="X374" s="24"/>
    </row>
    <row r="375" spans="2:24">
      <c r="B375" s="24"/>
      <c r="C375" s="47"/>
      <c r="D375" s="26"/>
      <c r="E375" s="27"/>
      <c r="F375" s="25"/>
      <c r="G375" s="25"/>
      <c r="H375" s="25"/>
      <c r="I375" s="25"/>
      <c r="J375" s="25"/>
      <c r="K375" s="25"/>
      <c r="L375" s="25"/>
      <c r="M375" s="25"/>
      <c r="N375" s="25"/>
      <c r="O375" s="25"/>
      <c r="P375" s="25"/>
      <c r="Q375" s="25"/>
      <c r="R375" s="25"/>
      <c r="S375" s="151"/>
      <c r="T375" s="151"/>
      <c r="U375" s="151"/>
      <c r="V375" s="73"/>
      <c r="W375" s="28"/>
      <c r="X375" s="24"/>
    </row>
    <row r="376" spans="2:24">
      <c r="B376" s="24"/>
      <c r="C376" s="47"/>
      <c r="D376" s="26"/>
      <c r="E376" s="27"/>
      <c r="F376" s="25"/>
      <c r="G376" s="25"/>
      <c r="H376" s="25"/>
      <c r="I376" s="25"/>
      <c r="J376" s="25"/>
      <c r="K376" s="25"/>
      <c r="L376" s="25"/>
      <c r="M376" s="25"/>
      <c r="N376" s="25"/>
      <c r="O376" s="25"/>
      <c r="P376" s="25"/>
      <c r="Q376" s="25"/>
      <c r="R376" s="25"/>
      <c r="S376" s="151"/>
      <c r="T376" s="151"/>
      <c r="U376" s="151"/>
      <c r="V376" s="73"/>
      <c r="W376" s="28"/>
      <c r="X376" s="24"/>
    </row>
    <row r="377" spans="2:24">
      <c r="B377" s="24"/>
      <c r="C377" s="47"/>
      <c r="D377" s="26"/>
      <c r="E377" s="27"/>
      <c r="F377" s="25"/>
      <c r="G377" s="25"/>
      <c r="H377" s="25"/>
      <c r="I377" s="25"/>
      <c r="J377" s="25"/>
      <c r="K377" s="25"/>
      <c r="L377" s="25"/>
      <c r="M377" s="25"/>
      <c r="N377" s="25"/>
      <c r="O377" s="25"/>
      <c r="P377" s="25"/>
      <c r="Q377" s="25"/>
      <c r="R377" s="25"/>
      <c r="S377" s="151"/>
      <c r="T377" s="151"/>
      <c r="U377" s="151"/>
      <c r="V377" s="73"/>
      <c r="W377" s="28"/>
      <c r="X377" s="24"/>
    </row>
    <row r="378" spans="2:24">
      <c r="B378" s="24"/>
      <c r="C378" s="47"/>
      <c r="D378" s="26"/>
      <c r="E378" s="27"/>
      <c r="F378" s="25"/>
      <c r="G378" s="25"/>
      <c r="H378" s="25"/>
      <c r="I378" s="25"/>
      <c r="J378" s="25"/>
      <c r="K378" s="25"/>
      <c r="L378" s="25"/>
      <c r="M378" s="25"/>
      <c r="N378" s="25"/>
      <c r="O378" s="25"/>
      <c r="P378" s="25"/>
      <c r="Q378" s="25"/>
      <c r="R378" s="25"/>
      <c r="S378" s="151"/>
      <c r="T378" s="151"/>
      <c r="U378" s="151"/>
      <c r="V378" s="73"/>
      <c r="W378" s="28"/>
      <c r="X378" s="24"/>
    </row>
    <row r="379" spans="2:24">
      <c r="B379" s="24"/>
      <c r="C379" s="47"/>
      <c r="D379" s="26"/>
      <c r="E379" s="27"/>
      <c r="F379" s="25"/>
      <c r="G379" s="25"/>
      <c r="H379" s="25"/>
      <c r="I379" s="25"/>
      <c r="J379" s="25"/>
      <c r="K379" s="25"/>
      <c r="L379" s="25"/>
      <c r="M379" s="25"/>
      <c r="N379" s="25"/>
      <c r="O379" s="25"/>
      <c r="P379" s="25"/>
      <c r="Q379" s="25"/>
      <c r="R379" s="25"/>
      <c r="S379" s="151"/>
      <c r="T379" s="151"/>
      <c r="U379" s="151"/>
      <c r="V379" s="73"/>
      <c r="W379" s="28"/>
      <c r="X379" s="24"/>
    </row>
    <row r="380" spans="2:24">
      <c r="B380" s="24"/>
      <c r="C380" s="47"/>
      <c r="D380" s="26"/>
      <c r="E380" s="27"/>
      <c r="F380" s="25"/>
      <c r="G380" s="25"/>
      <c r="H380" s="25"/>
      <c r="I380" s="25"/>
      <c r="J380" s="25"/>
      <c r="K380" s="25"/>
      <c r="L380" s="25"/>
      <c r="M380" s="25"/>
      <c r="N380" s="25"/>
      <c r="O380" s="25"/>
      <c r="P380" s="25"/>
      <c r="Q380" s="25"/>
      <c r="R380" s="25"/>
      <c r="S380" s="151"/>
      <c r="T380" s="151"/>
      <c r="U380" s="151"/>
      <c r="V380" s="73"/>
      <c r="W380" s="28"/>
      <c r="X380" s="24"/>
    </row>
    <row r="381" spans="2:24">
      <c r="B381" s="24"/>
      <c r="C381" s="47"/>
      <c r="D381" s="26"/>
      <c r="E381" s="27"/>
      <c r="F381" s="25"/>
      <c r="G381" s="25"/>
      <c r="H381" s="25"/>
      <c r="I381" s="25"/>
      <c r="J381" s="25"/>
      <c r="K381" s="25"/>
      <c r="L381" s="25"/>
      <c r="M381" s="25"/>
      <c r="N381" s="25"/>
      <c r="O381" s="25"/>
      <c r="P381" s="25"/>
      <c r="Q381" s="25"/>
      <c r="R381" s="25"/>
      <c r="S381" s="151"/>
      <c r="T381" s="151"/>
      <c r="U381" s="151"/>
      <c r="V381" s="73"/>
      <c r="W381" s="28"/>
      <c r="X381" s="24"/>
    </row>
    <row r="382" spans="2:24">
      <c r="B382" s="24"/>
      <c r="C382" s="47"/>
      <c r="D382" s="26"/>
      <c r="E382" s="27"/>
      <c r="F382" s="25"/>
      <c r="G382" s="25"/>
      <c r="H382" s="25"/>
      <c r="I382" s="25"/>
      <c r="J382" s="25"/>
      <c r="K382" s="25"/>
      <c r="L382" s="25"/>
      <c r="M382" s="25"/>
      <c r="N382" s="25"/>
      <c r="O382" s="25"/>
      <c r="P382" s="25"/>
      <c r="Q382" s="25"/>
      <c r="R382" s="25"/>
      <c r="S382" s="151"/>
      <c r="T382" s="151"/>
      <c r="U382" s="151"/>
      <c r="V382" s="73"/>
      <c r="W382" s="28"/>
      <c r="X382" s="24"/>
    </row>
    <row r="383" spans="2:24">
      <c r="B383" s="24"/>
      <c r="C383" s="47"/>
      <c r="D383" s="26"/>
      <c r="E383" s="27"/>
      <c r="F383" s="25"/>
      <c r="G383" s="25"/>
      <c r="H383" s="25"/>
      <c r="I383" s="25"/>
      <c r="J383" s="25"/>
      <c r="K383" s="25"/>
      <c r="L383" s="25"/>
      <c r="M383" s="25"/>
      <c r="N383" s="25"/>
      <c r="O383" s="25"/>
      <c r="P383" s="25"/>
      <c r="Q383" s="25"/>
      <c r="R383" s="25"/>
      <c r="S383" s="151"/>
      <c r="T383" s="151"/>
      <c r="U383" s="151"/>
      <c r="V383" s="73"/>
      <c r="W383" s="28"/>
      <c r="X383" s="24"/>
    </row>
    <row r="384" spans="2:24">
      <c r="B384" s="24"/>
      <c r="C384" s="47"/>
      <c r="D384" s="26"/>
      <c r="E384" s="27"/>
      <c r="F384" s="25"/>
      <c r="G384" s="25"/>
      <c r="H384" s="25"/>
      <c r="I384" s="25"/>
      <c r="J384" s="25"/>
      <c r="K384" s="25"/>
      <c r="L384" s="25"/>
      <c r="M384" s="25"/>
      <c r="N384" s="25"/>
      <c r="O384" s="25"/>
      <c r="P384" s="25"/>
      <c r="Q384" s="25"/>
      <c r="R384" s="25"/>
      <c r="S384" s="151"/>
      <c r="T384" s="151"/>
      <c r="U384" s="151"/>
      <c r="V384" s="73"/>
      <c r="W384" s="28"/>
      <c r="X384" s="24"/>
    </row>
    <row r="385" spans="2:24">
      <c r="B385" s="24"/>
      <c r="C385" s="47"/>
      <c r="D385" s="26"/>
      <c r="E385" s="27"/>
      <c r="F385" s="25"/>
      <c r="G385" s="25"/>
      <c r="H385" s="25"/>
      <c r="I385" s="25"/>
      <c r="J385" s="25"/>
      <c r="K385" s="25"/>
      <c r="L385" s="25"/>
      <c r="M385" s="25"/>
      <c r="N385" s="25"/>
      <c r="O385" s="25"/>
      <c r="P385" s="25"/>
      <c r="Q385" s="25"/>
      <c r="R385" s="25"/>
      <c r="S385" s="151"/>
      <c r="T385" s="151"/>
      <c r="U385" s="151"/>
      <c r="V385" s="73"/>
      <c r="W385" s="28"/>
      <c r="X385" s="24"/>
    </row>
    <row r="386" spans="2:24">
      <c r="B386" s="24"/>
      <c r="C386" s="47"/>
      <c r="D386" s="26"/>
      <c r="E386" s="27"/>
      <c r="F386" s="25"/>
      <c r="G386" s="25"/>
      <c r="H386" s="25"/>
      <c r="I386" s="25"/>
      <c r="J386" s="25"/>
      <c r="K386" s="25"/>
      <c r="L386" s="25"/>
      <c r="M386" s="25"/>
      <c r="N386" s="25"/>
      <c r="O386" s="25"/>
      <c r="P386" s="25"/>
      <c r="Q386" s="25"/>
      <c r="R386" s="25"/>
      <c r="S386" s="151"/>
      <c r="T386" s="151"/>
      <c r="U386" s="151"/>
      <c r="V386" s="73"/>
      <c r="W386" s="28"/>
      <c r="X386" s="24"/>
    </row>
    <row r="387" spans="2:24">
      <c r="B387" s="24"/>
      <c r="C387" s="47"/>
      <c r="D387" s="26"/>
      <c r="E387" s="27"/>
      <c r="F387" s="25"/>
      <c r="G387" s="25"/>
      <c r="H387" s="25"/>
      <c r="I387" s="25"/>
      <c r="J387" s="25"/>
      <c r="K387" s="25"/>
      <c r="L387" s="25"/>
      <c r="M387" s="25"/>
      <c r="N387" s="25"/>
      <c r="O387" s="25"/>
      <c r="P387" s="25"/>
      <c r="Q387" s="25"/>
      <c r="R387" s="25"/>
      <c r="S387" s="151"/>
      <c r="T387" s="151"/>
      <c r="U387" s="151"/>
      <c r="V387" s="73"/>
      <c r="W387" s="28"/>
      <c r="X387" s="24"/>
    </row>
    <row r="388" spans="2:24">
      <c r="B388" s="24"/>
      <c r="C388" s="47"/>
      <c r="D388" s="26"/>
      <c r="E388" s="27"/>
      <c r="F388" s="25"/>
      <c r="G388" s="25"/>
      <c r="H388" s="25"/>
      <c r="I388" s="25"/>
      <c r="J388" s="25"/>
      <c r="K388" s="25"/>
      <c r="L388" s="25"/>
      <c r="M388" s="25"/>
      <c r="N388" s="25"/>
      <c r="O388" s="25"/>
      <c r="P388" s="25"/>
      <c r="Q388" s="25"/>
      <c r="R388" s="25"/>
      <c r="S388" s="151"/>
      <c r="T388" s="151"/>
      <c r="U388" s="151"/>
      <c r="V388" s="73"/>
      <c r="W388" s="28"/>
      <c r="X388" s="24"/>
    </row>
    <row r="389" spans="2:24">
      <c r="B389" s="24"/>
      <c r="C389" s="47"/>
      <c r="D389" s="26"/>
      <c r="E389" s="27"/>
      <c r="F389" s="25"/>
      <c r="G389" s="25"/>
      <c r="H389" s="25"/>
      <c r="I389" s="25"/>
      <c r="J389" s="25"/>
      <c r="K389" s="25"/>
      <c r="L389" s="25"/>
      <c r="M389" s="25"/>
      <c r="N389" s="25"/>
      <c r="O389" s="25"/>
      <c r="P389" s="25"/>
      <c r="Q389" s="25"/>
      <c r="R389" s="25"/>
      <c r="S389" s="151"/>
      <c r="T389" s="151"/>
      <c r="U389" s="151"/>
      <c r="V389" s="73"/>
      <c r="W389" s="28"/>
      <c r="X389" s="24"/>
    </row>
    <row r="390" spans="2:24">
      <c r="B390" s="24"/>
      <c r="C390" s="47"/>
      <c r="D390" s="26"/>
      <c r="E390" s="27"/>
      <c r="F390" s="25"/>
      <c r="G390" s="25"/>
      <c r="H390" s="25"/>
      <c r="I390" s="25"/>
      <c r="J390" s="25"/>
      <c r="K390" s="25"/>
      <c r="L390" s="25"/>
      <c r="M390" s="25"/>
      <c r="N390" s="25"/>
      <c r="O390" s="25"/>
      <c r="P390" s="25"/>
      <c r="Q390" s="25"/>
      <c r="R390" s="25"/>
      <c r="S390" s="151"/>
      <c r="T390" s="151"/>
      <c r="U390" s="151"/>
      <c r="V390" s="73"/>
      <c r="W390" s="28"/>
      <c r="X390" s="24"/>
    </row>
    <row r="391" spans="2:24">
      <c r="B391" s="24"/>
      <c r="C391" s="47"/>
      <c r="D391" s="26"/>
      <c r="E391" s="27"/>
      <c r="F391" s="25"/>
      <c r="G391" s="25"/>
      <c r="H391" s="25"/>
      <c r="I391" s="25"/>
      <c r="J391" s="25"/>
      <c r="K391" s="25"/>
      <c r="L391" s="25"/>
      <c r="M391" s="25"/>
      <c r="N391" s="25"/>
      <c r="O391" s="25"/>
      <c r="P391" s="25"/>
      <c r="Q391" s="25"/>
      <c r="R391" s="25"/>
      <c r="S391" s="151"/>
      <c r="T391" s="151"/>
      <c r="U391" s="151"/>
      <c r="V391" s="73"/>
      <c r="W391" s="28"/>
      <c r="X391" s="24"/>
    </row>
    <row r="392" spans="2:24">
      <c r="B392" s="24"/>
      <c r="C392" s="47"/>
      <c r="D392" s="26"/>
      <c r="E392" s="27"/>
      <c r="F392" s="25"/>
      <c r="G392" s="25"/>
      <c r="H392" s="25"/>
      <c r="I392" s="25"/>
      <c r="J392" s="25"/>
      <c r="K392" s="25"/>
      <c r="L392" s="25"/>
      <c r="M392" s="25"/>
      <c r="N392" s="25"/>
      <c r="O392" s="25"/>
      <c r="P392" s="25"/>
      <c r="Q392" s="25"/>
      <c r="R392" s="25"/>
      <c r="S392" s="151"/>
      <c r="T392" s="151"/>
      <c r="U392" s="151"/>
      <c r="V392" s="73"/>
      <c r="W392" s="28"/>
      <c r="X392" s="24"/>
    </row>
    <row r="393" spans="2:24">
      <c r="B393" s="24"/>
      <c r="C393" s="47"/>
      <c r="D393" s="26"/>
      <c r="E393" s="27"/>
      <c r="F393" s="25"/>
      <c r="G393" s="25"/>
      <c r="H393" s="25"/>
      <c r="I393" s="58"/>
      <c r="J393" s="25"/>
      <c r="K393" s="25"/>
      <c r="L393" s="25"/>
      <c r="M393" s="25"/>
      <c r="N393" s="25"/>
      <c r="O393" s="25"/>
      <c r="P393" s="25"/>
      <c r="Q393" s="25"/>
      <c r="R393" s="25"/>
      <c r="S393" s="151"/>
      <c r="T393" s="151"/>
      <c r="U393" s="151"/>
      <c r="V393" s="73"/>
      <c r="W393" s="28"/>
      <c r="X393" s="24"/>
    </row>
    <row r="394" spans="2:24">
      <c r="B394" s="24"/>
      <c r="C394" s="47"/>
      <c r="D394" s="26"/>
      <c r="E394" s="27"/>
      <c r="F394" s="25"/>
      <c r="G394" s="25"/>
      <c r="H394" s="25"/>
      <c r="I394" s="25"/>
      <c r="J394" s="25"/>
      <c r="K394" s="25"/>
      <c r="L394" s="25"/>
      <c r="M394" s="25"/>
      <c r="N394" s="25"/>
      <c r="O394" s="25"/>
      <c r="P394" s="25"/>
      <c r="Q394" s="25"/>
      <c r="R394" s="25"/>
      <c r="S394" s="151"/>
      <c r="T394" s="151"/>
      <c r="U394" s="151"/>
      <c r="V394" s="73"/>
      <c r="W394" s="28"/>
      <c r="X394" s="24"/>
    </row>
    <row r="395" spans="2:24">
      <c r="B395" s="24"/>
      <c r="C395" s="47"/>
      <c r="D395" s="26"/>
      <c r="E395" s="27"/>
      <c r="F395" s="25"/>
      <c r="G395" s="25"/>
      <c r="H395" s="25"/>
      <c r="I395" s="25"/>
      <c r="J395" s="25"/>
      <c r="K395" s="25"/>
      <c r="L395" s="25"/>
      <c r="M395" s="25"/>
      <c r="N395" s="25"/>
      <c r="O395" s="25"/>
      <c r="P395" s="25"/>
      <c r="Q395" s="25"/>
      <c r="R395" s="25"/>
      <c r="S395" s="151"/>
      <c r="T395" s="151"/>
      <c r="U395" s="151"/>
      <c r="V395" s="73"/>
      <c r="W395" s="28"/>
      <c r="X395" s="24"/>
    </row>
    <row r="396" spans="2:24">
      <c r="B396" s="24"/>
      <c r="C396" s="47"/>
      <c r="D396" s="26"/>
      <c r="E396" s="27"/>
      <c r="F396" s="25"/>
      <c r="G396" s="25"/>
      <c r="H396" s="25"/>
      <c r="I396" s="25"/>
      <c r="J396" s="25"/>
      <c r="K396" s="25"/>
      <c r="L396" s="25"/>
      <c r="M396" s="25"/>
      <c r="N396" s="25"/>
      <c r="O396" s="25"/>
      <c r="P396" s="25"/>
      <c r="Q396" s="25"/>
      <c r="R396" s="25"/>
      <c r="S396" s="151"/>
      <c r="T396" s="151"/>
      <c r="U396" s="151"/>
      <c r="V396" s="73"/>
      <c r="W396" s="28"/>
      <c r="X396" s="24"/>
    </row>
    <row r="397" spans="2:24">
      <c r="B397" s="24"/>
      <c r="C397" s="47"/>
      <c r="D397" s="26"/>
      <c r="E397" s="27"/>
      <c r="F397" s="25"/>
      <c r="G397" s="25"/>
      <c r="H397" s="25"/>
      <c r="I397" s="25"/>
      <c r="J397" s="25"/>
      <c r="K397" s="25"/>
      <c r="L397" s="25"/>
      <c r="M397" s="25"/>
      <c r="N397" s="25"/>
      <c r="O397" s="25"/>
      <c r="P397" s="25"/>
      <c r="Q397" s="25"/>
      <c r="R397" s="25"/>
      <c r="S397" s="151"/>
      <c r="T397" s="151"/>
      <c r="U397" s="151"/>
      <c r="V397" s="73"/>
      <c r="W397" s="28"/>
      <c r="X397" s="24"/>
    </row>
    <row r="398" spans="2:24">
      <c r="B398" s="24"/>
      <c r="C398" s="47"/>
      <c r="D398" s="26"/>
      <c r="E398" s="27"/>
      <c r="F398" s="25"/>
      <c r="G398" s="25"/>
      <c r="H398" s="25"/>
      <c r="I398" s="25"/>
      <c r="J398" s="25"/>
      <c r="K398" s="25"/>
      <c r="L398" s="25"/>
      <c r="M398" s="25"/>
      <c r="N398" s="25"/>
      <c r="O398" s="25"/>
      <c r="P398" s="25"/>
      <c r="Q398" s="25"/>
      <c r="R398" s="25"/>
      <c r="S398" s="151"/>
      <c r="T398" s="151"/>
      <c r="U398" s="151"/>
      <c r="V398" s="73"/>
      <c r="W398" s="28"/>
      <c r="X398" s="24"/>
    </row>
    <row r="399" spans="2:24">
      <c r="B399" s="24"/>
      <c r="C399" s="47"/>
      <c r="D399" s="26"/>
      <c r="E399" s="27"/>
      <c r="F399" s="25"/>
      <c r="G399" s="25"/>
      <c r="H399" s="25"/>
      <c r="I399" s="25"/>
      <c r="J399" s="25"/>
      <c r="K399" s="25"/>
      <c r="L399" s="25"/>
      <c r="M399" s="25"/>
      <c r="N399" s="25"/>
      <c r="O399" s="25"/>
      <c r="P399" s="25"/>
      <c r="Q399" s="25"/>
      <c r="R399" s="25"/>
      <c r="S399" s="151"/>
      <c r="T399" s="151"/>
      <c r="U399" s="151"/>
      <c r="V399" s="73"/>
      <c r="W399" s="28"/>
      <c r="X399" s="24"/>
    </row>
    <row r="400" spans="2:24">
      <c r="B400" s="24"/>
      <c r="C400" s="47"/>
      <c r="D400" s="26"/>
      <c r="E400" s="27"/>
      <c r="F400" s="25"/>
      <c r="G400" s="25"/>
      <c r="H400" s="25"/>
      <c r="I400" s="25"/>
      <c r="J400" s="25"/>
      <c r="K400" s="25"/>
      <c r="L400" s="25"/>
      <c r="M400" s="25"/>
      <c r="N400" s="25"/>
      <c r="O400" s="25"/>
      <c r="P400" s="25"/>
      <c r="Q400" s="25"/>
      <c r="R400" s="25"/>
      <c r="S400" s="151"/>
      <c r="T400" s="151"/>
      <c r="U400" s="151"/>
      <c r="V400" s="73"/>
      <c r="W400" s="28"/>
      <c r="X400" s="24"/>
    </row>
    <row r="401" spans="2:24">
      <c r="B401" s="24"/>
      <c r="C401" s="47"/>
      <c r="D401" s="26"/>
      <c r="E401" s="27"/>
      <c r="F401" s="25"/>
      <c r="G401" s="25"/>
      <c r="H401" s="25"/>
      <c r="I401" s="25"/>
      <c r="J401" s="25"/>
      <c r="K401" s="25"/>
      <c r="L401" s="25"/>
      <c r="M401" s="25"/>
      <c r="N401" s="25"/>
      <c r="O401" s="25"/>
      <c r="P401" s="25"/>
      <c r="Q401" s="25"/>
      <c r="R401" s="25"/>
      <c r="S401" s="151"/>
      <c r="T401" s="151"/>
      <c r="U401" s="151"/>
      <c r="V401" s="73"/>
      <c r="W401" s="28"/>
      <c r="X401" s="24"/>
    </row>
    <row r="402" spans="2:24">
      <c r="B402" s="24"/>
      <c r="C402" s="47"/>
      <c r="D402" s="26"/>
      <c r="E402" s="27"/>
      <c r="F402" s="25"/>
      <c r="G402" s="25"/>
      <c r="H402" s="25"/>
      <c r="I402" s="25"/>
      <c r="J402" s="25"/>
      <c r="K402" s="25"/>
      <c r="L402" s="25"/>
      <c r="M402" s="25"/>
      <c r="N402" s="25"/>
      <c r="O402" s="25"/>
      <c r="P402" s="25"/>
      <c r="Q402" s="25"/>
      <c r="R402" s="25"/>
      <c r="S402" s="151"/>
      <c r="T402" s="151"/>
      <c r="U402" s="151"/>
      <c r="V402" s="73"/>
      <c r="W402" s="28"/>
      <c r="X402" s="24"/>
    </row>
    <row r="403" spans="2:24">
      <c r="B403" s="24"/>
      <c r="C403" s="47"/>
      <c r="D403" s="26"/>
      <c r="E403" s="27"/>
      <c r="F403" s="25"/>
      <c r="G403" s="25"/>
      <c r="H403" s="25"/>
      <c r="I403" s="25"/>
      <c r="J403" s="25"/>
      <c r="K403" s="25"/>
      <c r="L403" s="25"/>
      <c r="M403" s="25"/>
      <c r="N403" s="25"/>
      <c r="O403" s="25"/>
      <c r="P403" s="25"/>
      <c r="Q403" s="25"/>
      <c r="R403" s="25"/>
      <c r="S403" s="151"/>
      <c r="T403" s="151"/>
      <c r="U403" s="151"/>
      <c r="V403" s="73"/>
      <c r="W403" s="28"/>
      <c r="X403" s="24"/>
    </row>
    <row r="404" spans="2:24">
      <c r="B404" s="24"/>
      <c r="C404" s="47"/>
      <c r="D404" s="26"/>
      <c r="E404" s="27"/>
      <c r="F404" s="25"/>
      <c r="G404" s="25"/>
      <c r="H404" s="25"/>
      <c r="I404" s="25"/>
      <c r="J404" s="25"/>
      <c r="K404" s="25"/>
      <c r="L404" s="25"/>
      <c r="M404" s="25"/>
      <c r="N404" s="25"/>
      <c r="O404" s="25"/>
      <c r="P404" s="25"/>
      <c r="Q404" s="25"/>
      <c r="R404" s="25"/>
      <c r="S404" s="151"/>
      <c r="T404" s="151"/>
      <c r="U404" s="151"/>
      <c r="V404" s="73"/>
      <c r="W404" s="28"/>
      <c r="X404" s="24"/>
    </row>
    <row r="405" spans="2:24">
      <c r="B405" s="24"/>
      <c r="C405" s="47"/>
      <c r="D405" s="26"/>
      <c r="E405" s="27"/>
      <c r="F405" s="25"/>
      <c r="G405" s="25"/>
      <c r="H405" s="25"/>
      <c r="I405" s="25"/>
      <c r="J405" s="25"/>
      <c r="K405" s="25"/>
      <c r="L405" s="25"/>
      <c r="M405" s="25"/>
      <c r="N405" s="25"/>
      <c r="O405" s="25"/>
      <c r="P405" s="25"/>
      <c r="Q405" s="25"/>
      <c r="R405" s="25"/>
      <c r="S405" s="151"/>
      <c r="T405" s="151"/>
      <c r="U405" s="151"/>
      <c r="V405" s="73"/>
      <c r="W405" s="28"/>
      <c r="X405" s="24"/>
    </row>
    <row r="406" spans="2:24">
      <c r="B406" s="24"/>
      <c r="C406" s="47"/>
      <c r="D406" s="26"/>
      <c r="E406" s="27"/>
      <c r="F406" s="25"/>
      <c r="G406" s="25"/>
      <c r="H406" s="25"/>
      <c r="I406" s="25"/>
      <c r="J406" s="25"/>
      <c r="K406" s="25"/>
      <c r="L406" s="25"/>
      <c r="M406" s="25"/>
      <c r="N406" s="25"/>
      <c r="O406" s="25"/>
      <c r="P406" s="25"/>
      <c r="Q406" s="25"/>
      <c r="R406" s="25"/>
      <c r="S406" s="151"/>
      <c r="T406" s="151"/>
      <c r="U406" s="151"/>
      <c r="V406" s="73"/>
      <c r="W406" s="28"/>
      <c r="X406" s="24"/>
    </row>
    <row r="407" spans="2:24">
      <c r="B407" s="24"/>
      <c r="C407" s="47"/>
      <c r="D407" s="26"/>
      <c r="E407" s="27"/>
      <c r="F407" s="25"/>
      <c r="G407" s="25"/>
      <c r="H407" s="25"/>
      <c r="I407" s="25"/>
      <c r="J407" s="25"/>
      <c r="K407" s="25"/>
      <c r="L407" s="25"/>
      <c r="M407" s="25"/>
      <c r="N407" s="25"/>
      <c r="O407" s="25"/>
      <c r="P407" s="25"/>
      <c r="Q407" s="25"/>
      <c r="R407" s="25"/>
      <c r="S407" s="151"/>
      <c r="T407" s="151"/>
      <c r="U407" s="151"/>
      <c r="V407" s="73"/>
      <c r="W407" s="28"/>
      <c r="X407" s="24"/>
    </row>
    <row r="408" spans="2:24">
      <c r="B408" s="24"/>
      <c r="C408" s="47"/>
      <c r="D408" s="26"/>
      <c r="E408" s="27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151"/>
      <c r="T408" s="151"/>
      <c r="U408" s="151"/>
      <c r="V408" s="73"/>
      <c r="W408" s="28"/>
      <c r="X408" s="24"/>
    </row>
    <row r="409" spans="2:24">
      <c r="B409" s="24"/>
      <c r="C409" s="47"/>
      <c r="D409" s="26"/>
      <c r="E409" s="27"/>
      <c r="F409" s="25"/>
      <c r="G409" s="25"/>
      <c r="H409" s="25"/>
      <c r="I409" s="25"/>
      <c r="J409" s="25"/>
      <c r="K409" s="25"/>
      <c r="L409" s="25"/>
      <c r="M409" s="25"/>
      <c r="N409" s="25"/>
      <c r="O409" s="25"/>
      <c r="P409" s="25"/>
      <c r="Q409" s="25"/>
      <c r="R409" s="25"/>
      <c r="S409" s="151"/>
      <c r="T409" s="151"/>
      <c r="U409" s="151"/>
      <c r="V409" s="73"/>
      <c r="W409" s="28"/>
      <c r="X409" s="24"/>
    </row>
    <row r="410" spans="2:24">
      <c r="B410" s="24"/>
      <c r="C410" s="47"/>
      <c r="D410" s="26"/>
      <c r="E410" s="27"/>
      <c r="F410" s="25"/>
      <c r="G410" s="25"/>
      <c r="H410" s="25"/>
      <c r="I410" s="25"/>
      <c r="J410" s="25"/>
      <c r="K410" s="25"/>
      <c r="L410" s="25"/>
      <c r="M410" s="25"/>
      <c r="N410" s="25"/>
      <c r="O410" s="25"/>
      <c r="P410" s="25"/>
      <c r="Q410" s="25"/>
      <c r="R410" s="25"/>
      <c r="S410" s="151"/>
      <c r="T410" s="151"/>
      <c r="U410" s="151"/>
      <c r="V410" s="73"/>
      <c r="W410" s="28"/>
      <c r="X410" s="24"/>
    </row>
    <row r="411" spans="2:24">
      <c r="B411" s="24"/>
      <c r="C411" s="47"/>
      <c r="D411" s="26"/>
      <c r="E411" s="27"/>
      <c r="F411" s="25"/>
      <c r="G411" s="25"/>
      <c r="H411" s="25"/>
      <c r="I411" s="25"/>
      <c r="J411" s="25"/>
      <c r="K411" s="25"/>
      <c r="L411" s="25"/>
      <c r="M411" s="25"/>
      <c r="N411" s="25"/>
      <c r="O411" s="25"/>
      <c r="P411" s="25"/>
      <c r="Q411" s="25"/>
      <c r="R411" s="25"/>
      <c r="S411" s="151"/>
      <c r="T411" s="151"/>
      <c r="U411" s="151"/>
      <c r="V411" s="73"/>
      <c r="W411" s="28"/>
      <c r="X411" s="24"/>
    </row>
    <row r="412" spans="2:24">
      <c r="B412" s="24"/>
      <c r="C412" s="47"/>
      <c r="D412" s="26"/>
      <c r="E412" s="27"/>
      <c r="F412" s="25"/>
      <c r="G412" s="25"/>
      <c r="H412" s="25"/>
      <c r="I412" s="25"/>
      <c r="J412" s="25"/>
      <c r="K412" s="25"/>
      <c r="L412" s="25"/>
      <c r="M412" s="25"/>
      <c r="N412" s="25"/>
      <c r="O412" s="25"/>
      <c r="P412" s="25"/>
      <c r="Q412" s="25"/>
      <c r="R412" s="25"/>
      <c r="S412" s="151"/>
      <c r="T412" s="151"/>
      <c r="U412" s="151"/>
      <c r="V412" s="73"/>
      <c r="W412" s="28"/>
      <c r="X412" s="24"/>
    </row>
    <row r="413" spans="2:24">
      <c r="B413" s="24"/>
      <c r="C413" s="47"/>
      <c r="D413" s="26"/>
      <c r="E413" s="27"/>
      <c r="F413" s="25"/>
      <c r="G413" s="25"/>
      <c r="H413" s="25"/>
      <c r="I413" s="25"/>
      <c r="J413" s="25"/>
      <c r="K413" s="25"/>
      <c r="L413" s="25"/>
      <c r="M413" s="25"/>
      <c r="N413" s="25"/>
      <c r="O413" s="25"/>
      <c r="P413" s="25"/>
      <c r="Q413" s="25"/>
      <c r="R413" s="25"/>
      <c r="S413" s="151"/>
      <c r="T413" s="151"/>
      <c r="U413" s="151"/>
      <c r="V413" s="73"/>
      <c r="W413" s="28"/>
      <c r="X413" s="24"/>
    </row>
    <row r="414" spans="2:24">
      <c r="B414" s="24"/>
      <c r="C414" s="47"/>
      <c r="D414" s="26"/>
      <c r="E414" s="27"/>
      <c r="F414" s="25"/>
      <c r="G414" s="25"/>
      <c r="H414" s="25"/>
      <c r="I414" s="25"/>
      <c r="J414" s="25"/>
      <c r="K414" s="25"/>
      <c r="L414" s="25"/>
      <c r="M414" s="25"/>
      <c r="N414" s="25"/>
      <c r="O414" s="25"/>
      <c r="P414" s="25"/>
      <c r="Q414" s="25"/>
      <c r="R414" s="25"/>
      <c r="S414" s="151"/>
      <c r="T414" s="151"/>
      <c r="U414" s="151"/>
      <c r="V414" s="73"/>
      <c r="W414" s="28"/>
      <c r="X414" s="24"/>
    </row>
    <row r="415" spans="2:24">
      <c r="B415" s="24"/>
      <c r="C415" s="47"/>
      <c r="D415" s="26"/>
      <c r="E415" s="27"/>
      <c r="F415" s="25"/>
      <c r="G415" s="25"/>
      <c r="H415" s="25"/>
      <c r="I415" s="25"/>
      <c r="J415" s="25"/>
      <c r="K415" s="25"/>
      <c r="L415" s="25"/>
      <c r="M415" s="25"/>
      <c r="N415" s="25"/>
      <c r="O415" s="25"/>
      <c r="P415" s="25"/>
      <c r="Q415" s="25"/>
      <c r="R415" s="25"/>
      <c r="S415" s="151"/>
      <c r="T415" s="151"/>
      <c r="U415" s="151"/>
      <c r="V415" s="73"/>
      <c r="W415" s="28"/>
      <c r="X415" s="24"/>
    </row>
    <row r="416" spans="2:24">
      <c r="B416" s="24"/>
      <c r="C416" s="47"/>
      <c r="D416" s="26"/>
      <c r="E416" s="27"/>
      <c r="F416" s="25"/>
      <c r="G416" s="25"/>
      <c r="H416" s="25"/>
      <c r="I416" s="25"/>
      <c r="J416" s="25"/>
      <c r="K416" s="25"/>
      <c r="L416" s="25"/>
      <c r="M416" s="25"/>
      <c r="N416" s="25"/>
      <c r="O416" s="25"/>
      <c r="P416" s="25"/>
      <c r="Q416" s="25"/>
      <c r="R416" s="25"/>
      <c r="S416" s="151"/>
      <c r="T416" s="151"/>
      <c r="U416" s="151"/>
      <c r="V416" s="73"/>
      <c r="W416" s="28"/>
      <c r="X416" s="24"/>
    </row>
    <row r="417" spans="2:24">
      <c r="B417" s="24"/>
      <c r="C417" s="47"/>
      <c r="D417" s="26"/>
      <c r="E417" s="27"/>
      <c r="F417" s="25"/>
      <c r="G417" s="25"/>
      <c r="H417" s="25"/>
      <c r="I417" s="25"/>
      <c r="J417" s="25"/>
      <c r="K417" s="25"/>
      <c r="L417" s="25"/>
      <c r="M417" s="25"/>
      <c r="N417" s="25"/>
      <c r="O417" s="25"/>
      <c r="P417" s="25"/>
      <c r="Q417" s="25"/>
      <c r="R417" s="25"/>
      <c r="S417" s="151"/>
      <c r="T417" s="151"/>
      <c r="U417" s="151"/>
      <c r="V417" s="73"/>
      <c r="W417" s="28"/>
      <c r="X417" s="24"/>
    </row>
    <row r="418" spans="2:24">
      <c r="B418" s="24"/>
      <c r="C418" s="47"/>
      <c r="D418" s="26"/>
      <c r="E418" s="27"/>
      <c r="F418" s="25"/>
      <c r="G418" s="25"/>
      <c r="H418" s="25"/>
      <c r="I418" s="25"/>
      <c r="J418" s="25"/>
      <c r="K418" s="25"/>
      <c r="L418" s="25"/>
      <c r="M418" s="25"/>
      <c r="N418" s="25"/>
      <c r="O418" s="25"/>
      <c r="P418" s="25"/>
      <c r="Q418" s="25"/>
      <c r="R418" s="25"/>
      <c r="S418" s="151"/>
      <c r="T418" s="151"/>
      <c r="U418" s="151"/>
      <c r="V418" s="73"/>
      <c r="W418" s="28"/>
      <c r="X418" s="24"/>
    </row>
    <row r="419" spans="2:24">
      <c r="B419" s="24"/>
      <c r="C419" s="47"/>
      <c r="D419" s="26"/>
      <c r="E419" s="27"/>
      <c r="F419" s="25"/>
      <c r="G419" s="25"/>
      <c r="H419" s="25"/>
      <c r="I419" s="25"/>
      <c r="J419" s="25"/>
      <c r="K419" s="25"/>
      <c r="L419" s="25"/>
      <c r="M419" s="25"/>
      <c r="N419" s="25"/>
      <c r="O419" s="25"/>
      <c r="P419" s="25"/>
      <c r="Q419" s="25"/>
      <c r="R419" s="25"/>
      <c r="S419" s="151"/>
      <c r="T419" s="151"/>
      <c r="U419" s="151"/>
      <c r="V419" s="73"/>
      <c r="W419" s="28"/>
      <c r="X419" s="24"/>
    </row>
    <row r="420" spans="2:24">
      <c r="B420" s="24"/>
      <c r="C420" s="47"/>
      <c r="D420" s="26"/>
      <c r="E420" s="27"/>
      <c r="F420" s="25"/>
      <c r="G420" s="25"/>
      <c r="H420" s="25"/>
      <c r="I420" s="25"/>
      <c r="J420" s="25"/>
      <c r="K420" s="25"/>
      <c r="L420" s="25"/>
      <c r="M420" s="25"/>
      <c r="N420" s="25"/>
      <c r="O420" s="25"/>
      <c r="P420" s="25"/>
      <c r="Q420" s="25"/>
      <c r="R420" s="25"/>
      <c r="S420" s="151"/>
      <c r="T420" s="151"/>
      <c r="U420" s="151"/>
      <c r="V420" s="73"/>
      <c r="W420" s="28"/>
      <c r="X420" s="24"/>
    </row>
    <row r="421" spans="2:24">
      <c r="B421" s="24"/>
      <c r="C421" s="47"/>
      <c r="D421" s="26"/>
      <c r="E421" s="27"/>
      <c r="F421" s="25"/>
      <c r="G421" s="25"/>
      <c r="H421" s="25"/>
      <c r="I421" s="25"/>
      <c r="J421" s="25"/>
      <c r="K421" s="25"/>
      <c r="L421" s="25"/>
      <c r="M421" s="25"/>
      <c r="N421" s="25"/>
      <c r="O421" s="25"/>
      <c r="P421" s="25"/>
      <c r="Q421" s="25"/>
      <c r="R421" s="25"/>
      <c r="S421" s="151"/>
      <c r="T421" s="151"/>
      <c r="U421" s="151"/>
      <c r="V421" s="73"/>
      <c r="W421" s="28"/>
      <c r="X421" s="24"/>
    </row>
    <row r="422" spans="2:24">
      <c r="B422" s="24"/>
      <c r="C422" s="47"/>
      <c r="D422" s="26"/>
      <c r="E422" s="27"/>
      <c r="F422" s="25"/>
      <c r="G422" s="25"/>
      <c r="H422" s="25"/>
      <c r="I422" s="25"/>
      <c r="J422" s="25"/>
      <c r="K422" s="25"/>
      <c r="L422" s="25"/>
      <c r="M422" s="25"/>
      <c r="N422" s="25"/>
      <c r="O422" s="25"/>
      <c r="P422" s="25"/>
      <c r="Q422" s="25"/>
      <c r="R422" s="25"/>
      <c r="S422" s="151"/>
      <c r="T422" s="151"/>
      <c r="U422" s="151"/>
      <c r="V422" s="73"/>
      <c r="W422" s="28"/>
      <c r="X422" s="24"/>
    </row>
    <row r="423" spans="2:24">
      <c r="B423" s="24"/>
      <c r="C423" s="47"/>
      <c r="D423" s="26"/>
      <c r="E423" s="27"/>
      <c r="F423" s="25"/>
      <c r="G423" s="25"/>
      <c r="H423" s="25"/>
      <c r="I423" s="25"/>
      <c r="J423" s="25"/>
      <c r="K423" s="25"/>
      <c r="L423" s="25"/>
      <c r="M423" s="25"/>
      <c r="N423" s="25"/>
      <c r="O423" s="25"/>
      <c r="P423" s="25"/>
      <c r="Q423" s="25"/>
      <c r="R423" s="25"/>
      <c r="S423" s="151"/>
      <c r="T423" s="151"/>
      <c r="U423" s="151"/>
      <c r="V423" s="73"/>
      <c r="W423" s="28"/>
      <c r="X423" s="24"/>
    </row>
    <row r="424" spans="2:24">
      <c r="B424" s="24"/>
      <c r="C424" s="47"/>
      <c r="D424" s="26"/>
      <c r="E424" s="27"/>
      <c r="F424" s="25"/>
      <c r="G424" s="25"/>
      <c r="H424" s="25"/>
      <c r="I424" s="25"/>
      <c r="J424" s="25"/>
      <c r="K424" s="25"/>
      <c r="L424" s="25"/>
      <c r="M424" s="25"/>
      <c r="N424" s="25"/>
      <c r="O424" s="25"/>
      <c r="P424" s="25"/>
      <c r="Q424" s="25"/>
      <c r="R424" s="25"/>
      <c r="S424" s="151"/>
      <c r="T424" s="151"/>
      <c r="U424" s="151"/>
      <c r="V424" s="73"/>
      <c r="W424" s="28"/>
      <c r="X424" s="24"/>
    </row>
    <row r="425" spans="2:24">
      <c r="B425" s="24"/>
      <c r="C425" s="47"/>
      <c r="D425" s="26"/>
      <c r="E425" s="27"/>
      <c r="F425" s="25"/>
      <c r="G425" s="25"/>
      <c r="H425" s="25"/>
      <c r="I425" s="25"/>
      <c r="J425" s="25"/>
      <c r="K425" s="25"/>
      <c r="L425" s="25"/>
      <c r="M425" s="25"/>
      <c r="N425" s="25"/>
      <c r="O425" s="25"/>
      <c r="P425" s="25"/>
      <c r="Q425" s="25"/>
      <c r="R425" s="25"/>
      <c r="S425" s="151"/>
      <c r="T425" s="151"/>
      <c r="U425" s="151"/>
      <c r="V425" s="73"/>
      <c r="W425" s="28"/>
      <c r="X425" s="24"/>
    </row>
    <row r="426" spans="2:24">
      <c r="B426" s="24"/>
      <c r="C426" s="47"/>
      <c r="D426" s="26"/>
      <c r="E426" s="27"/>
      <c r="F426" s="25"/>
      <c r="G426" s="25"/>
      <c r="H426" s="25"/>
      <c r="I426" s="25"/>
      <c r="J426" s="25"/>
      <c r="K426" s="25"/>
      <c r="L426" s="25"/>
      <c r="M426" s="25"/>
      <c r="N426" s="25"/>
      <c r="O426" s="25"/>
      <c r="P426" s="25"/>
      <c r="Q426" s="25"/>
      <c r="R426" s="25"/>
      <c r="S426" s="151"/>
      <c r="T426" s="151"/>
      <c r="U426" s="151"/>
      <c r="V426" s="73"/>
      <c r="W426" s="28"/>
      <c r="X426" s="24"/>
    </row>
    <row r="427" spans="2:24">
      <c r="B427" s="24"/>
      <c r="C427" s="47"/>
      <c r="D427" s="26"/>
      <c r="E427" s="27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151"/>
      <c r="T427" s="151"/>
      <c r="U427" s="151"/>
      <c r="V427" s="73"/>
      <c r="W427" s="28"/>
      <c r="X427" s="24"/>
    </row>
    <row r="428" spans="2:24">
      <c r="B428" s="24"/>
      <c r="C428" s="47"/>
      <c r="D428" s="26"/>
      <c r="E428" s="27"/>
      <c r="F428" s="25"/>
      <c r="G428" s="25"/>
      <c r="H428" s="25"/>
      <c r="I428" s="58"/>
      <c r="J428" s="25"/>
      <c r="K428" s="25"/>
      <c r="L428" s="25"/>
      <c r="M428" s="25"/>
      <c r="N428" s="25"/>
      <c r="O428" s="25"/>
      <c r="P428" s="25"/>
      <c r="Q428" s="25"/>
      <c r="R428" s="25"/>
      <c r="S428" s="151"/>
      <c r="T428" s="151"/>
      <c r="U428" s="151"/>
      <c r="V428" s="73"/>
      <c r="W428" s="28"/>
      <c r="X428" s="24"/>
    </row>
    <row r="429" spans="2:24">
      <c r="B429" s="24"/>
      <c r="C429" s="47"/>
      <c r="D429" s="26"/>
      <c r="E429" s="27"/>
      <c r="F429" s="25"/>
      <c r="G429" s="25"/>
      <c r="H429" s="25"/>
      <c r="I429" s="25"/>
      <c r="J429" s="25"/>
      <c r="K429" s="25"/>
      <c r="L429" s="25"/>
      <c r="M429" s="25"/>
      <c r="N429" s="25"/>
      <c r="O429" s="25"/>
      <c r="P429" s="25"/>
      <c r="Q429" s="25"/>
      <c r="R429" s="25"/>
      <c r="S429" s="151"/>
      <c r="T429" s="151"/>
      <c r="U429" s="151"/>
      <c r="V429" s="73"/>
      <c r="W429" s="28"/>
      <c r="X429" s="24"/>
    </row>
    <row r="430" spans="2:24">
      <c r="B430" s="24"/>
      <c r="C430" s="47"/>
      <c r="D430" s="26"/>
      <c r="E430" s="27"/>
      <c r="F430" s="25"/>
      <c r="G430" s="25"/>
      <c r="H430" s="25"/>
      <c r="I430" s="25"/>
      <c r="J430" s="25"/>
      <c r="K430" s="25"/>
      <c r="L430" s="25"/>
      <c r="M430" s="25"/>
      <c r="N430" s="25"/>
      <c r="O430" s="25"/>
      <c r="P430" s="25"/>
      <c r="Q430" s="25"/>
      <c r="R430" s="25"/>
      <c r="S430" s="151"/>
      <c r="T430" s="151"/>
      <c r="U430" s="151"/>
      <c r="V430" s="73"/>
      <c r="W430" s="28"/>
      <c r="X430" s="24"/>
    </row>
    <row r="431" spans="2:24">
      <c r="B431" s="24"/>
      <c r="C431" s="47"/>
      <c r="D431" s="26"/>
      <c r="E431" s="27"/>
      <c r="F431" s="25"/>
      <c r="G431" s="25"/>
      <c r="H431" s="25"/>
      <c r="I431" s="25"/>
      <c r="J431" s="25"/>
      <c r="K431" s="25"/>
      <c r="L431" s="25"/>
      <c r="M431" s="25"/>
      <c r="N431" s="25"/>
      <c r="O431" s="25"/>
      <c r="P431" s="25"/>
      <c r="Q431" s="25"/>
      <c r="R431" s="25"/>
      <c r="S431" s="151"/>
      <c r="T431" s="151"/>
      <c r="U431" s="151"/>
      <c r="V431" s="73"/>
      <c r="W431" s="28"/>
      <c r="X431" s="24"/>
    </row>
    <row r="432" spans="2:24">
      <c r="B432" s="24"/>
      <c r="C432" s="47"/>
      <c r="D432" s="26"/>
      <c r="E432" s="27"/>
      <c r="F432" s="25"/>
      <c r="G432" s="25"/>
      <c r="H432" s="25"/>
      <c r="I432" s="25"/>
      <c r="J432" s="25"/>
      <c r="K432" s="25"/>
      <c r="L432" s="25"/>
      <c r="M432" s="25"/>
      <c r="N432" s="25"/>
      <c r="O432" s="25"/>
      <c r="P432" s="25"/>
      <c r="Q432" s="25"/>
      <c r="R432" s="25"/>
      <c r="S432" s="151"/>
      <c r="T432" s="151"/>
      <c r="U432" s="151"/>
      <c r="V432" s="73"/>
      <c r="W432" s="28"/>
      <c r="X432" s="24"/>
    </row>
    <row r="433" spans="2:24">
      <c r="B433" s="24"/>
      <c r="C433" s="47"/>
      <c r="D433" s="26"/>
      <c r="E433" s="27"/>
      <c r="F433" s="25"/>
      <c r="G433" s="25"/>
      <c r="H433" s="25"/>
      <c r="I433" s="25"/>
      <c r="J433" s="25"/>
      <c r="K433" s="25"/>
      <c r="L433" s="25"/>
      <c r="M433" s="25"/>
      <c r="N433" s="25"/>
      <c r="O433" s="25"/>
      <c r="P433" s="25"/>
      <c r="Q433" s="25"/>
      <c r="R433" s="25"/>
      <c r="S433" s="151"/>
      <c r="T433" s="151"/>
      <c r="U433" s="151"/>
      <c r="V433" s="73"/>
      <c r="W433" s="28"/>
      <c r="X433" s="24"/>
    </row>
    <row r="434" spans="2:24">
      <c r="B434" s="24"/>
      <c r="C434" s="47"/>
      <c r="D434" s="26"/>
      <c r="E434" s="27"/>
      <c r="F434" s="25"/>
      <c r="G434" s="25"/>
      <c r="H434" s="25"/>
      <c r="I434" s="25"/>
      <c r="J434" s="25"/>
      <c r="K434" s="25"/>
      <c r="L434" s="25"/>
      <c r="M434" s="25"/>
      <c r="N434" s="25"/>
      <c r="O434" s="25"/>
      <c r="P434" s="25"/>
      <c r="Q434" s="25"/>
      <c r="R434" s="25"/>
      <c r="S434" s="151"/>
      <c r="T434" s="151"/>
      <c r="U434" s="151"/>
      <c r="V434" s="73"/>
      <c r="W434" s="28"/>
      <c r="X434" s="24"/>
    </row>
    <row r="435" spans="2:24">
      <c r="B435" s="24"/>
      <c r="C435" s="47"/>
      <c r="D435" s="26"/>
      <c r="E435" s="27"/>
      <c r="F435" s="25"/>
      <c r="G435" s="25"/>
      <c r="H435" s="25"/>
      <c r="I435" s="25"/>
      <c r="J435" s="25"/>
      <c r="K435" s="25"/>
      <c r="L435" s="25"/>
      <c r="M435" s="25"/>
      <c r="N435" s="25"/>
      <c r="O435" s="25"/>
      <c r="P435" s="25"/>
      <c r="Q435" s="25"/>
      <c r="R435" s="25"/>
      <c r="S435" s="151"/>
      <c r="T435" s="151"/>
      <c r="U435" s="151"/>
      <c r="V435" s="73"/>
      <c r="W435" s="28"/>
      <c r="X435" s="24"/>
    </row>
    <row r="436" spans="2:24">
      <c r="B436" s="24"/>
      <c r="C436" s="47"/>
      <c r="D436" s="26"/>
      <c r="E436" s="27"/>
      <c r="F436" s="25"/>
      <c r="G436" s="25"/>
      <c r="H436" s="25"/>
      <c r="I436" s="25"/>
      <c r="J436" s="25"/>
      <c r="K436" s="25"/>
      <c r="L436" s="25"/>
      <c r="M436" s="25"/>
      <c r="N436" s="25"/>
      <c r="O436" s="25"/>
      <c r="P436" s="25"/>
      <c r="Q436" s="25"/>
      <c r="R436" s="25"/>
      <c r="S436" s="151"/>
      <c r="T436" s="151"/>
      <c r="U436" s="151"/>
      <c r="V436" s="73"/>
      <c r="W436" s="28"/>
      <c r="X436" s="24"/>
    </row>
    <row r="437" spans="2:24">
      <c r="B437" s="24"/>
      <c r="C437" s="47"/>
      <c r="D437" s="26"/>
      <c r="E437" s="27"/>
      <c r="F437" s="25"/>
      <c r="G437" s="25"/>
      <c r="H437" s="25"/>
      <c r="I437" s="25"/>
      <c r="J437" s="25"/>
      <c r="K437" s="25"/>
      <c r="L437" s="25"/>
      <c r="M437" s="25"/>
      <c r="N437" s="25"/>
      <c r="O437" s="25"/>
      <c r="P437" s="25"/>
      <c r="Q437" s="25"/>
      <c r="R437" s="25"/>
      <c r="S437" s="151"/>
      <c r="T437" s="151"/>
      <c r="U437" s="151"/>
      <c r="V437" s="73"/>
      <c r="W437" s="28"/>
      <c r="X437" s="24"/>
    </row>
    <row r="438" spans="2:24">
      <c r="B438" s="24"/>
      <c r="C438" s="47"/>
      <c r="D438" s="26"/>
      <c r="E438" s="27"/>
      <c r="F438" s="25"/>
      <c r="G438" s="25"/>
      <c r="H438" s="25"/>
      <c r="I438" s="25"/>
      <c r="J438" s="25"/>
      <c r="K438" s="25"/>
      <c r="L438" s="25"/>
      <c r="M438" s="25"/>
      <c r="N438" s="25"/>
      <c r="O438" s="25"/>
      <c r="P438" s="25"/>
      <c r="Q438" s="25"/>
      <c r="R438" s="25"/>
      <c r="S438" s="151"/>
      <c r="T438" s="151"/>
      <c r="U438" s="151"/>
      <c r="V438" s="73"/>
      <c r="W438" s="28"/>
      <c r="X438" s="24"/>
    </row>
    <row r="439" spans="2:24">
      <c r="B439" s="24"/>
      <c r="C439" s="47"/>
      <c r="D439" s="26"/>
      <c r="E439" s="27"/>
      <c r="F439" s="25"/>
      <c r="G439" s="25"/>
      <c r="H439" s="25"/>
      <c r="I439" s="25"/>
      <c r="J439" s="25"/>
      <c r="K439" s="25"/>
      <c r="L439" s="25"/>
      <c r="M439" s="25"/>
      <c r="N439" s="25"/>
      <c r="O439" s="25"/>
      <c r="P439" s="25"/>
      <c r="Q439" s="25"/>
      <c r="R439" s="25"/>
      <c r="S439" s="151"/>
      <c r="T439" s="151"/>
      <c r="U439" s="151"/>
      <c r="V439" s="73"/>
      <c r="W439" s="28"/>
      <c r="X439" s="24"/>
    </row>
    <row r="440" spans="2:24">
      <c r="B440" s="24"/>
      <c r="C440" s="47"/>
      <c r="D440" s="26"/>
      <c r="E440" s="27"/>
      <c r="F440" s="25"/>
      <c r="G440" s="25"/>
      <c r="H440" s="25"/>
      <c r="I440" s="25"/>
      <c r="J440" s="25"/>
      <c r="K440" s="25"/>
      <c r="L440" s="25"/>
      <c r="M440" s="25"/>
      <c r="N440" s="25"/>
      <c r="O440" s="25"/>
      <c r="P440" s="25"/>
      <c r="Q440" s="25"/>
      <c r="R440" s="25"/>
      <c r="S440" s="151"/>
      <c r="T440" s="151"/>
      <c r="U440" s="151"/>
      <c r="V440" s="73"/>
      <c r="W440" s="28"/>
      <c r="X440" s="24"/>
    </row>
    <row r="441" spans="2:24">
      <c r="B441" s="24"/>
      <c r="C441" s="47"/>
      <c r="D441" s="26"/>
      <c r="E441" s="27"/>
      <c r="F441" s="25"/>
      <c r="G441" s="25"/>
      <c r="H441" s="25"/>
      <c r="I441" s="25"/>
      <c r="J441" s="25"/>
      <c r="K441" s="25"/>
      <c r="L441" s="25"/>
      <c r="M441" s="25"/>
      <c r="N441" s="25"/>
      <c r="O441" s="25"/>
      <c r="P441" s="25"/>
      <c r="Q441" s="25"/>
      <c r="R441" s="25"/>
      <c r="S441" s="151"/>
      <c r="T441" s="151"/>
      <c r="U441" s="151"/>
      <c r="V441" s="73"/>
      <c r="W441" s="28"/>
      <c r="X441" s="24"/>
    </row>
    <row r="442" spans="2:24">
      <c r="B442" s="24"/>
      <c r="C442" s="47"/>
      <c r="D442" s="26"/>
      <c r="E442" s="27"/>
      <c r="F442" s="25"/>
      <c r="G442" s="25"/>
      <c r="H442" s="25"/>
      <c r="I442" s="25"/>
      <c r="J442" s="25"/>
      <c r="K442" s="25"/>
      <c r="L442" s="25"/>
      <c r="M442" s="25"/>
      <c r="N442" s="25"/>
      <c r="O442" s="25"/>
      <c r="P442" s="25"/>
      <c r="Q442" s="25"/>
      <c r="R442" s="25"/>
      <c r="S442" s="151"/>
      <c r="T442" s="151"/>
      <c r="U442" s="151"/>
      <c r="V442" s="73"/>
      <c r="W442" s="28"/>
      <c r="X442" s="24"/>
    </row>
    <row r="443" spans="2:24">
      <c r="B443" s="24"/>
      <c r="C443" s="47"/>
      <c r="D443" s="26"/>
      <c r="E443" s="27"/>
      <c r="F443" s="25"/>
      <c r="G443" s="25"/>
      <c r="H443" s="25"/>
      <c r="I443" s="25"/>
      <c r="J443" s="25"/>
      <c r="K443" s="25"/>
      <c r="L443" s="25"/>
      <c r="M443" s="25"/>
      <c r="N443" s="25"/>
      <c r="O443" s="25"/>
      <c r="P443" s="25"/>
      <c r="Q443" s="25"/>
      <c r="R443" s="25"/>
      <c r="S443" s="151"/>
      <c r="T443" s="151"/>
      <c r="U443" s="151"/>
      <c r="V443" s="73"/>
      <c r="W443" s="28"/>
      <c r="X443" s="24"/>
    </row>
    <row r="444" spans="2:24">
      <c r="B444" s="24"/>
      <c r="C444" s="47"/>
      <c r="D444" s="26"/>
      <c r="E444" s="27"/>
      <c r="F444" s="25"/>
      <c r="G444" s="25"/>
      <c r="H444" s="25"/>
      <c r="I444" s="25"/>
      <c r="J444" s="25"/>
      <c r="K444" s="25"/>
      <c r="L444" s="25"/>
      <c r="M444" s="25"/>
      <c r="N444" s="25"/>
      <c r="O444" s="25"/>
      <c r="P444" s="25"/>
      <c r="Q444" s="25"/>
      <c r="R444" s="25"/>
      <c r="S444" s="151"/>
      <c r="T444" s="151"/>
      <c r="U444" s="151"/>
      <c r="V444" s="73"/>
      <c r="W444" s="28"/>
      <c r="X444" s="24"/>
    </row>
    <row r="445" spans="2:24">
      <c r="B445" s="24"/>
      <c r="C445" s="47"/>
      <c r="D445" s="26"/>
      <c r="E445" s="27"/>
      <c r="F445" s="25"/>
      <c r="G445" s="25"/>
      <c r="H445" s="25"/>
      <c r="I445" s="25"/>
      <c r="J445" s="25"/>
      <c r="K445" s="25"/>
      <c r="L445" s="25"/>
      <c r="M445" s="25"/>
      <c r="N445" s="25"/>
      <c r="O445" s="25"/>
      <c r="P445" s="25"/>
      <c r="Q445" s="25"/>
      <c r="R445" s="25"/>
      <c r="S445" s="151"/>
      <c r="T445" s="151"/>
      <c r="U445" s="151"/>
      <c r="V445" s="73"/>
      <c r="W445" s="28"/>
      <c r="X445" s="24"/>
    </row>
    <row r="446" spans="2:24">
      <c r="B446" s="24"/>
      <c r="C446" s="47"/>
      <c r="D446" s="26"/>
      <c r="E446" s="27"/>
      <c r="F446" s="25"/>
      <c r="G446" s="25"/>
      <c r="H446" s="25"/>
      <c r="I446" s="25"/>
      <c r="J446" s="25"/>
      <c r="K446" s="25"/>
      <c r="L446" s="25"/>
      <c r="M446" s="25"/>
      <c r="N446" s="25"/>
      <c r="O446" s="25"/>
      <c r="P446" s="25"/>
      <c r="Q446" s="25"/>
      <c r="R446" s="25"/>
      <c r="S446" s="151"/>
      <c r="T446" s="151"/>
      <c r="U446" s="151"/>
      <c r="V446" s="73"/>
      <c r="W446" s="28"/>
      <c r="X446" s="24"/>
    </row>
    <row r="447" spans="2:24">
      <c r="B447" s="24"/>
      <c r="C447" s="47"/>
      <c r="D447" s="26"/>
      <c r="E447" s="27"/>
      <c r="F447" s="25"/>
      <c r="G447" s="25"/>
      <c r="H447" s="25"/>
      <c r="I447" s="25"/>
      <c r="J447" s="25"/>
      <c r="K447" s="25"/>
      <c r="L447" s="25"/>
      <c r="M447" s="25"/>
      <c r="N447" s="25"/>
      <c r="O447" s="25"/>
      <c r="P447" s="25"/>
      <c r="Q447" s="25"/>
      <c r="R447" s="25"/>
      <c r="S447" s="151"/>
      <c r="T447" s="151"/>
      <c r="U447" s="151"/>
      <c r="V447" s="73"/>
      <c r="W447" s="28"/>
      <c r="X447" s="24"/>
    </row>
    <row r="448" spans="2:24">
      <c r="B448" s="24"/>
      <c r="C448" s="47"/>
      <c r="D448" s="26"/>
      <c r="E448" s="27"/>
      <c r="F448" s="25"/>
      <c r="G448" s="25"/>
      <c r="H448" s="25"/>
      <c r="I448" s="25"/>
      <c r="J448" s="25"/>
      <c r="K448" s="25"/>
      <c r="L448" s="25"/>
      <c r="M448" s="25"/>
      <c r="N448" s="25"/>
      <c r="O448" s="25"/>
      <c r="P448" s="25"/>
      <c r="Q448" s="25"/>
      <c r="R448" s="25"/>
      <c r="S448" s="151"/>
      <c r="T448" s="151"/>
      <c r="U448" s="151"/>
      <c r="V448" s="73"/>
      <c r="W448" s="28"/>
      <c r="X448" s="24"/>
    </row>
    <row r="449" spans="2:24">
      <c r="B449" s="24"/>
      <c r="C449" s="47"/>
      <c r="D449" s="26"/>
      <c r="E449" s="27"/>
      <c r="F449" s="25"/>
      <c r="G449" s="25"/>
      <c r="H449" s="25"/>
      <c r="I449" s="25"/>
      <c r="J449" s="25"/>
      <c r="K449" s="25"/>
      <c r="L449" s="25"/>
      <c r="M449" s="25"/>
      <c r="N449" s="25"/>
      <c r="O449" s="25"/>
      <c r="P449" s="25"/>
      <c r="Q449" s="25"/>
      <c r="R449" s="25"/>
      <c r="S449" s="151"/>
      <c r="T449" s="151"/>
      <c r="U449" s="151"/>
      <c r="V449" s="73"/>
      <c r="W449" s="28"/>
      <c r="X449" s="24"/>
    </row>
    <row r="450" spans="2:24">
      <c r="B450" s="24"/>
      <c r="C450" s="47"/>
      <c r="D450" s="26"/>
      <c r="E450" s="27"/>
      <c r="F450" s="25"/>
      <c r="G450" s="25"/>
      <c r="H450" s="25"/>
      <c r="I450" s="25"/>
      <c r="J450" s="25"/>
      <c r="K450" s="25"/>
      <c r="L450" s="25"/>
      <c r="M450" s="25"/>
      <c r="N450" s="25"/>
      <c r="O450" s="25"/>
      <c r="P450" s="25"/>
      <c r="Q450" s="25"/>
      <c r="R450" s="25"/>
      <c r="S450" s="151"/>
      <c r="T450" s="151"/>
      <c r="U450" s="151"/>
      <c r="V450" s="73"/>
      <c r="W450" s="28"/>
      <c r="X450" s="24"/>
    </row>
    <row r="451" spans="2:24">
      <c r="B451" s="24"/>
      <c r="C451" s="47"/>
      <c r="D451" s="26"/>
      <c r="E451" s="27"/>
      <c r="F451" s="25"/>
      <c r="G451" s="25"/>
      <c r="H451" s="25"/>
      <c r="I451" s="25"/>
      <c r="J451" s="25"/>
      <c r="K451" s="25"/>
      <c r="L451" s="25"/>
      <c r="M451" s="25"/>
      <c r="N451" s="25"/>
      <c r="O451" s="25"/>
      <c r="P451" s="25"/>
      <c r="Q451" s="25"/>
      <c r="R451" s="25"/>
      <c r="S451" s="151"/>
      <c r="T451" s="151"/>
      <c r="U451" s="151"/>
      <c r="V451" s="73"/>
      <c r="W451" s="28"/>
      <c r="X451" s="24"/>
    </row>
    <row r="452" spans="2:24">
      <c r="B452" s="24"/>
      <c r="C452" s="47"/>
      <c r="D452" s="26"/>
      <c r="E452" s="27"/>
      <c r="F452" s="25"/>
      <c r="G452" s="25"/>
      <c r="H452" s="25"/>
      <c r="I452" s="25"/>
      <c r="J452" s="25"/>
      <c r="K452" s="25"/>
      <c r="L452" s="25"/>
      <c r="M452" s="25"/>
      <c r="N452" s="25"/>
      <c r="O452" s="25"/>
      <c r="P452" s="25"/>
      <c r="Q452" s="25"/>
      <c r="R452" s="25"/>
      <c r="S452" s="151"/>
      <c r="T452" s="151"/>
      <c r="U452" s="151"/>
      <c r="V452" s="73"/>
      <c r="W452" s="28"/>
      <c r="X452" s="24"/>
    </row>
    <row r="453" spans="2:24">
      <c r="B453" s="24"/>
      <c r="C453" s="47"/>
      <c r="D453" s="26"/>
      <c r="E453" s="27"/>
      <c r="F453" s="25"/>
      <c r="G453" s="25"/>
      <c r="H453" s="25"/>
      <c r="I453" s="25"/>
      <c r="J453" s="25"/>
      <c r="K453" s="25"/>
      <c r="L453" s="25"/>
      <c r="M453" s="25"/>
      <c r="N453" s="25"/>
      <c r="O453" s="25"/>
      <c r="P453" s="25"/>
      <c r="Q453" s="25"/>
      <c r="R453" s="25"/>
      <c r="S453" s="151"/>
      <c r="T453" s="151"/>
      <c r="U453" s="151"/>
      <c r="V453" s="73"/>
      <c r="W453" s="28"/>
      <c r="X453" s="24"/>
    </row>
    <row r="454" spans="2:24">
      <c r="B454" s="24"/>
      <c r="C454" s="47"/>
      <c r="D454" s="26"/>
      <c r="E454" s="27"/>
      <c r="F454" s="25"/>
      <c r="G454" s="25"/>
      <c r="H454" s="25"/>
      <c r="I454" s="58"/>
      <c r="J454" s="25"/>
      <c r="K454" s="25"/>
      <c r="L454" s="25"/>
      <c r="M454" s="25"/>
      <c r="N454" s="25"/>
      <c r="O454" s="25"/>
      <c r="P454" s="25"/>
      <c r="Q454" s="25"/>
      <c r="R454" s="25"/>
      <c r="S454" s="151"/>
      <c r="T454" s="151"/>
      <c r="U454" s="151"/>
      <c r="V454" s="73"/>
      <c r="W454" s="28"/>
      <c r="X454" s="24"/>
    </row>
    <row r="455" spans="2:24">
      <c r="B455" s="24"/>
      <c r="C455" s="47"/>
      <c r="D455" s="26"/>
      <c r="E455" s="27"/>
      <c r="F455" s="25"/>
      <c r="G455" s="25"/>
      <c r="H455" s="25"/>
      <c r="I455" s="25"/>
      <c r="J455" s="25"/>
      <c r="K455" s="25"/>
      <c r="L455" s="25"/>
      <c r="M455" s="25"/>
      <c r="N455" s="25"/>
      <c r="O455" s="25"/>
      <c r="P455" s="25"/>
      <c r="Q455" s="25"/>
      <c r="R455" s="25"/>
      <c r="S455" s="151"/>
      <c r="T455" s="151"/>
      <c r="U455" s="151"/>
      <c r="V455" s="73"/>
      <c r="W455" s="28"/>
      <c r="X455" s="24"/>
    </row>
    <row r="456" spans="2:24">
      <c r="B456" s="24"/>
      <c r="C456" s="47"/>
      <c r="D456" s="26"/>
      <c r="E456" s="27"/>
      <c r="F456" s="25"/>
      <c r="G456" s="25"/>
      <c r="H456" s="25"/>
      <c r="I456" s="25"/>
      <c r="J456" s="25"/>
      <c r="K456" s="25"/>
      <c r="L456" s="25"/>
      <c r="M456" s="25"/>
      <c r="N456" s="25"/>
      <c r="O456" s="25"/>
      <c r="P456" s="25"/>
      <c r="Q456" s="25"/>
      <c r="R456" s="25"/>
      <c r="S456" s="151"/>
      <c r="T456" s="151"/>
      <c r="U456" s="151"/>
      <c r="V456" s="73"/>
      <c r="W456" s="28"/>
      <c r="X456" s="24"/>
    </row>
    <row r="457" spans="2:24">
      <c r="B457" s="24"/>
      <c r="C457" s="47"/>
      <c r="D457" s="26"/>
      <c r="E457" s="27"/>
      <c r="F457" s="25"/>
      <c r="G457" s="25"/>
      <c r="H457" s="25"/>
      <c r="I457" s="25"/>
      <c r="J457" s="25"/>
      <c r="K457" s="25"/>
      <c r="L457" s="25"/>
      <c r="M457" s="25"/>
      <c r="N457" s="25"/>
      <c r="O457" s="25"/>
      <c r="P457" s="25"/>
      <c r="Q457" s="25"/>
      <c r="R457" s="25"/>
      <c r="S457" s="151"/>
      <c r="T457" s="151"/>
      <c r="U457" s="151"/>
      <c r="V457" s="73"/>
      <c r="W457" s="28"/>
      <c r="X457" s="24"/>
    </row>
    <row r="458" spans="2:24">
      <c r="B458" s="24"/>
      <c r="C458" s="47"/>
      <c r="D458" s="26"/>
      <c r="E458" s="27"/>
      <c r="F458" s="25"/>
      <c r="G458" s="25"/>
      <c r="H458" s="25"/>
      <c r="I458" s="25"/>
      <c r="J458" s="25"/>
      <c r="K458" s="25"/>
      <c r="L458" s="25"/>
      <c r="M458" s="25"/>
      <c r="N458" s="25"/>
      <c r="O458" s="25"/>
      <c r="P458" s="25"/>
      <c r="Q458" s="25"/>
      <c r="R458" s="25"/>
      <c r="S458" s="151"/>
      <c r="T458" s="151"/>
      <c r="U458" s="151"/>
      <c r="V458" s="73"/>
      <c r="W458" s="28"/>
      <c r="X458" s="24"/>
    </row>
    <row r="459" spans="2:24">
      <c r="B459" s="24"/>
      <c r="C459" s="47"/>
      <c r="D459" s="26"/>
      <c r="E459" s="27"/>
      <c r="F459" s="25"/>
      <c r="G459" s="25"/>
      <c r="H459" s="25"/>
      <c r="I459" s="25"/>
      <c r="J459" s="25"/>
      <c r="K459" s="25"/>
      <c r="L459" s="25"/>
      <c r="M459" s="25"/>
      <c r="N459" s="25"/>
      <c r="O459" s="25"/>
      <c r="P459" s="25"/>
      <c r="Q459" s="25"/>
      <c r="R459" s="25"/>
      <c r="S459" s="151"/>
      <c r="T459" s="151"/>
      <c r="U459" s="151"/>
      <c r="V459" s="73"/>
      <c r="W459" s="28"/>
      <c r="X459" s="24"/>
    </row>
    <row r="460" spans="2:24">
      <c r="B460" s="24"/>
      <c r="C460" s="47"/>
      <c r="D460" s="26"/>
      <c r="E460" s="27"/>
      <c r="F460" s="25"/>
      <c r="G460" s="25"/>
      <c r="H460" s="25"/>
      <c r="I460" s="25"/>
      <c r="J460" s="25"/>
      <c r="K460" s="25"/>
      <c r="L460" s="25"/>
      <c r="M460" s="25"/>
      <c r="N460" s="25"/>
      <c r="O460" s="25"/>
      <c r="P460" s="25"/>
      <c r="Q460" s="25"/>
      <c r="R460" s="25"/>
      <c r="S460" s="151"/>
      <c r="T460" s="151"/>
      <c r="U460" s="151"/>
      <c r="V460" s="73"/>
      <c r="W460" s="28"/>
      <c r="X460" s="24"/>
    </row>
    <row r="461" spans="2:24">
      <c r="B461" s="24"/>
      <c r="C461" s="47"/>
      <c r="D461" s="26"/>
      <c r="E461" s="27"/>
      <c r="F461" s="25"/>
      <c r="G461" s="25"/>
      <c r="H461" s="25"/>
      <c r="I461" s="25"/>
      <c r="J461" s="25"/>
      <c r="K461" s="25"/>
      <c r="L461" s="25"/>
      <c r="M461" s="25"/>
      <c r="N461" s="25"/>
      <c r="O461" s="25"/>
      <c r="P461" s="25"/>
      <c r="Q461" s="25"/>
      <c r="R461" s="25"/>
      <c r="S461" s="151"/>
      <c r="T461" s="151"/>
      <c r="U461" s="151"/>
      <c r="V461" s="73"/>
      <c r="W461" s="28"/>
      <c r="X461" s="24"/>
    </row>
    <row r="462" spans="2:24">
      <c r="B462" s="24"/>
      <c r="C462" s="47"/>
      <c r="D462" s="26"/>
      <c r="E462" s="27"/>
      <c r="F462" s="25"/>
      <c r="G462" s="25"/>
      <c r="H462" s="25"/>
      <c r="I462" s="25"/>
      <c r="J462" s="25"/>
      <c r="K462" s="25"/>
      <c r="L462" s="25"/>
      <c r="M462" s="25"/>
      <c r="N462" s="25"/>
      <c r="O462" s="25"/>
      <c r="P462" s="25"/>
      <c r="Q462" s="25"/>
      <c r="R462" s="25"/>
      <c r="S462" s="151"/>
      <c r="T462" s="151"/>
      <c r="U462" s="151"/>
      <c r="V462" s="73"/>
      <c r="W462" s="28"/>
      <c r="X462" s="24"/>
    </row>
    <row r="463" spans="2:24">
      <c r="B463" s="24"/>
      <c r="C463" s="47"/>
      <c r="D463" s="26"/>
      <c r="E463" s="27"/>
      <c r="F463" s="25"/>
      <c r="G463" s="25"/>
      <c r="H463" s="25"/>
      <c r="I463" s="25"/>
      <c r="J463" s="25"/>
      <c r="K463" s="25"/>
      <c r="L463" s="25"/>
      <c r="M463" s="25"/>
      <c r="N463" s="25"/>
      <c r="O463" s="25"/>
      <c r="P463" s="25"/>
      <c r="Q463" s="25"/>
      <c r="R463" s="25"/>
      <c r="S463" s="151"/>
      <c r="T463" s="151"/>
      <c r="U463" s="151"/>
      <c r="V463" s="73"/>
      <c r="W463" s="28"/>
      <c r="X463" s="24"/>
    </row>
    <row r="464" spans="2:24">
      <c r="B464" s="24"/>
      <c r="C464" s="47"/>
      <c r="D464" s="26"/>
      <c r="E464" s="27"/>
      <c r="F464" s="25"/>
      <c r="G464" s="25"/>
      <c r="H464" s="25"/>
      <c r="I464" s="25"/>
      <c r="J464" s="25"/>
      <c r="K464" s="25"/>
      <c r="L464" s="25"/>
      <c r="M464" s="25"/>
      <c r="N464" s="25"/>
      <c r="O464" s="25"/>
      <c r="P464" s="25"/>
      <c r="Q464" s="25"/>
      <c r="R464" s="25"/>
      <c r="S464" s="151"/>
      <c r="T464" s="151"/>
      <c r="U464" s="151"/>
      <c r="V464" s="73"/>
      <c r="W464" s="28"/>
      <c r="X464" s="24"/>
    </row>
    <row r="465" spans="2:24">
      <c r="B465" s="24"/>
      <c r="C465" s="47"/>
      <c r="D465" s="26"/>
      <c r="E465" s="27"/>
      <c r="F465" s="25"/>
      <c r="G465" s="25"/>
      <c r="H465" s="25"/>
      <c r="I465" s="25"/>
      <c r="J465" s="25"/>
      <c r="K465" s="25"/>
      <c r="L465" s="25"/>
      <c r="M465" s="25"/>
      <c r="N465" s="25"/>
      <c r="O465" s="25"/>
      <c r="P465" s="25"/>
      <c r="Q465" s="25"/>
      <c r="R465" s="25"/>
      <c r="S465" s="151"/>
      <c r="T465" s="151"/>
      <c r="U465" s="151"/>
      <c r="V465" s="73"/>
      <c r="W465" s="28"/>
      <c r="X465" s="24"/>
    </row>
    <row r="466" spans="2:24">
      <c r="B466" s="24"/>
      <c r="C466" s="47"/>
      <c r="D466" s="26"/>
      <c r="E466" s="27"/>
      <c r="F466" s="25"/>
      <c r="G466" s="25"/>
      <c r="H466" s="25"/>
      <c r="I466" s="25"/>
      <c r="J466" s="25"/>
      <c r="K466" s="25"/>
      <c r="L466" s="25"/>
      <c r="M466" s="25"/>
      <c r="N466" s="25"/>
      <c r="O466" s="25"/>
      <c r="P466" s="25"/>
      <c r="Q466" s="25"/>
      <c r="R466" s="25"/>
      <c r="S466" s="151"/>
      <c r="T466" s="151"/>
      <c r="U466" s="151"/>
      <c r="V466" s="73"/>
      <c r="W466" s="28"/>
      <c r="X466" s="24"/>
    </row>
    <row r="467" spans="2:24">
      <c r="B467" s="24"/>
      <c r="C467" s="47"/>
      <c r="D467" s="26"/>
      <c r="E467" s="27"/>
      <c r="F467" s="25"/>
      <c r="G467" s="25"/>
      <c r="H467" s="25"/>
      <c r="I467" s="25"/>
      <c r="J467" s="25"/>
      <c r="K467" s="25"/>
      <c r="L467" s="25"/>
      <c r="M467" s="25"/>
      <c r="N467" s="25"/>
      <c r="O467" s="25"/>
      <c r="P467" s="25"/>
      <c r="Q467" s="25"/>
      <c r="R467" s="25"/>
      <c r="S467" s="151"/>
      <c r="T467" s="151"/>
      <c r="U467" s="151"/>
      <c r="V467" s="73"/>
      <c r="W467" s="28"/>
      <c r="X467" s="24"/>
    </row>
    <row r="468" spans="2:24">
      <c r="B468" s="24"/>
      <c r="C468" s="47"/>
      <c r="D468" s="26"/>
      <c r="E468" s="27"/>
      <c r="F468" s="25"/>
      <c r="G468" s="25"/>
      <c r="H468" s="25"/>
      <c r="I468" s="25"/>
      <c r="J468" s="25"/>
      <c r="K468" s="25"/>
      <c r="L468" s="25"/>
      <c r="M468" s="25"/>
      <c r="N468" s="25"/>
      <c r="O468" s="25"/>
      <c r="P468" s="25"/>
      <c r="Q468" s="25"/>
      <c r="R468" s="25"/>
      <c r="S468" s="151"/>
      <c r="T468" s="151"/>
      <c r="U468" s="151"/>
      <c r="V468" s="73"/>
      <c r="W468" s="28"/>
      <c r="X468" s="24"/>
    </row>
    <row r="469" spans="2:24">
      <c r="B469" s="24"/>
      <c r="C469" s="47"/>
      <c r="D469" s="26"/>
      <c r="E469" s="27"/>
      <c r="F469" s="25"/>
      <c r="G469" s="25"/>
      <c r="H469" s="25"/>
      <c r="I469" s="25"/>
      <c r="J469" s="25"/>
      <c r="K469" s="25"/>
      <c r="L469" s="25"/>
      <c r="M469" s="25"/>
      <c r="N469" s="25"/>
      <c r="O469" s="25"/>
      <c r="P469" s="25"/>
      <c r="Q469" s="25"/>
      <c r="R469" s="25"/>
      <c r="S469" s="151"/>
      <c r="T469" s="151"/>
      <c r="U469" s="151"/>
      <c r="V469" s="73"/>
      <c r="W469" s="28"/>
      <c r="X469" s="24"/>
    </row>
    <row r="470" spans="2:24">
      <c r="B470" s="24"/>
      <c r="C470" s="47"/>
      <c r="D470" s="26"/>
      <c r="E470" s="27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151"/>
      <c r="T470" s="151"/>
      <c r="U470" s="151"/>
      <c r="V470" s="73"/>
      <c r="W470" s="28"/>
      <c r="X470" s="24"/>
    </row>
    <row r="471" spans="2:24">
      <c r="B471" s="24"/>
      <c r="C471" s="47"/>
      <c r="D471" s="26"/>
      <c r="E471" s="27"/>
      <c r="F471" s="25"/>
      <c r="G471" s="25"/>
      <c r="H471" s="25"/>
      <c r="I471" s="25"/>
      <c r="J471" s="25"/>
      <c r="K471" s="25"/>
      <c r="L471" s="25"/>
      <c r="M471" s="25"/>
      <c r="N471" s="25"/>
      <c r="O471" s="25"/>
      <c r="P471" s="25"/>
      <c r="Q471" s="25"/>
      <c r="R471" s="25"/>
      <c r="S471" s="151"/>
      <c r="T471" s="151"/>
      <c r="U471" s="151"/>
      <c r="V471" s="73"/>
      <c r="W471" s="28"/>
      <c r="X471" s="24"/>
    </row>
    <row r="472" spans="2:24">
      <c r="B472" s="24"/>
      <c r="C472" s="47"/>
      <c r="D472" s="26"/>
      <c r="E472" s="27"/>
      <c r="F472" s="25"/>
      <c r="G472" s="25"/>
      <c r="H472" s="25"/>
      <c r="I472" s="25"/>
      <c r="J472" s="25"/>
      <c r="K472" s="25"/>
      <c r="L472" s="25"/>
      <c r="M472" s="25"/>
      <c r="N472" s="25"/>
      <c r="O472" s="25"/>
      <c r="P472" s="25"/>
      <c r="Q472" s="25"/>
      <c r="R472" s="25"/>
      <c r="S472" s="151"/>
      <c r="T472" s="151"/>
      <c r="U472" s="151"/>
      <c r="V472" s="73"/>
      <c r="W472" s="28"/>
      <c r="X472" s="24"/>
    </row>
    <row r="473" spans="2:24">
      <c r="B473" s="24"/>
      <c r="C473" s="47"/>
      <c r="D473" s="26"/>
      <c r="E473" s="27"/>
      <c r="F473" s="25"/>
      <c r="G473" s="25"/>
      <c r="H473" s="25"/>
      <c r="I473" s="25"/>
      <c r="J473" s="25"/>
      <c r="K473" s="25"/>
      <c r="L473" s="25"/>
      <c r="M473" s="25"/>
      <c r="N473" s="25"/>
      <c r="O473" s="25"/>
      <c r="P473" s="25"/>
      <c r="Q473" s="25"/>
      <c r="R473" s="25"/>
      <c r="S473" s="151"/>
      <c r="T473" s="151"/>
      <c r="U473" s="151"/>
      <c r="V473" s="73"/>
      <c r="W473" s="28"/>
      <c r="X473" s="24"/>
    </row>
    <row r="474" spans="2:24">
      <c r="B474" s="24"/>
      <c r="C474" s="47"/>
      <c r="D474" s="26"/>
      <c r="E474" s="27"/>
      <c r="F474" s="25"/>
      <c r="G474" s="25"/>
      <c r="H474" s="25"/>
      <c r="I474" s="25"/>
      <c r="J474" s="25"/>
      <c r="K474" s="25"/>
      <c r="L474" s="25"/>
      <c r="M474" s="25"/>
      <c r="N474" s="25"/>
      <c r="O474" s="25"/>
      <c r="P474" s="25"/>
      <c r="Q474" s="25"/>
      <c r="R474" s="25"/>
      <c r="S474" s="151"/>
      <c r="T474" s="151"/>
      <c r="U474" s="151"/>
      <c r="V474" s="73"/>
      <c r="W474" s="28"/>
      <c r="X474" s="24"/>
    </row>
    <row r="475" spans="2:24">
      <c r="B475" s="24"/>
      <c r="C475" s="47"/>
      <c r="D475" s="26"/>
      <c r="E475" s="27"/>
      <c r="F475" s="25"/>
      <c r="G475" s="25"/>
      <c r="H475" s="25"/>
      <c r="I475" s="25"/>
      <c r="J475" s="25"/>
      <c r="K475" s="25"/>
      <c r="L475" s="25"/>
      <c r="M475" s="25"/>
      <c r="N475" s="25"/>
      <c r="O475" s="25"/>
      <c r="P475" s="25"/>
      <c r="Q475" s="25"/>
      <c r="R475" s="25"/>
      <c r="S475" s="151"/>
      <c r="T475" s="151"/>
      <c r="U475" s="151"/>
      <c r="V475" s="73"/>
      <c r="W475" s="28"/>
      <c r="X475" s="24"/>
    </row>
    <row r="476" spans="2:24">
      <c r="B476" s="24"/>
      <c r="C476" s="47"/>
      <c r="D476" s="26"/>
      <c r="E476" s="27"/>
      <c r="F476" s="25"/>
      <c r="G476" s="25"/>
      <c r="H476" s="25"/>
      <c r="I476" s="25"/>
      <c r="J476" s="25"/>
      <c r="K476" s="25"/>
      <c r="L476" s="25"/>
      <c r="M476" s="25"/>
      <c r="N476" s="25"/>
      <c r="O476" s="25"/>
      <c r="P476" s="25"/>
      <c r="Q476" s="25"/>
      <c r="R476" s="25"/>
      <c r="S476" s="151"/>
      <c r="T476" s="151"/>
      <c r="U476" s="151"/>
      <c r="V476" s="73"/>
      <c r="W476" s="28"/>
      <c r="X476" s="24"/>
    </row>
    <row r="477" spans="2:24">
      <c r="B477" s="24"/>
      <c r="C477" s="47"/>
      <c r="D477" s="26"/>
      <c r="E477" s="27"/>
      <c r="F477" s="25"/>
      <c r="G477" s="25"/>
      <c r="H477" s="25"/>
      <c r="I477" s="25"/>
      <c r="J477" s="25"/>
      <c r="K477" s="25"/>
      <c r="L477" s="25"/>
      <c r="M477" s="25"/>
      <c r="N477" s="25"/>
      <c r="O477" s="25"/>
      <c r="P477" s="25"/>
      <c r="Q477" s="25"/>
      <c r="R477" s="25"/>
      <c r="S477" s="151"/>
      <c r="T477" s="151"/>
      <c r="U477" s="151"/>
      <c r="V477" s="73"/>
      <c r="W477" s="28"/>
      <c r="X477" s="24"/>
    </row>
    <row r="478" spans="2:24" ht="12" customHeight="1">
      <c r="B478" s="24"/>
      <c r="C478" s="47"/>
      <c r="D478" s="26"/>
      <c r="E478" s="27"/>
      <c r="F478" s="25"/>
      <c r="G478" s="25"/>
      <c r="H478" s="25"/>
      <c r="I478" s="25"/>
      <c r="J478" s="25"/>
      <c r="K478" s="25"/>
      <c r="L478" s="25"/>
      <c r="M478" s="25"/>
      <c r="N478" s="25"/>
      <c r="O478" s="25"/>
      <c r="P478" s="25"/>
      <c r="Q478" s="25"/>
      <c r="R478" s="25"/>
      <c r="S478" s="151"/>
      <c r="T478" s="151"/>
      <c r="U478" s="151"/>
      <c r="V478" s="73"/>
      <c r="W478" s="28"/>
      <c r="X478" s="24"/>
    </row>
    <row r="479" spans="2:24">
      <c r="B479" s="24"/>
      <c r="C479" s="47"/>
      <c r="D479" s="26"/>
      <c r="E479" s="27"/>
      <c r="F479" s="25"/>
      <c r="G479" s="25"/>
      <c r="H479" s="25"/>
      <c r="I479" s="25"/>
      <c r="J479" s="25"/>
      <c r="K479" s="25"/>
      <c r="L479" s="25"/>
      <c r="M479" s="25"/>
      <c r="N479" s="25"/>
      <c r="O479" s="25"/>
      <c r="P479" s="25"/>
      <c r="Q479" s="25"/>
      <c r="R479" s="25"/>
      <c r="S479" s="151"/>
      <c r="T479" s="151"/>
      <c r="U479" s="151"/>
      <c r="V479" s="73"/>
      <c r="W479" s="28"/>
      <c r="X479" s="24"/>
    </row>
    <row r="480" spans="2:24">
      <c r="B480" s="24"/>
      <c r="C480" s="47"/>
      <c r="D480" s="26"/>
      <c r="E480" s="27"/>
      <c r="F480" s="25"/>
      <c r="G480" s="25"/>
      <c r="H480" s="25"/>
      <c r="I480" s="25"/>
      <c r="J480" s="25"/>
      <c r="K480" s="25"/>
      <c r="L480" s="25"/>
      <c r="M480" s="25"/>
      <c r="N480" s="25"/>
      <c r="O480" s="25"/>
      <c r="P480" s="25"/>
      <c r="Q480" s="25"/>
      <c r="R480" s="25"/>
      <c r="S480" s="151"/>
      <c r="T480" s="151"/>
      <c r="U480" s="151"/>
      <c r="V480" s="73"/>
      <c r="W480" s="28"/>
      <c r="X480" s="24"/>
    </row>
    <row r="481" spans="2:24">
      <c r="B481" s="24"/>
      <c r="C481" s="47"/>
      <c r="D481" s="26"/>
      <c r="E481" s="27"/>
      <c r="F481" s="25"/>
      <c r="G481" s="25"/>
      <c r="H481" s="25"/>
      <c r="I481" s="25"/>
      <c r="J481" s="25"/>
      <c r="K481" s="25"/>
      <c r="L481" s="25"/>
      <c r="M481" s="25"/>
      <c r="N481" s="25"/>
      <c r="O481" s="25"/>
      <c r="P481" s="25"/>
      <c r="Q481" s="25"/>
      <c r="R481" s="25"/>
      <c r="S481" s="151"/>
      <c r="T481" s="151"/>
      <c r="U481" s="151"/>
      <c r="V481" s="73"/>
      <c r="W481" s="28"/>
      <c r="X481" s="24"/>
    </row>
    <row r="482" spans="2:24">
      <c r="B482" s="24"/>
      <c r="C482" s="47"/>
      <c r="D482" s="26"/>
      <c r="E482" s="27"/>
      <c r="F482" s="25"/>
      <c r="G482" s="25"/>
      <c r="H482" s="25"/>
      <c r="I482" s="25"/>
      <c r="J482" s="25"/>
      <c r="K482" s="25"/>
      <c r="L482" s="25"/>
      <c r="M482" s="25"/>
      <c r="N482" s="25"/>
      <c r="O482" s="25"/>
      <c r="P482" s="25"/>
      <c r="Q482" s="25"/>
      <c r="R482" s="25"/>
      <c r="S482" s="151"/>
      <c r="T482" s="151"/>
      <c r="U482" s="151"/>
      <c r="V482" s="73"/>
      <c r="W482" s="28"/>
      <c r="X482" s="24"/>
    </row>
    <row r="483" spans="2:24">
      <c r="B483" s="24"/>
      <c r="C483" s="47"/>
      <c r="D483" s="26"/>
      <c r="E483" s="27"/>
      <c r="F483" s="25"/>
      <c r="G483" s="25"/>
      <c r="H483" s="25"/>
      <c r="I483" s="25"/>
      <c r="J483" s="25"/>
      <c r="K483" s="25"/>
      <c r="L483" s="25"/>
      <c r="M483" s="25"/>
      <c r="N483" s="25"/>
      <c r="O483" s="25"/>
      <c r="P483" s="25"/>
      <c r="Q483" s="25"/>
      <c r="R483" s="25"/>
      <c r="S483" s="151"/>
      <c r="T483" s="151"/>
      <c r="U483" s="151"/>
      <c r="V483" s="73"/>
      <c r="W483" s="28"/>
      <c r="X483" s="24"/>
    </row>
    <row r="484" spans="2:24">
      <c r="B484" s="24"/>
      <c r="C484" s="47"/>
      <c r="D484" s="26"/>
      <c r="E484" s="27"/>
      <c r="F484" s="25"/>
      <c r="G484" s="25"/>
      <c r="H484" s="25"/>
      <c r="I484" s="25"/>
      <c r="J484" s="25"/>
      <c r="K484" s="25"/>
      <c r="L484" s="25"/>
      <c r="M484" s="25"/>
      <c r="N484" s="25"/>
      <c r="O484" s="25"/>
      <c r="P484" s="25"/>
      <c r="Q484" s="25"/>
      <c r="R484" s="25"/>
      <c r="S484" s="151"/>
      <c r="T484" s="151"/>
      <c r="U484" s="151"/>
      <c r="V484" s="73"/>
      <c r="W484" s="28"/>
      <c r="X484" s="24"/>
    </row>
    <row r="485" spans="2:24">
      <c r="B485" s="24"/>
      <c r="C485" s="47"/>
      <c r="D485" s="26"/>
      <c r="E485" s="27"/>
      <c r="F485" s="25"/>
      <c r="G485" s="25"/>
      <c r="H485" s="25"/>
      <c r="I485" s="25"/>
      <c r="J485" s="25"/>
      <c r="K485" s="25"/>
      <c r="L485" s="25"/>
      <c r="M485" s="25"/>
      <c r="N485" s="25"/>
      <c r="O485" s="25"/>
      <c r="P485" s="25"/>
      <c r="Q485" s="25"/>
      <c r="R485" s="25"/>
      <c r="S485" s="151"/>
      <c r="T485" s="151"/>
      <c r="U485" s="151"/>
      <c r="V485" s="73"/>
      <c r="W485" s="28"/>
      <c r="X485" s="24"/>
    </row>
    <row r="486" spans="2:24">
      <c r="B486" s="24"/>
      <c r="C486" s="47"/>
      <c r="D486" s="26"/>
      <c r="E486" s="27"/>
      <c r="F486" s="25"/>
      <c r="G486" s="25"/>
      <c r="H486" s="25"/>
      <c r="I486" s="25"/>
      <c r="J486" s="25"/>
      <c r="K486" s="25"/>
      <c r="L486" s="25"/>
      <c r="M486" s="25"/>
      <c r="N486" s="25"/>
      <c r="O486" s="25"/>
      <c r="P486" s="25"/>
      <c r="Q486" s="25"/>
      <c r="R486" s="25"/>
      <c r="S486" s="151"/>
      <c r="T486" s="151"/>
      <c r="U486" s="151"/>
      <c r="V486" s="73"/>
      <c r="W486" s="28"/>
      <c r="X486" s="24"/>
    </row>
    <row r="487" spans="2:24">
      <c r="B487" s="24"/>
      <c r="C487" s="47"/>
      <c r="D487" s="26"/>
      <c r="E487" s="27"/>
      <c r="F487" s="25"/>
      <c r="G487" s="25"/>
      <c r="H487" s="25"/>
      <c r="I487" s="25"/>
      <c r="J487" s="25"/>
      <c r="K487" s="25"/>
      <c r="L487" s="25"/>
      <c r="M487" s="25"/>
      <c r="N487" s="25"/>
      <c r="O487" s="25"/>
      <c r="P487" s="25"/>
      <c r="Q487" s="25"/>
      <c r="R487" s="25"/>
      <c r="S487" s="151"/>
      <c r="T487" s="151"/>
      <c r="U487" s="151"/>
      <c r="V487" s="73"/>
      <c r="W487" s="28"/>
      <c r="X487" s="24"/>
    </row>
    <row r="488" spans="2:24">
      <c r="B488" s="24"/>
      <c r="C488" s="47"/>
      <c r="D488" s="26"/>
      <c r="E488" s="27"/>
      <c r="F488" s="25"/>
      <c r="G488" s="25"/>
      <c r="H488" s="25"/>
      <c r="I488" s="25"/>
      <c r="J488" s="25"/>
      <c r="K488" s="25"/>
      <c r="L488" s="25"/>
      <c r="M488" s="25"/>
      <c r="N488" s="25"/>
      <c r="O488" s="25"/>
      <c r="P488" s="25"/>
      <c r="Q488" s="25"/>
      <c r="R488" s="25"/>
      <c r="S488" s="151"/>
      <c r="T488" s="151"/>
      <c r="U488" s="151"/>
      <c r="V488" s="73"/>
      <c r="W488" s="28"/>
      <c r="X488" s="24"/>
    </row>
    <row r="489" spans="2:24">
      <c r="B489" s="24"/>
      <c r="C489" s="47"/>
      <c r="D489" s="26"/>
      <c r="E489" s="27"/>
      <c r="F489" s="25"/>
      <c r="G489" s="25"/>
      <c r="H489" s="25"/>
      <c r="I489" s="25"/>
      <c r="J489" s="25"/>
      <c r="K489" s="25"/>
      <c r="L489" s="25"/>
      <c r="M489" s="25"/>
      <c r="N489" s="25"/>
      <c r="O489" s="25"/>
      <c r="P489" s="25"/>
      <c r="Q489" s="25"/>
      <c r="R489" s="25"/>
      <c r="S489" s="151"/>
      <c r="T489" s="151"/>
      <c r="U489" s="151"/>
      <c r="V489" s="73"/>
      <c r="W489" s="28"/>
      <c r="X489" s="24"/>
    </row>
    <row r="490" spans="2:24">
      <c r="B490" s="24"/>
      <c r="C490" s="47"/>
      <c r="D490" s="26"/>
      <c r="E490" s="27"/>
      <c r="F490" s="25"/>
      <c r="G490" s="25"/>
      <c r="H490" s="25"/>
      <c r="I490" s="25"/>
      <c r="J490" s="25"/>
      <c r="K490" s="25"/>
      <c r="L490" s="25"/>
      <c r="M490" s="25"/>
      <c r="N490" s="25"/>
      <c r="O490" s="25"/>
      <c r="P490" s="25"/>
      <c r="Q490" s="25"/>
      <c r="R490" s="25"/>
      <c r="S490" s="151"/>
      <c r="T490" s="151"/>
      <c r="U490" s="151"/>
      <c r="V490" s="73"/>
      <c r="W490" s="28"/>
      <c r="X490" s="24"/>
    </row>
    <row r="491" spans="2:24">
      <c r="B491" s="24"/>
      <c r="C491" s="47"/>
      <c r="D491" s="26"/>
      <c r="E491" s="27"/>
      <c r="F491" s="25"/>
      <c r="G491" s="25"/>
      <c r="H491" s="25"/>
      <c r="I491" s="25"/>
      <c r="J491" s="25"/>
      <c r="K491" s="25"/>
      <c r="L491" s="25"/>
      <c r="M491" s="25"/>
      <c r="N491" s="25"/>
      <c r="O491" s="25"/>
      <c r="P491" s="25"/>
      <c r="Q491" s="25"/>
      <c r="R491" s="25"/>
      <c r="S491" s="151"/>
      <c r="T491" s="151"/>
      <c r="U491" s="151"/>
      <c r="V491" s="73"/>
      <c r="W491" s="28"/>
      <c r="X491" s="24"/>
    </row>
    <row r="492" spans="2:24">
      <c r="B492" s="24"/>
      <c r="C492" s="47"/>
      <c r="D492" s="26"/>
      <c r="E492" s="27"/>
      <c r="F492" s="25"/>
      <c r="G492" s="25"/>
      <c r="H492" s="25"/>
      <c r="I492" s="25"/>
      <c r="J492" s="25"/>
      <c r="K492" s="25"/>
      <c r="L492" s="25"/>
      <c r="M492" s="25"/>
      <c r="N492" s="25"/>
      <c r="O492" s="25"/>
      <c r="P492" s="25"/>
      <c r="Q492" s="25"/>
      <c r="R492" s="25"/>
      <c r="S492" s="151"/>
      <c r="T492" s="151"/>
      <c r="U492" s="151"/>
      <c r="V492" s="73"/>
      <c r="W492" s="28"/>
      <c r="X492" s="24"/>
    </row>
    <row r="493" spans="2:24">
      <c r="B493" s="24"/>
      <c r="C493" s="47"/>
      <c r="D493" s="26"/>
      <c r="E493" s="27"/>
      <c r="F493" s="25"/>
      <c r="G493" s="25"/>
      <c r="H493" s="25"/>
      <c r="I493" s="58"/>
      <c r="J493" s="25"/>
      <c r="K493" s="25"/>
      <c r="L493" s="25"/>
      <c r="M493" s="25"/>
      <c r="N493" s="25"/>
      <c r="O493" s="25"/>
      <c r="P493" s="25"/>
      <c r="Q493" s="25"/>
      <c r="R493" s="25"/>
      <c r="S493" s="151"/>
      <c r="T493" s="151"/>
      <c r="U493" s="151"/>
      <c r="V493" s="73"/>
      <c r="W493" s="28"/>
      <c r="X493" s="24"/>
    </row>
    <row r="494" spans="2:24">
      <c r="B494" s="24"/>
      <c r="C494" s="47"/>
      <c r="D494" s="26"/>
      <c r="E494" s="27"/>
      <c r="F494" s="25"/>
      <c r="G494" s="25"/>
      <c r="H494" s="25"/>
      <c r="I494" s="25"/>
      <c r="J494" s="25"/>
      <c r="K494" s="25"/>
      <c r="L494" s="25"/>
      <c r="M494" s="25"/>
      <c r="N494" s="25"/>
      <c r="O494" s="25"/>
      <c r="P494" s="25"/>
      <c r="Q494" s="25"/>
      <c r="R494" s="25"/>
      <c r="S494" s="151"/>
      <c r="T494" s="151"/>
      <c r="U494" s="151"/>
      <c r="V494" s="73"/>
      <c r="W494" s="28"/>
      <c r="X494" s="24"/>
    </row>
    <row r="495" spans="2:24">
      <c r="B495" s="24"/>
      <c r="C495" s="47"/>
      <c r="D495" s="26"/>
      <c r="E495" s="27"/>
      <c r="F495" s="25"/>
      <c r="G495" s="25"/>
      <c r="H495" s="25"/>
      <c r="I495" s="25"/>
      <c r="J495" s="25"/>
      <c r="K495" s="25"/>
      <c r="L495" s="25"/>
      <c r="M495" s="25"/>
      <c r="N495" s="25"/>
      <c r="O495" s="25"/>
      <c r="P495" s="25"/>
      <c r="Q495" s="25"/>
      <c r="R495" s="25"/>
      <c r="S495" s="151"/>
      <c r="T495" s="151"/>
      <c r="U495" s="151"/>
      <c r="V495" s="73"/>
      <c r="W495" s="28"/>
      <c r="X495" s="24"/>
    </row>
    <row r="496" spans="2:24">
      <c r="B496" s="24"/>
      <c r="C496" s="47"/>
      <c r="D496" s="26"/>
      <c r="E496" s="27"/>
      <c r="F496" s="25"/>
      <c r="G496" s="25"/>
      <c r="H496" s="25"/>
      <c r="I496" s="25"/>
      <c r="J496" s="25"/>
      <c r="K496" s="25"/>
      <c r="L496" s="25"/>
      <c r="M496" s="25"/>
      <c r="N496" s="25"/>
      <c r="O496" s="25"/>
      <c r="P496" s="25"/>
      <c r="Q496" s="25"/>
      <c r="R496" s="25"/>
      <c r="S496" s="151"/>
      <c r="T496" s="151"/>
      <c r="U496" s="151"/>
      <c r="V496" s="73"/>
      <c r="W496" s="28"/>
      <c r="X496" s="24"/>
    </row>
    <row r="497" spans="2:24">
      <c r="B497" s="24"/>
      <c r="C497" s="47"/>
      <c r="D497" s="26"/>
      <c r="E497" s="27"/>
      <c r="F497" s="25"/>
      <c r="G497" s="25"/>
      <c r="H497" s="25"/>
      <c r="I497" s="25"/>
      <c r="J497" s="25"/>
      <c r="K497" s="25"/>
      <c r="L497" s="25"/>
      <c r="M497" s="25"/>
      <c r="N497" s="25"/>
      <c r="O497" s="25"/>
      <c r="P497" s="25"/>
      <c r="Q497" s="25"/>
      <c r="R497" s="25"/>
      <c r="S497" s="151"/>
      <c r="T497" s="151"/>
      <c r="U497" s="151"/>
      <c r="V497" s="73"/>
      <c r="W497" s="28"/>
      <c r="X497" s="24"/>
    </row>
    <row r="498" spans="2:24">
      <c r="B498" s="24"/>
      <c r="C498" s="47"/>
      <c r="D498" s="26"/>
      <c r="E498" s="27"/>
      <c r="F498" s="25"/>
      <c r="G498" s="25"/>
      <c r="H498" s="25"/>
      <c r="I498" s="25"/>
      <c r="J498" s="25"/>
      <c r="K498" s="25"/>
      <c r="L498" s="25"/>
      <c r="M498" s="25"/>
      <c r="N498" s="25"/>
      <c r="O498" s="25"/>
      <c r="P498" s="25"/>
      <c r="Q498" s="25"/>
      <c r="R498" s="25"/>
      <c r="S498" s="151"/>
      <c r="T498" s="151"/>
      <c r="U498" s="151"/>
      <c r="V498" s="73"/>
      <c r="W498" s="28"/>
      <c r="X498" s="24"/>
    </row>
    <row r="499" spans="2:24">
      <c r="B499" s="24"/>
      <c r="C499" s="47"/>
      <c r="D499" s="26"/>
      <c r="E499" s="27"/>
      <c r="F499" s="25"/>
      <c r="G499" s="25"/>
      <c r="H499" s="25"/>
      <c r="I499" s="25"/>
      <c r="J499" s="25"/>
      <c r="K499" s="25"/>
      <c r="L499" s="25"/>
      <c r="M499" s="25"/>
      <c r="N499" s="25"/>
      <c r="O499" s="25"/>
      <c r="P499" s="25"/>
      <c r="Q499" s="25"/>
      <c r="R499" s="25"/>
      <c r="S499" s="151"/>
      <c r="T499" s="151"/>
      <c r="U499" s="151"/>
      <c r="V499" s="73"/>
      <c r="W499" s="28"/>
      <c r="X499" s="24"/>
    </row>
    <row r="500" spans="2:24">
      <c r="B500" s="24"/>
      <c r="C500" s="47"/>
      <c r="D500" s="26"/>
      <c r="E500" s="27"/>
      <c r="F500" s="25"/>
      <c r="G500" s="25"/>
      <c r="H500" s="25"/>
      <c r="I500" s="25"/>
      <c r="J500" s="25"/>
      <c r="K500" s="25"/>
      <c r="L500" s="25"/>
      <c r="M500" s="25"/>
      <c r="N500" s="25"/>
      <c r="O500" s="25"/>
      <c r="P500" s="25"/>
      <c r="Q500" s="25"/>
      <c r="R500" s="25"/>
      <c r="S500" s="151"/>
      <c r="T500" s="151"/>
      <c r="U500" s="151"/>
      <c r="V500" s="73"/>
      <c r="W500" s="28"/>
      <c r="X500" s="24"/>
    </row>
    <row r="501" spans="2:24">
      <c r="B501" s="24"/>
      <c r="C501" s="47"/>
      <c r="D501" s="26"/>
      <c r="E501" s="27"/>
      <c r="F501" s="25"/>
      <c r="G501" s="25"/>
      <c r="H501" s="25"/>
      <c r="I501" s="25"/>
      <c r="J501" s="25"/>
      <c r="K501" s="25"/>
      <c r="L501" s="25"/>
      <c r="M501" s="25"/>
      <c r="N501" s="25"/>
      <c r="O501" s="25"/>
      <c r="P501" s="25"/>
      <c r="Q501" s="25"/>
      <c r="R501" s="25"/>
      <c r="S501" s="151"/>
      <c r="T501" s="151"/>
      <c r="U501" s="151"/>
      <c r="V501" s="73"/>
      <c r="W501" s="28"/>
      <c r="X501" s="24"/>
    </row>
    <row r="502" spans="2:24">
      <c r="B502" s="24"/>
      <c r="C502" s="47"/>
      <c r="D502" s="26"/>
      <c r="E502" s="27"/>
      <c r="F502" s="25"/>
      <c r="G502" s="25"/>
      <c r="H502" s="25"/>
      <c r="I502" s="25"/>
      <c r="J502" s="25"/>
      <c r="K502" s="25"/>
      <c r="L502" s="25"/>
      <c r="M502" s="25"/>
      <c r="N502" s="25"/>
      <c r="O502" s="25"/>
      <c r="P502" s="25"/>
      <c r="Q502" s="25"/>
      <c r="R502" s="25"/>
      <c r="S502" s="151"/>
      <c r="T502" s="151"/>
      <c r="U502" s="151"/>
      <c r="V502" s="73"/>
      <c r="W502" s="28"/>
      <c r="X502" s="24"/>
    </row>
    <row r="503" spans="2:24">
      <c r="B503" s="24"/>
      <c r="C503" s="47"/>
      <c r="D503" s="26"/>
      <c r="E503" s="27"/>
      <c r="F503" s="25"/>
      <c r="G503" s="25"/>
      <c r="H503" s="25"/>
      <c r="I503" s="25"/>
      <c r="J503" s="25"/>
      <c r="K503" s="25"/>
      <c r="L503" s="25"/>
      <c r="M503" s="25"/>
      <c r="N503" s="25"/>
      <c r="O503" s="25"/>
      <c r="P503" s="25"/>
      <c r="Q503" s="25"/>
      <c r="R503" s="25"/>
      <c r="S503" s="151"/>
      <c r="T503" s="151"/>
      <c r="U503" s="151"/>
      <c r="V503" s="73"/>
      <c r="W503" s="28"/>
      <c r="X503" s="24"/>
    </row>
    <row r="504" spans="2:24">
      <c r="B504" s="24"/>
      <c r="C504" s="47"/>
      <c r="D504" s="26"/>
      <c r="E504" s="27"/>
      <c r="F504" s="25"/>
      <c r="G504" s="25"/>
      <c r="H504" s="25"/>
      <c r="I504" s="25"/>
      <c r="J504" s="25"/>
      <c r="K504" s="25"/>
      <c r="L504" s="25"/>
      <c r="M504" s="25"/>
      <c r="N504" s="25"/>
      <c r="O504" s="25"/>
      <c r="P504" s="25"/>
      <c r="Q504" s="25"/>
      <c r="R504" s="25"/>
      <c r="S504" s="151"/>
      <c r="T504" s="151"/>
      <c r="U504" s="151"/>
      <c r="V504" s="73"/>
      <c r="W504" s="28"/>
      <c r="X504" s="24"/>
    </row>
    <row r="505" spans="2:24">
      <c r="B505" s="24"/>
      <c r="C505" s="47"/>
      <c r="D505" s="26"/>
      <c r="E505" s="27"/>
      <c r="F505" s="25"/>
      <c r="G505" s="25"/>
      <c r="H505" s="25"/>
      <c r="I505" s="25"/>
      <c r="J505" s="25"/>
      <c r="K505" s="25"/>
      <c r="L505" s="25"/>
      <c r="M505" s="25"/>
      <c r="N505" s="25"/>
      <c r="O505" s="25"/>
      <c r="P505" s="25"/>
      <c r="Q505" s="25"/>
      <c r="R505" s="25"/>
      <c r="S505" s="151"/>
      <c r="T505" s="151"/>
      <c r="U505" s="151"/>
      <c r="V505" s="73"/>
      <c r="W505" s="28"/>
      <c r="X505" s="24"/>
    </row>
    <row r="506" spans="2:24">
      <c r="B506" s="24"/>
      <c r="C506" s="47"/>
      <c r="D506" s="26"/>
      <c r="E506" s="27"/>
      <c r="F506" s="25"/>
      <c r="G506" s="25"/>
      <c r="H506" s="25"/>
      <c r="I506" s="25"/>
      <c r="J506" s="25"/>
      <c r="K506" s="25"/>
      <c r="L506" s="25"/>
      <c r="M506" s="25"/>
      <c r="N506" s="25"/>
      <c r="O506" s="25"/>
      <c r="P506" s="25"/>
      <c r="Q506" s="25"/>
      <c r="R506" s="25"/>
      <c r="S506" s="151"/>
      <c r="T506" s="151"/>
      <c r="U506" s="151"/>
      <c r="V506" s="73"/>
      <c r="W506" s="28"/>
      <c r="X506" s="24"/>
    </row>
    <row r="507" spans="2:24">
      <c r="B507" s="24"/>
      <c r="C507" s="47"/>
      <c r="D507" s="26"/>
      <c r="E507" s="27"/>
      <c r="F507" s="25"/>
      <c r="G507" s="25"/>
      <c r="H507" s="25"/>
      <c r="I507" s="25"/>
      <c r="J507" s="25"/>
      <c r="K507" s="25"/>
      <c r="L507" s="25"/>
      <c r="M507" s="25"/>
      <c r="N507" s="25"/>
      <c r="O507" s="25"/>
      <c r="P507" s="25"/>
      <c r="Q507" s="25"/>
      <c r="R507" s="25"/>
      <c r="S507" s="151"/>
      <c r="T507" s="151"/>
      <c r="U507" s="151"/>
      <c r="V507" s="73"/>
      <c r="W507" s="28"/>
      <c r="X507" s="24"/>
    </row>
    <row r="508" spans="2:24">
      <c r="B508" s="24"/>
      <c r="C508" s="47"/>
      <c r="D508" s="26"/>
      <c r="E508" s="27"/>
      <c r="F508" s="25"/>
      <c r="G508" s="25"/>
      <c r="H508" s="25"/>
      <c r="I508" s="25"/>
      <c r="J508" s="25"/>
      <c r="K508" s="25"/>
      <c r="L508" s="25"/>
      <c r="M508" s="25"/>
      <c r="N508" s="25"/>
      <c r="O508" s="25"/>
      <c r="P508" s="25"/>
      <c r="Q508" s="25"/>
      <c r="R508" s="25"/>
      <c r="S508" s="151"/>
      <c r="T508" s="151"/>
      <c r="U508" s="151"/>
      <c r="V508" s="73"/>
      <c r="W508" s="28"/>
      <c r="X508" s="24"/>
    </row>
    <row r="509" spans="2:24">
      <c r="B509" s="24"/>
      <c r="C509" s="47"/>
      <c r="D509" s="26"/>
      <c r="E509" s="27"/>
      <c r="F509" s="25"/>
      <c r="G509" s="25"/>
      <c r="H509" s="25"/>
      <c r="I509" s="25"/>
      <c r="J509" s="25"/>
      <c r="K509" s="25"/>
      <c r="L509" s="25"/>
      <c r="M509" s="25"/>
      <c r="N509" s="25"/>
      <c r="O509" s="25"/>
      <c r="P509" s="25"/>
      <c r="Q509" s="25"/>
      <c r="R509" s="25"/>
      <c r="S509" s="151"/>
      <c r="T509" s="151"/>
      <c r="U509" s="151"/>
      <c r="V509" s="73"/>
      <c r="W509" s="28"/>
      <c r="X509" s="24"/>
    </row>
    <row r="510" spans="2:24">
      <c r="B510" s="24"/>
      <c r="C510" s="47"/>
      <c r="D510" s="26"/>
      <c r="E510" s="27"/>
      <c r="F510" s="25"/>
      <c r="G510" s="25"/>
      <c r="H510" s="25"/>
      <c r="I510" s="25"/>
      <c r="J510" s="25"/>
      <c r="K510" s="25"/>
      <c r="L510" s="25"/>
      <c r="M510" s="25"/>
      <c r="N510" s="25"/>
      <c r="O510" s="25"/>
      <c r="P510" s="25"/>
      <c r="Q510" s="25"/>
      <c r="R510" s="25"/>
      <c r="S510" s="151"/>
      <c r="T510" s="151"/>
      <c r="U510" s="151"/>
      <c r="V510" s="73"/>
      <c r="W510" s="28"/>
      <c r="X510" s="24"/>
    </row>
    <row r="511" spans="2:24">
      <c r="B511" s="24"/>
      <c r="C511" s="47"/>
      <c r="D511" s="26"/>
      <c r="E511" s="27"/>
      <c r="F511" s="25"/>
      <c r="G511" s="25"/>
      <c r="H511" s="25"/>
      <c r="I511" s="25"/>
      <c r="J511" s="25"/>
      <c r="K511" s="25"/>
      <c r="L511" s="25"/>
      <c r="M511" s="25"/>
      <c r="N511" s="25"/>
      <c r="O511" s="25"/>
      <c r="P511" s="25"/>
      <c r="Q511" s="25"/>
      <c r="R511" s="25"/>
      <c r="S511" s="151"/>
      <c r="T511" s="151"/>
      <c r="U511" s="151"/>
      <c r="V511" s="73"/>
      <c r="W511" s="28"/>
      <c r="X511" s="24"/>
    </row>
    <row r="512" spans="2:24">
      <c r="B512" s="24"/>
      <c r="C512" s="47"/>
      <c r="D512" s="26"/>
      <c r="E512" s="27"/>
      <c r="F512" s="25"/>
      <c r="G512" s="25"/>
      <c r="H512" s="25"/>
      <c r="I512" s="25"/>
      <c r="J512" s="25"/>
      <c r="K512" s="25"/>
      <c r="L512" s="25"/>
      <c r="M512" s="25"/>
      <c r="N512" s="25"/>
      <c r="O512" s="25"/>
      <c r="P512" s="25"/>
      <c r="Q512" s="25"/>
      <c r="R512" s="25"/>
      <c r="S512" s="151"/>
      <c r="T512" s="151"/>
      <c r="U512" s="151"/>
      <c r="V512" s="73"/>
      <c r="W512" s="28"/>
      <c r="X512" s="24"/>
    </row>
    <row r="513" spans="2:24">
      <c r="B513" s="24"/>
      <c r="C513" s="47"/>
      <c r="D513" s="26"/>
      <c r="E513" s="27"/>
      <c r="F513" s="25"/>
      <c r="G513" s="25"/>
      <c r="H513" s="25"/>
      <c r="I513" s="25"/>
      <c r="J513" s="25"/>
      <c r="K513" s="25"/>
      <c r="L513" s="25"/>
      <c r="M513" s="25"/>
      <c r="N513" s="25"/>
      <c r="O513" s="25"/>
      <c r="P513" s="25"/>
      <c r="Q513" s="25"/>
      <c r="R513" s="25"/>
      <c r="S513" s="151"/>
      <c r="T513" s="151"/>
      <c r="U513" s="151"/>
      <c r="V513" s="73"/>
      <c r="W513" s="28"/>
      <c r="X513" s="24"/>
    </row>
    <row r="514" spans="2:24">
      <c r="B514" s="24"/>
      <c r="C514" s="47"/>
      <c r="D514" s="26"/>
      <c r="E514" s="27"/>
      <c r="F514" s="25"/>
      <c r="G514" s="25"/>
      <c r="H514" s="25"/>
      <c r="I514" s="25"/>
      <c r="J514" s="25"/>
      <c r="K514" s="25"/>
      <c r="L514" s="25"/>
      <c r="M514" s="25"/>
      <c r="N514" s="25"/>
      <c r="O514" s="25"/>
      <c r="P514" s="25"/>
      <c r="Q514" s="25"/>
      <c r="R514" s="25"/>
      <c r="S514" s="151"/>
      <c r="T514" s="151"/>
      <c r="U514" s="151"/>
      <c r="V514" s="73"/>
      <c r="W514" s="28"/>
      <c r="X514" s="24"/>
    </row>
    <row r="515" spans="2:24">
      <c r="B515" s="24"/>
      <c r="C515" s="47"/>
      <c r="D515" s="26"/>
      <c r="E515" s="27"/>
      <c r="F515" s="25"/>
      <c r="G515" s="25"/>
      <c r="H515" s="25"/>
      <c r="I515" s="25"/>
      <c r="J515" s="25"/>
      <c r="K515" s="25"/>
      <c r="L515" s="25"/>
      <c r="M515" s="25"/>
      <c r="N515" s="25"/>
      <c r="O515" s="25"/>
      <c r="P515" s="25"/>
      <c r="Q515" s="25"/>
      <c r="R515" s="25"/>
      <c r="S515" s="151"/>
      <c r="T515" s="151"/>
      <c r="U515" s="151"/>
      <c r="V515" s="73"/>
      <c r="W515" s="28"/>
      <c r="X515" s="24"/>
    </row>
    <row r="516" spans="2:24">
      <c r="B516" s="24"/>
      <c r="C516" s="47"/>
      <c r="D516" s="26"/>
      <c r="E516" s="27"/>
      <c r="F516" s="25"/>
      <c r="G516" s="25"/>
      <c r="H516" s="25"/>
      <c r="I516" s="25"/>
      <c r="J516" s="25"/>
      <c r="K516" s="25"/>
      <c r="L516" s="25"/>
      <c r="M516" s="25"/>
      <c r="N516" s="25"/>
      <c r="O516" s="25"/>
      <c r="P516" s="25"/>
      <c r="Q516" s="25"/>
      <c r="R516" s="25"/>
      <c r="S516" s="151"/>
      <c r="T516" s="151"/>
      <c r="U516" s="151"/>
      <c r="V516" s="73"/>
      <c r="W516" s="28"/>
      <c r="X516" s="24"/>
    </row>
    <row r="517" spans="2:24">
      <c r="B517" s="24"/>
      <c r="C517" s="47"/>
      <c r="D517" s="26"/>
      <c r="E517" s="27"/>
      <c r="F517" s="25"/>
      <c r="G517" s="25"/>
      <c r="H517" s="25"/>
      <c r="I517" s="25"/>
      <c r="J517" s="25"/>
      <c r="K517" s="25"/>
      <c r="L517" s="25"/>
      <c r="M517" s="25"/>
      <c r="N517" s="25"/>
      <c r="O517" s="25"/>
      <c r="P517" s="25"/>
      <c r="Q517" s="25"/>
      <c r="R517" s="25"/>
      <c r="S517" s="151"/>
      <c r="T517" s="151"/>
      <c r="U517" s="151"/>
      <c r="V517" s="73"/>
      <c r="W517" s="28"/>
      <c r="X517" s="24"/>
    </row>
    <row r="518" spans="2:24">
      <c r="B518" s="24"/>
      <c r="C518" s="47"/>
      <c r="D518" s="26"/>
      <c r="E518" s="27"/>
      <c r="F518" s="25"/>
      <c r="G518" s="25"/>
      <c r="H518" s="25"/>
      <c r="I518" s="25"/>
      <c r="J518" s="25"/>
      <c r="K518" s="25"/>
      <c r="L518" s="25"/>
      <c r="M518" s="25"/>
      <c r="N518" s="25"/>
      <c r="O518" s="25"/>
      <c r="P518" s="25"/>
      <c r="Q518" s="25"/>
      <c r="R518" s="25"/>
      <c r="S518" s="151"/>
      <c r="T518" s="151"/>
      <c r="U518" s="151"/>
      <c r="V518" s="73"/>
      <c r="W518" s="28"/>
      <c r="X518" s="24"/>
    </row>
    <row r="519" spans="2:24">
      <c r="B519" s="24"/>
      <c r="C519" s="47"/>
      <c r="D519" s="26"/>
      <c r="E519" s="27"/>
      <c r="F519" s="25"/>
      <c r="G519" s="25"/>
      <c r="H519" s="25"/>
      <c r="I519" s="25"/>
      <c r="J519" s="25"/>
      <c r="K519" s="25"/>
      <c r="L519" s="25"/>
      <c r="M519" s="25"/>
      <c r="N519" s="25"/>
      <c r="O519" s="25"/>
      <c r="P519" s="25"/>
      <c r="Q519" s="25"/>
      <c r="R519" s="25"/>
      <c r="S519" s="151"/>
      <c r="T519" s="151"/>
      <c r="U519" s="151"/>
      <c r="V519" s="73"/>
      <c r="W519" s="28"/>
      <c r="X519" s="24"/>
    </row>
    <row r="520" spans="2:24">
      <c r="B520" s="24"/>
      <c r="C520" s="47"/>
      <c r="D520" s="26"/>
      <c r="E520" s="27"/>
      <c r="F520" s="25"/>
      <c r="G520" s="25"/>
      <c r="H520" s="25"/>
      <c r="I520" s="25"/>
      <c r="J520" s="25"/>
      <c r="K520" s="25"/>
      <c r="L520" s="25"/>
      <c r="M520" s="25"/>
      <c r="N520" s="25"/>
      <c r="O520" s="25"/>
      <c r="P520" s="25"/>
      <c r="Q520" s="25"/>
      <c r="R520" s="25"/>
      <c r="S520" s="151"/>
      <c r="T520" s="151"/>
      <c r="U520" s="151"/>
      <c r="V520" s="73"/>
      <c r="W520" s="28"/>
      <c r="X520" s="24"/>
    </row>
    <row r="521" spans="2:24">
      <c r="B521" s="24"/>
      <c r="C521" s="47"/>
      <c r="D521" s="26"/>
      <c r="E521" s="27"/>
      <c r="F521" s="25"/>
      <c r="G521" s="25"/>
      <c r="H521" s="25"/>
      <c r="I521" s="25"/>
      <c r="J521" s="25"/>
      <c r="K521" s="25"/>
      <c r="L521" s="25"/>
      <c r="M521" s="25"/>
      <c r="N521" s="25"/>
      <c r="O521" s="25"/>
      <c r="P521" s="25"/>
      <c r="Q521" s="25"/>
      <c r="R521" s="25"/>
      <c r="S521" s="151"/>
      <c r="T521" s="151"/>
      <c r="U521" s="151"/>
      <c r="V521" s="73"/>
      <c r="W521" s="28"/>
      <c r="X521" s="24"/>
    </row>
    <row r="522" spans="2:24">
      <c r="B522" s="24"/>
      <c r="C522" s="47"/>
      <c r="D522" s="26"/>
      <c r="E522" s="27"/>
      <c r="F522" s="25"/>
      <c r="G522" s="25"/>
      <c r="H522" s="25"/>
      <c r="I522" s="25"/>
      <c r="J522" s="25"/>
      <c r="K522" s="25"/>
      <c r="L522" s="25"/>
      <c r="M522" s="25"/>
      <c r="N522" s="25"/>
      <c r="O522" s="25"/>
      <c r="P522" s="25"/>
      <c r="Q522" s="25"/>
      <c r="R522" s="25"/>
      <c r="S522" s="151"/>
      <c r="T522" s="151"/>
      <c r="U522" s="151"/>
      <c r="V522" s="73"/>
      <c r="W522" s="28"/>
      <c r="X522" s="24"/>
    </row>
    <row r="523" spans="2:24">
      <c r="B523" s="24"/>
      <c r="C523" s="47"/>
      <c r="D523" s="26"/>
      <c r="E523" s="27"/>
      <c r="F523" s="25"/>
      <c r="G523" s="25"/>
      <c r="H523" s="25"/>
      <c r="I523" s="25"/>
      <c r="J523" s="25"/>
      <c r="K523" s="25"/>
      <c r="L523" s="25"/>
      <c r="M523" s="25"/>
      <c r="N523" s="25"/>
      <c r="O523" s="25"/>
      <c r="P523" s="25"/>
      <c r="Q523" s="25"/>
      <c r="R523" s="25"/>
      <c r="S523" s="151"/>
      <c r="T523" s="151"/>
      <c r="U523" s="151"/>
      <c r="V523" s="73"/>
      <c r="W523" s="28"/>
      <c r="X523" s="24"/>
    </row>
    <row r="524" spans="2:24">
      <c r="B524" s="24"/>
      <c r="C524" s="47"/>
      <c r="D524" s="26"/>
      <c r="E524" s="27"/>
      <c r="F524" s="25"/>
      <c r="G524" s="25"/>
      <c r="H524" s="25"/>
      <c r="I524" s="25"/>
      <c r="J524" s="25"/>
      <c r="K524" s="25"/>
      <c r="L524" s="25"/>
      <c r="M524" s="25"/>
      <c r="N524" s="25"/>
      <c r="O524" s="25"/>
      <c r="P524" s="25"/>
      <c r="Q524" s="25"/>
      <c r="R524" s="25"/>
      <c r="S524" s="151"/>
      <c r="T524" s="151"/>
      <c r="U524" s="151"/>
      <c r="V524" s="73"/>
      <c r="W524" s="28"/>
      <c r="X524" s="24"/>
    </row>
    <row r="525" spans="2:24">
      <c r="B525" s="24"/>
      <c r="C525" s="47"/>
      <c r="D525" s="26"/>
      <c r="E525" s="27"/>
      <c r="F525" s="25"/>
      <c r="G525" s="25"/>
      <c r="H525" s="25"/>
      <c r="I525" s="25"/>
      <c r="J525" s="25"/>
      <c r="K525" s="25"/>
      <c r="L525" s="25"/>
      <c r="M525" s="25"/>
      <c r="N525" s="25"/>
      <c r="O525" s="25"/>
      <c r="P525" s="25"/>
      <c r="Q525" s="25"/>
      <c r="R525" s="25"/>
      <c r="S525" s="151"/>
      <c r="T525" s="151"/>
      <c r="U525" s="151"/>
      <c r="V525" s="73"/>
      <c r="W525" s="28"/>
      <c r="X525" s="24"/>
    </row>
    <row r="526" spans="2:24">
      <c r="B526" s="24"/>
      <c r="C526" s="47"/>
      <c r="D526" s="26"/>
      <c r="E526" s="27"/>
      <c r="F526" s="25"/>
      <c r="G526" s="25"/>
      <c r="H526" s="25"/>
      <c r="I526" s="25"/>
      <c r="J526" s="25"/>
      <c r="K526" s="25"/>
      <c r="L526" s="25"/>
      <c r="M526" s="25"/>
      <c r="N526" s="25"/>
      <c r="O526" s="25"/>
      <c r="P526" s="25"/>
      <c r="Q526" s="25"/>
      <c r="R526" s="25"/>
      <c r="S526" s="151"/>
      <c r="T526" s="151"/>
      <c r="U526" s="151"/>
      <c r="V526" s="73"/>
      <c r="W526" s="28"/>
      <c r="X526" s="24"/>
    </row>
    <row r="527" spans="2:24">
      <c r="B527" s="24"/>
      <c r="C527" s="47"/>
      <c r="D527" s="26"/>
      <c r="E527" s="27"/>
      <c r="F527" s="25"/>
      <c r="G527" s="25"/>
      <c r="H527" s="25"/>
      <c r="I527" s="58"/>
      <c r="J527" s="25"/>
      <c r="K527" s="25"/>
      <c r="L527" s="25"/>
      <c r="M527" s="25"/>
      <c r="N527" s="25"/>
      <c r="O527" s="25"/>
      <c r="P527" s="25"/>
      <c r="Q527" s="25"/>
      <c r="R527" s="25"/>
      <c r="S527" s="151"/>
      <c r="T527" s="151"/>
      <c r="U527" s="151"/>
      <c r="V527" s="73"/>
      <c r="W527" s="28"/>
      <c r="X527" s="24"/>
    </row>
    <row r="528" spans="2:24">
      <c r="B528" s="24"/>
      <c r="C528" s="47"/>
      <c r="D528" s="26"/>
      <c r="E528" s="27"/>
      <c r="F528" s="25"/>
      <c r="G528" s="25"/>
      <c r="H528" s="25"/>
      <c r="I528" s="25"/>
      <c r="J528" s="25"/>
      <c r="K528" s="25"/>
      <c r="L528" s="25"/>
      <c r="M528" s="25"/>
      <c r="N528" s="25"/>
      <c r="O528" s="25"/>
      <c r="P528" s="25"/>
      <c r="Q528" s="25"/>
      <c r="R528" s="25"/>
      <c r="S528" s="151"/>
      <c r="T528" s="151"/>
      <c r="U528" s="151"/>
      <c r="V528" s="73"/>
      <c r="W528" s="28"/>
      <c r="X528" s="24"/>
    </row>
    <row r="529" spans="2:24">
      <c r="B529" s="24"/>
      <c r="C529" s="47"/>
      <c r="D529" s="26"/>
      <c r="E529" s="27"/>
      <c r="F529" s="25"/>
      <c r="G529" s="25"/>
      <c r="H529" s="25"/>
      <c r="I529" s="25"/>
      <c r="J529" s="25"/>
      <c r="K529" s="25"/>
      <c r="L529" s="25"/>
      <c r="M529" s="25"/>
      <c r="N529" s="25"/>
      <c r="O529" s="25"/>
      <c r="P529" s="25"/>
      <c r="Q529" s="25"/>
      <c r="R529" s="25"/>
      <c r="S529" s="151"/>
      <c r="T529" s="151"/>
      <c r="U529" s="151"/>
      <c r="V529" s="73"/>
      <c r="W529" s="28"/>
      <c r="X529" s="24"/>
    </row>
    <row r="530" spans="2:24">
      <c r="B530" s="24"/>
      <c r="C530" s="47"/>
      <c r="D530" s="26"/>
      <c r="E530" s="27"/>
      <c r="F530" s="25"/>
      <c r="G530" s="25"/>
      <c r="H530" s="25"/>
      <c r="I530" s="25"/>
      <c r="J530" s="25"/>
      <c r="K530" s="25"/>
      <c r="L530" s="25"/>
      <c r="M530" s="25"/>
      <c r="N530" s="25"/>
      <c r="O530" s="25"/>
      <c r="P530" s="25"/>
      <c r="Q530" s="25"/>
      <c r="R530" s="25"/>
      <c r="S530" s="151"/>
      <c r="T530" s="151"/>
      <c r="U530" s="151"/>
      <c r="V530" s="73"/>
      <c r="W530" s="28"/>
      <c r="X530" s="24"/>
    </row>
    <row r="531" spans="2:24">
      <c r="B531" s="24"/>
      <c r="C531" s="47"/>
      <c r="D531" s="26"/>
      <c r="E531" s="27"/>
      <c r="F531" s="25"/>
      <c r="G531" s="25"/>
      <c r="H531" s="25"/>
      <c r="I531" s="25"/>
      <c r="J531" s="25"/>
      <c r="K531" s="25"/>
      <c r="L531" s="25"/>
      <c r="M531" s="25"/>
      <c r="N531" s="25"/>
      <c r="O531" s="25"/>
      <c r="P531" s="25"/>
      <c r="Q531" s="25"/>
      <c r="R531" s="25"/>
      <c r="S531" s="151"/>
      <c r="T531" s="151"/>
      <c r="U531" s="151"/>
      <c r="V531" s="73"/>
      <c r="W531" s="28"/>
      <c r="X531" s="24"/>
    </row>
    <row r="532" spans="2:24">
      <c r="B532" s="24"/>
      <c r="C532" s="47"/>
      <c r="D532" s="26"/>
      <c r="E532" s="27"/>
      <c r="F532" s="25"/>
      <c r="G532" s="25"/>
      <c r="H532" s="25"/>
      <c r="I532" s="25"/>
      <c r="J532" s="25"/>
      <c r="K532" s="25"/>
      <c r="L532" s="25"/>
      <c r="M532" s="25"/>
      <c r="N532" s="25"/>
      <c r="O532" s="25"/>
      <c r="P532" s="25"/>
      <c r="Q532" s="25"/>
      <c r="R532" s="25"/>
      <c r="S532" s="151"/>
      <c r="T532" s="151"/>
      <c r="U532" s="151"/>
      <c r="V532" s="73"/>
      <c r="W532" s="28"/>
      <c r="X532" s="24"/>
    </row>
    <row r="533" spans="2:24">
      <c r="B533" s="24"/>
      <c r="C533" s="47"/>
      <c r="D533" s="26"/>
      <c r="E533" s="27"/>
      <c r="F533" s="25"/>
      <c r="G533" s="25"/>
      <c r="H533" s="25"/>
      <c r="I533" s="25"/>
      <c r="J533" s="25"/>
      <c r="K533" s="25"/>
      <c r="L533" s="25"/>
      <c r="M533" s="25"/>
      <c r="N533" s="25"/>
      <c r="O533" s="25"/>
      <c r="P533" s="25"/>
      <c r="Q533" s="25"/>
      <c r="R533" s="25"/>
      <c r="S533" s="151"/>
      <c r="T533" s="151"/>
      <c r="U533" s="151"/>
      <c r="V533" s="73"/>
      <c r="W533" s="28"/>
      <c r="X533" s="24"/>
    </row>
    <row r="534" spans="2:24">
      <c r="B534" s="24"/>
      <c r="C534" s="47"/>
      <c r="D534" s="26"/>
      <c r="E534" s="27"/>
      <c r="F534" s="25"/>
      <c r="G534" s="25"/>
      <c r="H534" s="25"/>
      <c r="I534" s="25"/>
      <c r="J534" s="25"/>
      <c r="K534" s="25"/>
      <c r="L534" s="25"/>
      <c r="M534" s="25"/>
      <c r="N534" s="25"/>
      <c r="O534" s="25"/>
      <c r="P534" s="25"/>
      <c r="Q534" s="25"/>
      <c r="R534" s="25"/>
      <c r="S534" s="151"/>
      <c r="T534" s="151"/>
      <c r="U534" s="151"/>
      <c r="V534" s="73"/>
      <c r="W534" s="28"/>
      <c r="X534" s="24"/>
    </row>
    <row r="535" spans="2:24">
      <c r="B535" s="24"/>
      <c r="C535" s="47"/>
      <c r="D535" s="26"/>
      <c r="E535" s="27"/>
      <c r="F535" s="25"/>
      <c r="G535" s="25"/>
      <c r="H535" s="25"/>
      <c r="I535" s="25"/>
      <c r="J535" s="25"/>
      <c r="K535" s="25"/>
      <c r="L535" s="25"/>
      <c r="M535" s="25"/>
      <c r="N535" s="25"/>
      <c r="O535" s="25"/>
      <c r="P535" s="25"/>
      <c r="Q535" s="25"/>
      <c r="R535" s="25"/>
      <c r="S535" s="151"/>
      <c r="T535" s="151"/>
      <c r="U535" s="151"/>
      <c r="V535" s="73"/>
      <c r="W535" s="28"/>
      <c r="X535" s="24"/>
    </row>
    <row r="536" spans="2:24">
      <c r="B536" s="24"/>
      <c r="C536" s="47"/>
      <c r="D536" s="26"/>
      <c r="E536" s="27"/>
      <c r="F536" s="25"/>
      <c r="G536" s="25"/>
      <c r="H536" s="25"/>
      <c r="I536" s="25"/>
      <c r="J536" s="25"/>
      <c r="K536" s="25"/>
      <c r="L536" s="25"/>
      <c r="M536" s="25"/>
      <c r="N536" s="25"/>
      <c r="O536" s="25"/>
      <c r="P536" s="25"/>
      <c r="Q536" s="25"/>
      <c r="R536" s="25"/>
      <c r="S536" s="151"/>
      <c r="T536" s="151"/>
      <c r="U536" s="151"/>
      <c r="V536" s="73"/>
      <c r="W536" s="28"/>
      <c r="X536" s="24"/>
    </row>
    <row r="537" spans="2:24">
      <c r="B537" s="24"/>
      <c r="C537" s="47"/>
      <c r="D537" s="26"/>
      <c r="E537" s="27"/>
      <c r="F537" s="25"/>
      <c r="G537" s="25"/>
      <c r="H537" s="25"/>
      <c r="I537" s="25"/>
      <c r="J537" s="25"/>
      <c r="K537" s="25"/>
      <c r="L537" s="25"/>
      <c r="M537" s="25"/>
      <c r="N537" s="25"/>
      <c r="O537" s="25"/>
      <c r="P537" s="25"/>
      <c r="Q537" s="25"/>
      <c r="R537" s="25"/>
      <c r="S537" s="151"/>
      <c r="T537" s="151"/>
      <c r="U537" s="151"/>
      <c r="V537" s="73"/>
      <c r="W537" s="28"/>
      <c r="X537" s="24"/>
    </row>
    <row r="538" spans="2:24">
      <c r="B538" s="24"/>
      <c r="C538" s="47"/>
      <c r="D538" s="26"/>
      <c r="E538" s="27"/>
      <c r="F538" s="25"/>
      <c r="G538" s="25"/>
      <c r="H538" s="25"/>
      <c r="I538" s="25"/>
      <c r="J538" s="25"/>
      <c r="K538" s="25"/>
      <c r="L538" s="25"/>
      <c r="M538" s="25"/>
      <c r="N538" s="25"/>
      <c r="O538" s="25"/>
      <c r="P538" s="25"/>
      <c r="Q538" s="25"/>
      <c r="R538" s="25"/>
      <c r="S538" s="151"/>
      <c r="T538" s="151"/>
      <c r="U538" s="151"/>
      <c r="V538" s="73"/>
      <c r="W538" s="28"/>
      <c r="X538" s="24"/>
    </row>
    <row r="539" spans="2:24">
      <c r="B539" s="24"/>
      <c r="C539" s="47"/>
      <c r="D539" s="26"/>
      <c r="E539" s="27"/>
      <c r="F539" s="25"/>
      <c r="G539" s="25"/>
      <c r="H539" s="25"/>
      <c r="I539" s="25"/>
      <c r="J539" s="25"/>
      <c r="K539" s="25"/>
      <c r="L539" s="25"/>
      <c r="M539" s="25"/>
      <c r="N539" s="25"/>
      <c r="O539" s="25"/>
      <c r="P539" s="25"/>
      <c r="Q539" s="25"/>
      <c r="R539" s="25"/>
      <c r="S539" s="151"/>
      <c r="T539" s="151"/>
      <c r="U539" s="151"/>
      <c r="V539" s="73"/>
      <c r="W539" s="28"/>
      <c r="X539" s="24"/>
    </row>
    <row r="540" spans="2:24">
      <c r="B540" s="24"/>
      <c r="C540" s="47"/>
      <c r="D540" s="26"/>
      <c r="E540" s="27"/>
      <c r="F540" s="25"/>
      <c r="G540" s="25"/>
      <c r="H540" s="25"/>
      <c r="I540" s="25"/>
      <c r="J540" s="25"/>
      <c r="K540" s="25"/>
      <c r="L540" s="25"/>
      <c r="M540" s="25"/>
      <c r="N540" s="25"/>
      <c r="O540" s="25"/>
      <c r="P540" s="25"/>
      <c r="Q540" s="25"/>
      <c r="R540" s="25"/>
      <c r="S540" s="151"/>
      <c r="T540" s="151"/>
      <c r="U540" s="151"/>
      <c r="V540" s="73"/>
      <c r="W540" s="28"/>
      <c r="X540" s="24"/>
    </row>
    <row r="541" spans="2:24">
      <c r="B541" s="24"/>
      <c r="C541" s="47"/>
      <c r="D541" s="26"/>
      <c r="E541" s="27"/>
      <c r="F541" s="25"/>
      <c r="G541" s="25"/>
      <c r="H541" s="25"/>
      <c r="I541" s="25"/>
      <c r="J541" s="25"/>
      <c r="K541" s="25"/>
      <c r="L541" s="25"/>
      <c r="M541" s="25"/>
      <c r="N541" s="25"/>
      <c r="O541" s="25"/>
      <c r="P541" s="25"/>
      <c r="Q541" s="25"/>
      <c r="R541" s="25"/>
      <c r="S541" s="151"/>
      <c r="T541" s="151"/>
      <c r="U541" s="151"/>
      <c r="V541" s="73"/>
      <c r="W541" s="28"/>
      <c r="X541" s="24"/>
    </row>
    <row r="542" spans="2:24">
      <c r="B542" s="24"/>
      <c r="C542" s="47"/>
      <c r="D542" s="26"/>
      <c r="E542" s="27"/>
      <c r="F542" s="25"/>
      <c r="G542" s="25"/>
      <c r="H542" s="25"/>
      <c r="I542" s="25"/>
      <c r="J542" s="25"/>
      <c r="K542" s="25"/>
      <c r="L542" s="25"/>
      <c r="M542" s="25"/>
      <c r="N542" s="25"/>
      <c r="O542" s="25"/>
      <c r="P542" s="25"/>
      <c r="Q542" s="25"/>
      <c r="R542" s="25"/>
      <c r="S542" s="151"/>
      <c r="T542" s="151"/>
      <c r="U542" s="151"/>
      <c r="V542" s="73"/>
      <c r="W542" s="28"/>
      <c r="X542" s="24"/>
    </row>
    <row r="543" spans="2:24">
      <c r="B543" s="24"/>
      <c r="C543" s="47"/>
      <c r="D543" s="26"/>
      <c r="E543" s="27"/>
      <c r="F543" s="25"/>
      <c r="G543" s="25"/>
      <c r="H543" s="25"/>
      <c r="I543" s="25"/>
      <c r="J543" s="25"/>
      <c r="K543" s="25"/>
      <c r="L543" s="25"/>
      <c r="M543" s="25"/>
      <c r="N543" s="25"/>
      <c r="O543" s="25"/>
      <c r="P543" s="25"/>
      <c r="Q543" s="25"/>
      <c r="R543" s="25"/>
      <c r="S543" s="151"/>
      <c r="T543" s="151"/>
      <c r="U543" s="151"/>
      <c r="V543" s="73"/>
      <c r="W543" s="28"/>
      <c r="X543" s="24"/>
    </row>
    <row r="544" spans="2:24">
      <c r="B544" s="24"/>
      <c r="C544" s="47"/>
      <c r="D544" s="26"/>
      <c r="E544" s="27"/>
      <c r="F544" s="25"/>
      <c r="G544" s="25"/>
      <c r="H544" s="25"/>
      <c r="I544" s="58"/>
      <c r="J544" s="25"/>
      <c r="K544" s="25"/>
      <c r="L544" s="25"/>
      <c r="M544" s="25"/>
      <c r="N544" s="25"/>
      <c r="O544" s="25"/>
      <c r="P544" s="25"/>
      <c r="Q544" s="25"/>
      <c r="R544" s="25"/>
      <c r="S544" s="151"/>
      <c r="T544" s="151"/>
      <c r="U544" s="151"/>
      <c r="V544" s="73"/>
      <c r="W544" s="28"/>
      <c r="X544" s="24"/>
    </row>
    <row r="545" spans="2:24">
      <c r="B545" s="24"/>
      <c r="C545" s="47"/>
      <c r="D545" s="26"/>
      <c r="E545" s="27"/>
      <c r="F545" s="25"/>
      <c r="G545" s="25"/>
      <c r="H545" s="25"/>
      <c r="I545" s="58"/>
      <c r="J545" s="25"/>
      <c r="K545" s="25"/>
      <c r="L545" s="25"/>
      <c r="M545" s="25"/>
      <c r="N545" s="25"/>
      <c r="O545" s="25"/>
      <c r="P545" s="25"/>
      <c r="Q545" s="25"/>
      <c r="R545" s="25"/>
      <c r="S545" s="151"/>
      <c r="T545" s="151"/>
      <c r="U545" s="151"/>
      <c r="V545" s="73"/>
      <c r="W545" s="28"/>
      <c r="X545" s="24"/>
    </row>
    <row r="546" spans="2:24">
      <c r="B546" s="24"/>
      <c r="C546" s="47"/>
      <c r="D546" s="26"/>
      <c r="E546" s="27"/>
      <c r="F546" s="25"/>
      <c r="G546" s="25"/>
      <c r="H546" s="25"/>
      <c r="I546" s="25"/>
      <c r="J546" s="25"/>
      <c r="K546" s="25"/>
      <c r="L546" s="25"/>
      <c r="M546" s="25"/>
      <c r="N546" s="25"/>
      <c r="O546" s="25"/>
      <c r="P546" s="25"/>
      <c r="Q546" s="25"/>
      <c r="R546" s="25"/>
      <c r="S546" s="151"/>
      <c r="T546" s="151"/>
      <c r="U546" s="151"/>
      <c r="V546" s="73"/>
      <c r="W546" s="28"/>
      <c r="X546" s="24"/>
    </row>
    <row r="547" spans="2:24">
      <c r="B547" s="24"/>
      <c r="C547" s="47"/>
      <c r="D547" s="26"/>
      <c r="E547" s="27"/>
      <c r="F547" s="25"/>
      <c r="G547" s="25"/>
      <c r="H547" s="25"/>
      <c r="I547" s="58"/>
      <c r="J547" s="25"/>
      <c r="K547" s="25"/>
      <c r="L547" s="25"/>
      <c r="M547" s="25"/>
      <c r="N547" s="25"/>
      <c r="O547" s="25"/>
      <c r="P547" s="25"/>
      <c r="Q547" s="25"/>
      <c r="R547" s="25"/>
      <c r="S547" s="151"/>
      <c r="T547" s="151"/>
      <c r="U547" s="151"/>
      <c r="V547" s="73"/>
      <c r="W547" s="28"/>
      <c r="X547" s="24"/>
    </row>
    <row r="548" spans="2:24">
      <c r="B548" s="24"/>
      <c r="C548" s="47"/>
      <c r="D548" s="26"/>
      <c r="E548" s="27"/>
      <c r="F548" s="25"/>
      <c r="G548" s="25"/>
      <c r="H548" s="25"/>
      <c r="I548" s="25"/>
      <c r="J548" s="25"/>
      <c r="K548" s="25"/>
      <c r="L548" s="25"/>
      <c r="M548" s="25"/>
      <c r="N548" s="25"/>
      <c r="O548" s="25"/>
      <c r="P548" s="25"/>
      <c r="Q548" s="25"/>
      <c r="R548" s="25"/>
      <c r="S548" s="151"/>
      <c r="T548" s="151"/>
      <c r="U548" s="151"/>
      <c r="V548" s="73"/>
      <c r="W548" s="28"/>
      <c r="X548" s="24"/>
    </row>
    <row r="549" spans="2:24">
      <c r="B549" s="24"/>
      <c r="C549" s="47"/>
      <c r="D549" s="26"/>
      <c r="E549" s="27"/>
      <c r="F549" s="25"/>
      <c r="G549" s="25"/>
      <c r="H549" s="25"/>
      <c r="I549" s="25"/>
      <c r="J549" s="25"/>
      <c r="K549" s="25"/>
      <c r="L549" s="25"/>
      <c r="M549" s="25"/>
      <c r="N549" s="25"/>
      <c r="O549" s="25"/>
      <c r="P549" s="25"/>
      <c r="Q549" s="25"/>
      <c r="R549" s="25"/>
      <c r="S549" s="151"/>
      <c r="T549" s="151"/>
      <c r="U549" s="151"/>
      <c r="V549" s="73"/>
      <c r="W549" s="28"/>
      <c r="X549" s="24"/>
    </row>
    <row r="550" spans="2:24">
      <c r="B550" s="24"/>
      <c r="C550" s="47"/>
      <c r="D550" s="26"/>
      <c r="E550" s="27"/>
      <c r="F550" s="25"/>
      <c r="G550" s="25"/>
      <c r="H550" s="25"/>
      <c r="I550" s="25"/>
      <c r="J550" s="25"/>
      <c r="K550" s="25"/>
      <c r="L550" s="25"/>
      <c r="M550" s="25"/>
      <c r="N550" s="25"/>
      <c r="O550" s="25"/>
      <c r="P550" s="25"/>
      <c r="Q550" s="25"/>
      <c r="R550" s="25"/>
      <c r="S550" s="151"/>
      <c r="T550" s="151"/>
      <c r="U550" s="151"/>
      <c r="V550" s="73"/>
      <c r="W550" s="28"/>
      <c r="X550" s="24"/>
    </row>
    <row r="551" spans="2:24">
      <c r="B551" s="24"/>
      <c r="C551" s="47"/>
      <c r="D551" s="26"/>
      <c r="E551" s="27"/>
      <c r="F551" s="25"/>
      <c r="G551" s="25"/>
      <c r="H551" s="25"/>
      <c r="I551" s="25"/>
      <c r="J551" s="25"/>
      <c r="K551" s="25"/>
      <c r="L551" s="25"/>
      <c r="M551" s="25"/>
      <c r="N551" s="25"/>
      <c r="O551" s="25"/>
      <c r="P551" s="25"/>
      <c r="Q551" s="25"/>
      <c r="R551" s="25"/>
      <c r="S551" s="151"/>
      <c r="T551" s="151"/>
      <c r="U551" s="151"/>
      <c r="V551" s="73"/>
      <c r="W551" s="28"/>
      <c r="X551" s="24"/>
    </row>
    <row r="552" spans="2:24">
      <c r="B552" s="24"/>
      <c r="C552" s="47"/>
      <c r="D552" s="26"/>
      <c r="E552" s="27"/>
      <c r="F552" s="25"/>
      <c r="G552" s="25"/>
      <c r="H552" s="25"/>
      <c r="I552" s="25"/>
      <c r="J552" s="25"/>
      <c r="K552" s="25"/>
      <c r="L552" s="25"/>
      <c r="M552" s="25"/>
      <c r="N552" s="25"/>
      <c r="O552" s="25"/>
      <c r="P552" s="25"/>
      <c r="Q552" s="25"/>
      <c r="R552" s="25"/>
      <c r="S552" s="151"/>
      <c r="T552" s="151"/>
      <c r="U552" s="151"/>
      <c r="V552" s="73"/>
      <c r="W552" s="28"/>
      <c r="X552" s="24"/>
    </row>
    <row r="553" spans="2:24">
      <c r="B553" s="24"/>
      <c r="C553" s="47"/>
      <c r="D553" s="26"/>
      <c r="E553" s="27"/>
      <c r="F553" s="25"/>
      <c r="G553" s="25"/>
      <c r="H553" s="25"/>
      <c r="I553" s="25"/>
      <c r="J553" s="25"/>
      <c r="K553" s="25"/>
      <c r="L553" s="25"/>
      <c r="M553" s="25"/>
      <c r="N553" s="25"/>
      <c r="O553" s="25"/>
      <c r="P553" s="25"/>
      <c r="Q553" s="25"/>
      <c r="R553" s="25"/>
      <c r="S553" s="151"/>
      <c r="T553" s="151"/>
      <c r="U553" s="151"/>
      <c r="V553" s="73"/>
      <c r="W553" s="28"/>
      <c r="X553" s="24"/>
    </row>
    <row r="554" spans="2:24">
      <c r="B554" s="24"/>
      <c r="C554" s="47"/>
      <c r="D554" s="26"/>
      <c r="E554" s="27"/>
      <c r="F554" s="25"/>
      <c r="G554" s="25"/>
      <c r="H554" s="25"/>
      <c r="I554" s="25"/>
      <c r="J554" s="25"/>
      <c r="K554" s="25"/>
      <c r="L554" s="25"/>
      <c r="M554" s="25"/>
      <c r="N554" s="25"/>
      <c r="O554" s="25"/>
      <c r="P554" s="25"/>
      <c r="Q554" s="25"/>
      <c r="R554" s="25"/>
      <c r="S554" s="151"/>
      <c r="T554" s="151"/>
      <c r="U554" s="151"/>
      <c r="V554" s="73"/>
      <c r="W554" s="28"/>
      <c r="X554" s="24"/>
    </row>
    <row r="555" spans="2:24">
      <c r="B555" s="24"/>
      <c r="C555" s="47"/>
      <c r="D555" s="26"/>
      <c r="E555" s="27"/>
      <c r="F555" s="25"/>
      <c r="G555" s="25"/>
      <c r="H555" s="25"/>
      <c r="I555" s="25"/>
      <c r="J555" s="25"/>
      <c r="K555" s="25"/>
      <c r="L555" s="25"/>
      <c r="M555" s="25"/>
      <c r="N555" s="25"/>
      <c r="O555" s="25"/>
      <c r="P555" s="25"/>
      <c r="Q555" s="25"/>
      <c r="R555" s="25"/>
      <c r="S555" s="151"/>
      <c r="T555" s="151"/>
      <c r="U555" s="151"/>
      <c r="V555" s="73"/>
      <c r="W555" s="28"/>
      <c r="X555" s="24"/>
    </row>
    <row r="556" spans="2:24">
      <c r="B556" s="24"/>
      <c r="C556" s="47"/>
      <c r="D556" s="26"/>
      <c r="E556" s="27"/>
      <c r="F556" s="25"/>
      <c r="G556" s="25"/>
      <c r="H556" s="25"/>
      <c r="I556" s="25"/>
      <c r="J556" s="25"/>
      <c r="K556" s="25"/>
      <c r="L556" s="25"/>
      <c r="M556" s="25"/>
      <c r="N556" s="25"/>
      <c r="O556" s="25"/>
      <c r="P556" s="25"/>
      <c r="Q556" s="25"/>
      <c r="R556" s="25"/>
      <c r="S556" s="151"/>
      <c r="T556" s="151"/>
      <c r="U556" s="151"/>
      <c r="V556" s="73"/>
      <c r="W556" s="28"/>
      <c r="X556" s="24"/>
    </row>
    <row r="557" spans="2:24">
      <c r="B557" s="24"/>
      <c r="C557" s="47"/>
      <c r="D557" s="26"/>
      <c r="E557" s="27"/>
      <c r="F557" s="25"/>
      <c r="G557" s="25"/>
      <c r="H557" s="25"/>
      <c r="I557" s="25"/>
      <c r="J557" s="25"/>
      <c r="K557" s="25"/>
      <c r="L557" s="25"/>
      <c r="M557" s="25"/>
      <c r="N557" s="25"/>
      <c r="O557" s="25"/>
      <c r="P557" s="25"/>
      <c r="Q557" s="25"/>
      <c r="R557" s="25"/>
      <c r="S557" s="151"/>
      <c r="T557" s="151"/>
      <c r="U557" s="151"/>
      <c r="V557" s="73"/>
      <c r="W557" s="28"/>
      <c r="X557" s="24"/>
    </row>
    <row r="558" spans="2:24">
      <c r="B558" s="24"/>
      <c r="C558" s="47"/>
      <c r="D558" s="26"/>
      <c r="E558" s="27"/>
      <c r="F558" s="25"/>
      <c r="G558" s="25"/>
      <c r="H558" s="25"/>
      <c r="I558" s="25"/>
      <c r="J558" s="25"/>
      <c r="K558" s="25"/>
      <c r="L558" s="25"/>
      <c r="M558" s="25"/>
      <c r="N558" s="25"/>
      <c r="O558" s="25"/>
      <c r="P558" s="25"/>
      <c r="Q558" s="25"/>
      <c r="R558" s="25"/>
      <c r="S558" s="151"/>
      <c r="T558" s="151"/>
      <c r="U558" s="151"/>
      <c r="V558" s="73"/>
      <c r="W558" s="28"/>
      <c r="X558" s="24"/>
    </row>
    <row r="559" spans="2:24">
      <c r="B559" s="24"/>
      <c r="C559" s="47"/>
      <c r="D559" s="26"/>
      <c r="E559" s="27"/>
      <c r="F559" s="25"/>
      <c r="G559" s="25"/>
      <c r="H559" s="25"/>
      <c r="I559" s="25"/>
      <c r="J559" s="25"/>
      <c r="K559" s="25"/>
      <c r="L559" s="25"/>
      <c r="M559" s="25"/>
      <c r="N559" s="25"/>
      <c r="O559" s="25"/>
      <c r="P559" s="25"/>
      <c r="Q559" s="25"/>
      <c r="R559" s="25"/>
      <c r="S559" s="151"/>
      <c r="T559" s="151"/>
      <c r="U559" s="151"/>
      <c r="V559" s="73"/>
      <c r="W559" s="28"/>
      <c r="X559" s="24"/>
    </row>
    <row r="560" spans="2:24">
      <c r="B560" s="24"/>
      <c r="C560" s="47"/>
      <c r="D560" s="26"/>
      <c r="E560" s="27"/>
      <c r="F560" s="25"/>
      <c r="G560" s="25"/>
      <c r="H560" s="25"/>
      <c r="I560" s="25"/>
      <c r="J560" s="25"/>
      <c r="K560" s="25"/>
      <c r="L560" s="25"/>
      <c r="M560" s="25"/>
      <c r="N560" s="25"/>
      <c r="O560" s="25"/>
      <c r="P560" s="25"/>
      <c r="Q560" s="25"/>
      <c r="R560" s="25"/>
      <c r="S560" s="151"/>
      <c r="T560" s="151"/>
      <c r="U560" s="151"/>
      <c r="V560" s="73"/>
      <c r="W560" s="28"/>
      <c r="X560" s="24"/>
    </row>
    <row r="561" spans="2:24">
      <c r="B561" s="24"/>
      <c r="C561" s="47"/>
      <c r="D561" s="26"/>
      <c r="E561" s="27"/>
      <c r="F561" s="25"/>
      <c r="G561" s="25"/>
      <c r="H561" s="25"/>
      <c r="I561" s="25"/>
      <c r="J561" s="25"/>
      <c r="K561" s="25"/>
      <c r="L561" s="25"/>
      <c r="M561" s="25"/>
      <c r="N561" s="25"/>
      <c r="O561" s="25"/>
      <c r="P561" s="25"/>
      <c r="Q561" s="25"/>
      <c r="R561" s="25"/>
      <c r="S561" s="151"/>
      <c r="T561" s="151"/>
      <c r="U561" s="151"/>
      <c r="V561" s="73"/>
      <c r="W561" s="28"/>
      <c r="X561" s="24"/>
    </row>
    <row r="562" spans="2:24">
      <c r="B562" s="24"/>
      <c r="C562" s="47"/>
      <c r="D562" s="26"/>
      <c r="E562" s="27"/>
      <c r="F562" s="25"/>
      <c r="G562" s="25"/>
      <c r="H562" s="25"/>
      <c r="I562" s="25"/>
      <c r="J562" s="25"/>
      <c r="K562" s="25"/>
      <c r="L562" s="25"/>
      <c r="M562" s="25"/>
      <c r="N562" s="25"/>
      <c r="O562" s="25"/>
      <c r="P562" s="25"/>
      <c r="Q562" s="25"/>
      <c r="R562" s="25"/>
      <c r="S562" s="151"/>
      <c r="T562" s="151"/>
      <c r="U562" s="151"/>
      <c r="V562" s="73"/>
      <c r="W562" s="28"/>
      <c r="X562" s="24"/>
    </row>
    <row r="563" spans="2:24">
      <c r="B563" s="24"/>
      <c r="C563" s="47"/>
      <c r="D563" s="26"/>
      <c r="E563" s="27"/>
      <c r="F563" s="25"/>
      <c r="G563" s="25"/>
      <c r="H563" s="25"/>
      <c r="I563" s="25"/>
      <c r="J563" s="25"/>
      <c r="K563" s="25"/>
      <c r="L563" s="25"/>
      <c r="M563" s="25"/>
      <c r="N563" s="25"/>
      <c r="O563" s="25"/>
      <c r="P563" s="25"/>
      <c r="Q563" s="25"/>
      <c r="R563" s="25"/>
      <c r="S563" s="151"/>
      <c r="T563" s="151"/>
      <c r="U563" s="151"/>
      <c r="V563" s="73"/>
      <c r="W563" s="28"/>
      <c r="X563" s="24"/>
    </row>
    <row r="564" spans="2:24">
      <c r="B564" s="24"/>
      <c r="C564" s="47"/>
      <c r="D564" s="26"/>
      <c r="E564" s="27"/>
      <c r="F564" s="25"/>
      <c r="G564" s="25"/>
      <c r="H564" s="25"/>
      <c r="I564" s="25"/>
      <c r="J564" s="25"/>
      <c r="K564" s="25"/>
      <c r="L564" s="25"/>
      <c r="M564" s="25"/>
      <c r="N564" s="25"/>
      <c r="O564" s="25"/>
      <c r="P564" s="25"/>
      <c r="Q564" s="25"/>
      <c r="R564" s="25"/>
      <c r="S564" s="151"/>
      <c r="T564" s="151"/>
      <c r="U564" s="151"/>
      <c r="V564" s="73"/>
      <c r="W564" s="28"/>
      <c r="X564" s="24"/>
    </row>
    <row r="565" spans="2:24">
      <c r="B565" s="24"/>
      <c r="C565" s="47"/>
      <c r="D565" s="26"/>
      <c r="E565" s="27"/>
      <c r="F565" s="25"/>
      <c r="G565" s="25"/>
      <c r="H565" s="25"/>
      <c r="I565" s="25"/>
      <c r="J565" s="25"/>
      <c r="K565" s="25"/>
      <c r="L565" s="25"/>
      <c r="M565" s="25"/>
      <c r="N565" s="25"/>
      <c r="O565" s="25"/>
      <c r="P565" s="25"/>
      <c r="Q565" s="25"/>
      <c r="R565" s="25"/>
      <c r="S565" s="151"/>
      <c r="T565" s="151"/>
      <c r="U565" s="151"/>
      <c r="V565" s="73"/>
      <c r="W565" s="28"/>
      <c r="X565" s="24"/>
    </row>
    <row r="566" spans="2:24">
      <c r="B566" s="24"/>
      <c r="C566" s="47"/>
      <c r="D566" s="26"/>
      <c r="E566" s="27"/>
      <c r="F566" s="25"/>
      <c r="G566" s="25"/>
      <c r="H566" s="25"/>
      <c r="I566" s="25"/>
      <c r="J566" s="25"/>
      <c r="K566" s="25"/>
      <c r="L566" s="25"/>
      <c r="M566" s="25"/>
      <c r="N566" s="25"/>
      <c r="O566" s="25"/>
      <c r="P566" s="25"/>
      <c r="Q566" s="25"/>
      <c r="R566" s="25"/>
      <c r="S566" s="151"/>
      <c r="T566" s="151"/>
      <c r="U566" s="151"/>
      <c r="V566" s="73"/>
      <c r="W566" s="28"/>
      <c r="X566" s="24"/>
    </row>
    <row r="567" spans="2:24">
      <c r="B567" s="24"/>
      <c r="C567" s="47"/>
      <c r="D567" s="26"/>
      <c r="E567" s="27"/>
      <c r="F567" s="25"/>
      <c r="G567" s="25"/>
      <c r="H567" s="25"/>
      <c r="I567" s="25"/>
      <c r="J567" s="25"/>
      <c r="K567" s="25"/>
      <c r="L567" s="25"/>
      <c r="M567" s="25"/>
      <c r="N567" s="25"/>
      <c r="O567" s="25"/>
      <c r="P567" s="25"/>
      <c r="Q567" s="25"/>
      <c r="R567" s="25"/>
      <c r="S567" s="151"/>
      <c r="T567" s="151"/>
      <c r="U567" s="151"/>
      <c r="V567" s="73"/>
      <c r="W567" s="28"/>
      <c r="X567" s="24"/>
    </row>
    <row r="568" spans="2:24">
      <c r="B568" s="24"/>
      <c r="C568" s="47"/>
      <c r="D568" s="26"/>
      <c r="E568" s="27"/>
      <c r="F568" s="25"/>
      <c r="G568" s="25"/>
      <c r="H568" s="25"/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151"/>
      <c r="T568" s="151"/>
      <c r="U568" s="151"/>
      <c r="V568" s="73"/>
      <c r="W568" s="28"/>
      <c r="X568" s="24"/>
    </row>
    <row r="569" spans="2:24">
      <c r="B569" s="24"/>
      <c r="C569" s="47"/>
      <c r="D569" s="26"/>
      <c r="E569" s="27"/>
      <c r="F569" s="25"/>
      <c r="G569" s="25"/>
      <c r="H569" s="25"/>
      <c r="I569" s="25"/>
      <c r="J569" s="25"/>
      <c r="K569" s="25"/>
      <c r="L569" s="25"/>
      <c r="M569" s="25"/>
      <c r="N569" s="25"/>
      <c r="O569" s="25"/>
      <c r="P569" s="25"/>
      <c r="Q569" s="25"/>
      <c r="R569" s="25"/>
      <c r="S569" s="151"/>
      <c r="T569" s="151"/>
      <c r="U569" s="151"/>
      <c r="V569" s="73"/>
      <c r="W569" s="28"/>
      <c r="X569" s="24"/>
    </row>
    <row r="570" spans="2:24">
      <c r="B570" s="24"/>
      <c r="C570" s="47"/>
      <c r="D570" s="26"/>
      <c r="E570" s="27"/>
      <c r="F570" s="25"/>
      <c r="G570" s="25"/>
      <c r="H570" s="25"/>
      <c r="I570" s="25"/>
      <c r="J570" s="25"/>
      <c r="K570" s="25"/>
      <c r="L570" s="25"/>
      <c r="M570" s="25"/>
      <c r="N570" s="25"/>
      <c r="O570" s="25"/>
      <c r="P570" s="25"/>
      <c r="Q570" s="25"/>
      <c r="R570" s="25"/>
      <c r="S570" s="151"/>
      <c r="T570" s="151"/>
      <c r="U570" s="151"/>
      <c r="V570" s="73"/>
      <c r="W570" s="28"/>
      <c r="X570" s="24"/>
    </row>
    <row r="571" spans="2:24">
      <c r="B571" s="24"/>
      <c r="C571" s="47"/>
      <c r="D571" s="26"/>
      <c r="E571" s="27"/>
      <c r="F571" s="25"/>
      <c r="G571" s="25"/>
      <c r="H571" s="25"/>
      <c r="I571" s="25"/>
      <c r="J571" s="25"/>
      <c r="K571" s="25"/>
      <c r="L571" s="25"/>
      <c r="M571" s="25"/>
      <c r="N571" s="25"/>
      <c r="O571" s="25"/>
      <c r="P571" s="25"/>
      <c r="Q571" s="25"/>
      <c r="R571" s="25"/>
      <c r="S571" s="151"/>
      <c r="T571" s="151"/>
      <c r="U571" s="151"/>
      <c r="V571" s="73"/>
      <c r="W571" s="28"/>
      <c r="X571" s="24"/>
    </row>
    <row r="572" spans="2:24">
      <c r="B572" s="24"/>
      <c r="C572" s="47"/>
      <c r="D572" s="26"/>
      <c r="E572" s="27"/>
      <c r="F572" s="25"/>
      <c r="G572" s="25"/>
      <c r="H572" s="25"/>
      <c r="I572" s="25"/>
      <c r="J572" s="25"/>
      <c r="K572" s="25"/>
      <c r="L572" s="25"/>
      <c r="M572" s="25"/>
      <c r="N572" s="25"/>
      <c r="O572" s="25"/>
      <c r="P572" s="25"/>
      <c r="Q572" s="25"/>
      <c r="R572" s="25"/>
      <c r="S572" s="151"/>
      <c r="T572" s="151"/>
      <c r="U572" s="151"/>
      <c r="V572" s="73"/>
      <c r="W572" s="28"/>
      <c r="X572" s="24"/>
    </row>
    <row r="573" spans="2:24">
      <c r="B573" s="24"/>
      <c r="C573" s="47"/>
      <c r="D573" s="26"/>
      <c r="E573" s="27"/>
      <c r="F573" s="25"/>
      <c r="G573" s="25"/>
      <c r="H573" s="25"/>
      <c r="I573" s="25"/>
      <c r="J573" s="25"/>
      <c r="K573" s="25"/>
      <c r="L573" s="25"/>
      <c r="M573" s="25"/>
      <c r="N573" s="25"/>
      <c r="O573" s="25"/>
      <c r="P573" s="25"/>
      <c r="Q573" s="25"/>
      <c r="R573" s="25"/>
      <c r="S573" s="151"/>
      <c r="T573" s="151"/>
      <c r="U573" s="151"/>
      <c r="V573" s="73"/>
      <c r="W573" s="28"/>
      <c r="X573" s="24"/>
    </row>
    <row r="574" spans="2:24">
      <c r="B574" s="24"/>
      <c r="C574" s="47"/>
      <c r="D574" s="26"/>
      <c r="E574" s="27"/>
      <c r="F574" s="25"/>
      <c r="G574" s="25"/>
      <c r="H574" s="25"/>
      <c r="I574" s="25"/>
      <c r="J574" s="25"/>
      <c r="K574" s="25"/>
      <c r="L574" s="25"/>
      <c r="M574" s="25"/>
      <c r="N574" s="25"/>
      <c r="O574" s="25"/>
      <c r="P574" s="25"/>
      <c r="Q574" s="25"/>
      <c r="R574" s="25"/>
      <c r="S574" s="151"/>
      <c r="T574" s="151"/>
      <c r="U574" s="151"/>
      <c r="V574" s="73"/>
      <c r="W574" s="28"/>
      <c r="X574" s="24"/>
    </row>
    <row r="575" spans="2:24">
      <c r="B575" s="24"/>
      <c r="C575" s="47"/>
      <c r="D575" s="26"/>
      <c r="E575" s="27"/>
      <c r="F575" s="25"/>
      <c r="G575" s="25"/>
      <c r="H575" s="25"/>
      <c r="I575" s="25"/>
      <c r="J575" s="25"/>
      <c r="K575" s="25"/>
      <c r="L575" s="25"/>
      <c r="M575" s="25"/>
      <c r="N575" s="25"/>
      <c r="O575" s="25"/>
      <c r="P575" s="25"/>
      <c r="Q575" s="25"/>
      <c r="R575" s="25"/>
      <c r="S575" s="151"/>
      <c r="T575" s="151"/>
      <c r="U575" s="151"/>
      <c r="V575" s="73"/>
      <c r="W575" s="28"/>
      <c r="X575" s="24"/>
    </row>
    <row r="576" spans="2:24">
      <c r="B576" s="24"/>
      <c r="C576" s="47"/>
      <c r="D576" s="26"/>
      <c r="E576" s="27"/>
      <c r="F576" s="25"/>
      <c r="G576" s="25"/>
      <c r="H576" s="25"/>
      <c r="I576" s="25"/>
      <c r="J576" s="25"/>
      <c r="K576" s="25"/>
      <c r="L576" s="25"/>
      <c r="M576" s="25"/>
      <c r="N576" s="25"/>
      <c r="O576" s="25"/>
      <c r="P576" s="25"/>
      <c r="Q576" s="25"/>
      <c r="R576" s="25"/>
      <c r="S576" s="151"/>
      <c r="T576" s="151"/>
      <c r="U576" s="151"/>
      <c r="V576" s="73"/>
      <c r="W576" s="28"/>
      <c r="X576" s="24"/>
    </row>
    <row r="577" spans="2:24">
      <c r="B577" s="24"/>
      <c r="C577" s="47"/>
      <c r="D577" s="26"/>
      <c r="E577" s="27"/>
      <c r="F577" s="25"/>
      <c r="G577" s="25"/>
      <c r="H577" s="25"/>
      <c r="I577" s="25"/>
      <c r="J577" s="25"/>
      <c r="K577" s="25"/>
      <c r="L577" s="25"/>
      <c r="M577" s="25"/>
      <c r="N577" s="25"/>
      <c r="O577" s="25"/>
      <c r="P577" s="25"/>
      <c r="Q577" s="25"/>
      <c r="R577" s="25"/>
      <c r="S577" s="151"/>
      <c r="T577" s="151"/>
      <c r="U577" s="151"/>
      <c r="V577" s="73"/>
      <c r="W577" s="28"/>
      <c r="X577" s="24"/>
    </row>
    <row r="578" spans="2:24">
      <c r="B578" s="24"/>
      <c r="C578" s="47"/>
      <c r="D578" s="26"/>
      <c r="E578" s="27"/>
      <c r="F578" s="25"/>
      <c r="G578" s="25"/>
      <c r="H578" s="25"/>
      <c r="I578" s="25"/>
      <c r="J578" s="25"/>
      <c r="K578" s="25"/>
      <c r="L578" s="25"/>
      <c r="M578" s="25"/>
      <c r="N578" s="25"/>
      <c r="O578" s="25"/>
      <c r="P578" s="25"/>
      <c r="Q578" s="25"/>
      <c r="R578" s="25"/>
      <c r="S578" s="151"/>
      <c r="T578" s="151"/>
      <c r="U578" s="151"/>
      <c r="V578" s="73"/>
      <c r="W578" s="28"/>
      <c r="X578" s="24"/>
    </row>
    <row r="579" spans="2:24">
      <c r="B579" s="24"/>
      <c r="C579" s="47"/>
      <c r="D579" s="26"/>
      <c r="E579" s="27"/>
      <c r="F579" s="25"/>
      <c r="G579" s="25"/>
      <c r="H579" s="25"/>
      <c r="I579" s="25"/>
      <c r="J579" s="25"/>
      <c r="K579" s="25"/>
      <c r="L579" s="25"/>
      <c r="M579" s="25"/>
      <c r="N579" s="25"/>
      <c r="O579" s="25"/>
      <c r="P579" s="25"/>
      <c r="Q579" s="25"/>
      <c r="R579" s="25"/>
      <c r="S579" s="151"/>
      <c r="T579" s="151"/>
      <c r="U579" s="151"/>
      <c r="V579" s="73"/>
      <c r="W579" s="28"/>
      <c r="X579" s="24"/>
    </row>
    <row r="580" spans="2:24">
      <c r="B580" s="24"/>
      <c r="C580" s="47"/>
      <c r="D580" s="26"/>
      <c r="E580" s="27"/>
      <c r="F580" s="25"/>
      <c r="G580" s="25"/>
      <c r="H580" s="25"/>
      <c r="I580" s="25"/>
      <c r="J580" s="25"/>
      <c r="K580" s="25"/>
      <c r="L580" s="25"/>
      <c r="M580" s="25"/>
      <c r="N580" s="25"/>
      <c r="O580" s="25"/>
      <c r="P580" s="25"/>
      <c r="Q580" s="25"/>
      <c r="R580" s="25"/>
      <c r="S580" s="151"/>
      <c r="T580" s="151"/>
      <c r="U580" s="151"/>
      <c r="V580" s="73"/>
      <c r="W580" s="28"/>
      <c r="X580" s="24"/>
    </row>
    <row r="581" spans="2:24">
      <c r="B581" s="24"/>
      <c r="C581" s="47"/>
      <c r="D581" s="26"/>
      <c r="E581" s="27"/>
      <c r="F581" s="25"/>
      <c r="G581" s="25"/>
      <c r="H581" s="25"/>
      <c r="I581" s="25"/>
      <c r="J581" s="25"/>
      <c r="K581" s="25"/>
      <c r="L581" s="25"/>
      <c r="M581" s="25"/>
      <c r="N581" s="25"/>
      <c r="O581" s="25"/>
      <c r="P581" s="25"/>
      <c r="Q581" s="25"/>
      <c r="R581" s="25"/>
      <c r="S581" s="151"/>
      <c r="T581" s="151"/>
      <c r="U581" s="151"/>
      <c r="V581" s="73"/>
      <c r="W581" s="28"/>
      <c r="X581" s="24"/>
    </row>
    <row r="582" spans="2:24">
      <c r="B582" s="24"/>
      <c r="C582" s="47"/>
      <c r="D582" s="26"/>
      <c r="E582" s="27"/>
      <c r="F582" s="25"/>
      <c r="G582" s="25"/>
      <c r="H582" s="25"/>
      <c r="I582" s="25"/>
      <c r="J582" s="25"/>
      <c r="K582" s="25"/>
      <c r="L582" s="25"/>
      <c r="M582" s="25"/>
      <c r="N582" s="25"/>
      <c r="O582" s="25"/>
      <c r="P582" s="25"/>
      <c r="Q582" s="25"/>
      <c r="R582" s="25"/>
      <c r="S582" s="151"/>
      <c r="T582" s="151"/>
      <c r="U582" s="151"/>
      <c r="V582" s="73"/>
      <c r="W582" s="28"/>
      <c r="X582" s="24"/>
    </row>
    <row r="583" spans="2:24">
      <c r="B583" s="24"/>
      <c r="C583" s="47"/>
      <c r="D583" s="26"/>
      <c r="E583" s="27"/>
      <c r="F583" s="25"/>
      <c r="G583" s="25"/>
      <c r="H583" s="25"/>
      <c r="I583" s="25"/>
      <c r="J583" s="25"/>
      <c r="K583" s="25"/>
      <c r="L583" s="25"/>
      <c r="M583" s="25"/>
      <c r="N583" s="25"/>
      <c r="O583" s="25"/>
      <c r="P583" s="25"/>
      <c r="Q583" s="25"/>
      <c r="R583" s="25"/>
      <c r="S583" s="151"/>
      <c r="T583" s="151"/>
      <c r="U583" s="151"/>
      <c r="V583" s="73"/>
      <c r="W583" s="28"/>
      <c r="X583" s="24"/>
    </row>
    <row r="584" spans="2:24">
      <c r="B584" s="24"/>
      <c r="C584" s="47"/>
      <c r="D584" s="26"/>
      <c r="E584" s="27"/>
      <c r="F584" s="25"/>
      <c r="G584" s="25"/>
      <c r="H584" s="25"/>
      <c r="I584" s="25"/>
      <c r="J584" s="25"/>
      <c r="K584" s="25"/>
      <c r="L584" s="25"/>
      <c r="M584" s="25"/>
      <c r="N584" s="25"/>
      <c r="O584" s="25"/>
      <c r="P584" s="25"/>
      <c r="Q584" s="25"/>
      <c r="R584" s="25"/>
      <c r="S584" s="151"/>
      <c r="T584" s="151"/>
      <c r="U584" s="151"/>
      <c r="V584" s="73"/>
      <c r="W584" s="28"/>
      <c r="X584" s="24"/>
    </row>
    <row r="585" spans="2:24">
      <c r="B585" s="24"/>
      <c r="C585" s="47"/>
      <c r="D585" s="26"/>
      <c r="E585" s="27"/>
      <c r="F585" s="25"/>
      <c r="G585" s="25"/>
      <c r="H585" s="25"/>
      <c r="I585" s="25"/>
      <c r="J585" s="25"/>
      <c r="K585" s="25"/>
      <c r="L585" s="25"/>
      <c r="M585" s="25"/>
      <c r="N585" s="25"/>
      <c r="O585" s="25"/>
      <c r="P585" s="25"/>
      <c r="Q585" s="25"/>
      <c r="R585" s="25"/>
      <c r="S585" s="151"/>
      <c r="T585" s="151"/>
      <c r="U585" s="151"/>
      <c r="V585" s="73"/>
      <c r="W585" s="28"/>
      <c r="X585" s="24"/>
    </row>
    <row r="586" spans="2:24">
      <c r="B586" s="24"/>
      <c r="C586" s="47"/>
      <c r="D586" s="26"/>
      <c r="E586" s="27"/>
      <c r="F586" s="25"/>
      <c r="G586" s="25"/>
      <c r="H586" s="25"/>
      <c r="I586" s="25"/>
      <c r="J586" s="25"/>
      <c r="K586" s="25"/>
      <c r="L586" s="25"/>
      <c r="M586" s="25"/>
      <c r="N586" s="25"/>
      <c r="O586" s="25"/>
      <c r="P586" s="25"/>
      <c r="Q586" s="25"/>
      <c r="R586" s="25"/>
      <c r="S586" s="151"/>
      <c r="T586" s="151"/>
      <c r="U586" s="151"/>
      <c r="V586" s="73"/>
      <c r="W586" s="28"/>
      <c r="X586" s="24"/>
    </row>
    <row r="587" spans="2:24">
      <c r="B587" s="24"/>
      <c r="C587" s="47"/>
      <c r="D587" s="26"/>
      <c r="E587" s="27"/>
      <c r="F587" s="25"/>
      <c r="G587" s="25"/>
      <c r="H587" s="25"/>
      <c r="I587" s="25"/>
      <c r="J587" s="25"/>
      <c r="K587" s="25"/>
      <c r="L587" s="25"/>
      <c r="M587" s="25"/>
      <c r="N587" s="25"/>
      <c r="O587" s="25"/>
      <c r="P587" s="25"/>
      <c r="Q587" s="25"/>
      <c r="R587" s="25"/>
      <c r="S587" s="151"/>
      <c r="T587" s="151"/>
      <c r="U587" s="151"/>
      <c r="V587" s="73"/>
      <c r="W587" s="28"/>
      <c r="X587" s="24"/>
    </row>
    <row r="588" spans="2:24">
      <c r="B588" s="24"/>
      <c r="C588" s="47"/>
      <c r="D588" s="26"/>
      <c r="E588" s="27"/>
      <c r="F588" s="25"/>
      <c r="G588" s="25"/>
      <c r="H588" s="25"/>
      <c r="I588" s="58"/>
      <c r="J588" s="25"/>
      <c r="K588" s="25"/>
      <c r="L588" s="25"/>
      <c r="M588" s="25"/>
      <c r="N588" s="25"/>
      <c r="O588" s="25"/>
      <c r="P588" s="25"/>
      <c r="Q588" s="25"/>
      <c r="R588" s="25"/>
      <c r="S588" s="151"/>
      <c r="T588" s="151"/>
      <c r="U588" s="151"/>
      <c r="V588" s="73"/>
      <c r="W588" s="28"/>
      <c r="X588" s="24"/>
    </row>
    <row r="589" spans="2:24">
      <c r="B589" s="24"/>
      <c r="C589" s="47"/>
      <c r="D589" s="26"/>
      <c r="E589" s="27"/>
      <c r="F589" s="25"/>
      <c r="G589" s="25"/>
      <c r="H589" s="25"/>
      <c r="I589" s="25"/>
      <c r="J589" s="25"/>
      <c r="K589" s="25"/>
      <c r="L589" s="25"/>
      <c r="M589" s="25"/>
      <c r="N589" s="25"/>
      <c r="O589" s="25"/>
      <c r="P589" s="25"/>
      <c r="Q589" s="25"/>
      <c r="R589" s="25"/>
      <c r="S589" s="151"/>
      <c r="T589" s="151"/>
      <c r="U589" s="151"/>
      <c r="V589" s="73"/>
      <c r="W589" s="28"/>
      <c r="X589" s="24"/>
    </row>
    <row r="590" spans="2:24">
      <c r="B590" s="24"/>
      <c r="C590" s="47"/>
      <c r="D590" s="26"/>
      <c r="E590" s="27"/>
      <c r="F590" s="25"/>
      <c r="G590" s="25"/>
      <c r="H590" s="25"/>
      <c r="I590" s="25"/>
      <c r="J590" s="25"/>
      <c r="K590" s="25"/>
      <c r="L590" s="25"/>
      <c r="M590" s="25"/>
      <c r="N590" s="25"/>
      <c r="O590" s="25"/>
      <c r="P590" s="25"/>
      <c r="Q590" s="25"/>
      <c r="R590" s="25"/>
      <c r="S590" s="151"/>
      <c r="T590" s="151"/>
      <c r="U590" s="151"/>
      <c r="V590" s="73"/>
      <c r="W590" s="28"/>
      <c r="X590" s="24"/>
    </row>
    <row r="591" spans="2:24">
      <c r="B591" s="24"/>
      <c r="C591" s="47"/>
      <c r="D591" s="26"/>
      <c r="E591" s="27"/>
      <c r="F591" s="25"/>
      <c r="G591" s="25"/>
      <c r="H591" s="25"/>
      <c r="I591" s="25"/>
      <c r="J591" s="25"/>
      <c r="K591" s="25"/>
      <c r="L591" s="25"/>
      <c r="M591" s="25"/>
      <c r="N591" s="25"/>
      <c r="O591" s="25"/>
      <c r="P591" s="25"/>
      <c r="Q591" s="25"/>
      <c r="R591" s="25"/>
      <c r="S591" s="151"/>
      <c r="T591" s="151"/>
      <c r="U591" s="151"/>
      <c r="V591" s="73"/>
      <c r="W591" s="28"/>
      <c r="X591" s="24"/>
    </row>
    <row r="592" spans="2:24">
      <c r="B592" s="24"/>
      <c r="C592" s="47"/>
      <c r="D592" s="26"/>
      <c r="E592" s="27"/>
      <c r="F592" s="25"/>
      <c r="G592" s="25"/>
      <c r="H592" s="25"/>
      <c r="I592" s="25"/>
      <c r="J592" s="25"/>
      <c r="K592" s="25"/>
      <c r="L592" s="25"/>
      <c r="M592" s="25"/>
      <c r="N592" s="25"/>
      <c r="O592" s="25"/>
      <c r="P592" s="25"/>
      <c r="Q592" s="25"/>
      <c r="R592" s="25"/>
      <c r="S592" s="151"/>
      <c r="T592" s="151"/>
      <c r="U592" s="151"/>
      <c r="V592" s="73"/>
      <c r="W592" s="28"/>
      <c r="X592" s="24"/>
    </row>
    <row r="593" spans="2:24">
      <c r="B593" s="24"/>
      <c r="C593" s="47"/>
      <c r="D593" s="26"/>
      <c r="E593" s="27"/>
      <c r="F593" s="25"/>
      <c r="G593" s="25"/>
      <c r="H593" s="25"/>
      <c r="I593" s="25"/>
      <c r="J593" s="25"/>
      <c r="K593" s="25"/>
      <c r="L593" s="25"/>
      <c r="M593" s="25"/>
      <c r="N593" s="25"/>
      <c r="O593" s="25"/>
      <c r="P593" s="25"/>
      <c r="Q593" s="25"/>
      <c r="R593" s="25"/>
      <c r="S593" s="151"/>
      <c r="T593" s="151"/>
      <c r="U593" s="151"/>
      <c r="V593" s="73"/>
      <c r="W593" s="28"/>
      <c r="X593" s="24"/>
    </row>
    <row r="594" spans="2:24">
      <c r="B594" s="24"/>
      <c r="C594" s="47"/>
      <c r="D594" s="26"/>
      <c r="E594" s="27"/>
      <c r="F594" s="25"/>
      <c r="G594" s="25"/>
      <c r="H594" s="25"/>
      <c r="I594" s="25"/>
      <c r="J594" s="25"/>
      <c r="K594" s="25"/>
      <c r="L594" s="25"/>
      <c r="M594" s="25"/>
      <c r="N594" s="25"/>
      <c r="O594" s="25"/>
      <c r="P594" s="25"/>
      <c r="Q594" s="25"/>
      <c r="R594" s="25"/>
      <c r="S594" s="151"/>
      <c r="T594" s="151"/>
      <c r="U594" s="151"/>
      <c r="V594" s="73"/>
      <c r="W594" s="28"/>
      <c r="X594" s="24"/>
    </row>
    <row r="595" spans="2:24">
      <c r="B595" s="24"/>
      <c r="C595" s="47"/>
      <c r="D595" s="26"/>
      <c r="E595" s="27"/>
      <c r="F595" s="25"/>
      <c r="G595" s="25"/>
      <c r="H595" s="25"/>
      <c r="I595" s="25"/>
      <c r="J595" s="25"/>
      <c r="K595" s="25"/>
      <c r="L595" s="25"/>
      <c r="M595" s="25"/>
      <c r="N595" s="25"/>
      <c r="O595" s="25"/>
      <c r="P595" s="25"/>
      <c r="Q595" s="25"/>
      <c r="R595" s="25"/>
      <c r="S595" s="151"/>
      <c r="T595" s="151"/>
      <c r="U595" s="151"/>
      <c r="V595" s="73"/>
      <c r="W595" s="28"/>
      <c r="X595" s="24"/>
    </row>
    <row r="596" spans="2:24">
      <c r="B596" s="24"/>
      <c r="C596" s="47"/>
      <c r="D596" s="26"/>
      <c r="E596" s="27"/>
      <c r="F596" s="25"/>
      <c r="G596" s="25"/>
      <c r="H596" s="25"/>
      <c r="I596" s="25"/>
      <c r="J596" s="25"/>
      <c r="K596" s="25"/>
      <c r="L596" s="25"/>
      <c r="M596" s="25"/>
      <c r="N596" s="25"/>
      <c r="O596" s="25"/>
      <c r="P596" s="25"/>
      <c r="Q596" s="25"/>
      <c r="R596" s="25"/>
      <c r="S596" s="151"/>
      <c r="T596" s="151"/>
      <c r="U596" s="151"/>
      <c r="V596" s="73"/>
      <c r="W596" s="28"/>
      <c r="X596" s="24"/>
    </row>
    <row r="597" spans="2:24">
      <c r="B597" s="24"/>
      <c r="C597" s="47"/>
      <c r="D597" s="26"/>
      <c r="E597" s="27"/>
      <c r="F597" s="25"/>
      <c r="G597" s="25"/>
      <c r="H597" s="25"/>
      <c r="I597" s="25"/>
      <c r="J597" s="25"/>
      <c r="K597" s="25"/>
      <c r="L597" s="25"/>
      <c r="M597" s="25"/>
      <c r="N597" s="25"/>
      <c r="O597" s="25"/>
      <c r="P597" s="25"/>
      <c r="Q597" s="25"/>
      <c r="R597" s="25"/>
      <c r="S597" s="151"/>
      <c r="T597" s="151"/>
      <c r="U597" s="151"/>
      <c r="V597" s="73"/>
      <c r="W597" s="28"/>
      <c r="X597" s="24"/>
    </row>
    <row r="598" spans="2:24">
      <c r="B598" s="24"/>
      <c r="C598" s="47"/>
      <c r="D598" s="26"/>
      <c r="E598" s="27"/>
      <c r="F598" s="25"/>
      <c r="G598" s="25"/>
      <c r="H598" s="25"/>
      <c r="I598" s="25"/>
      <c r="J598" s="25"/>
      <c r="K598" s="25"/>
      <c r="L598" s="25"/>
      <c r="M598" s="25"/>
      <c r="N598" s="25"/>
      <c r="O598" s="25"/>
      <c r="P598" s="25"/>
      <c r="Q598" s="25"/>
      <c r="R598" s="25"/>
      <c r="S598" s="151"/>
      <c r="T598" s="151"/>
      <c r="U598" s="151"/>
      <c r="V598" s="73"/>
      <c r="W598" s="28"/>
      <c r="X598" s="24"/>
    </row>
    <row r="599" spans="2:24">
      <c r="B599" s="24"/>
      <c r="C599" s="47"/>
      <c r="D599" s="26"/>
      <c r="E599" s="27"/>
      <c r="F599" s="25"/>
      <c r="G599" s="25"/>
      <c r="H599" s="25"/>
      <c r="I599" s="25"/>
      <c r="J599" s="25"/>
      <c r="K599" s="25"/>
      <c r="L599" s="25"/>
      <c r="M599" s="25"/>
      <c r="N599" s="25"/>
      <c r="O599" s="25"/>
      <c r="P599" s="25"/>
      <c r="Q599" s="25"/>
      <c r="R599" s="25"/>
      <c r="S599" s="151"/>
      <c r="T599" s="151"/>
      <c r="U599" s="151"/>
      <c r="V599" s="73"/>
      <c r="W599" s="28"/>
      <c r="X599" s="24"/>
    </row>
    <row r="600" spans="2:24">
      <c r="B600" s="24"/>
      <c r="C600" s="47"/>
      <c r="D600" s="26"/>
      <c r="E600" s="27"/>
      <c r="F600" s="25"/>
      <c r="G600" s="25"/>
      <c r="H600" s="25"/>
      <c r="I600" s="25"/>
      <c r="J600" s="25"/>
      <c r="K600" s="25"/>
      <c r="L600" s="25"/>
      <c r="M600" s="25"/>
      <c r="N600" s="25"/>
      <c r="O600" s="25"/>
      <c r="P600" s="25"/>
      <c r="Q600" s="25"/>
      <c r="R600" s="25"/>
      <c r="S600" s="151"/>
      <c r="T600" s="151"/>
      <c r="U600" s="151"/>
      <c r="V600" s="73"/>
      <c r="W600" s="28"/>
      <c r="X600" s="24"/>
    </row>
    <row r="601" spans="2:24">
      <c r="B601" s="24"/>
      <c r="C601" s="47"/>
      <c r="D601" s="26"/>
      <c r="E601" s="27"/>
      <c r="F601" s="25"/>
      <c r="G601" s="25"/>
      <c r="H601" s="25"/>
      <c r="I601" s="25"/>
      <c r="J601" s="25"/>
      <c r="K601" s="25"/>
      <c r="L601" s="25"/>
      <c r="M601" s="25"/>
      <c r="N601" s="25"/>
      <c r="O601" s="25"/>
      <c r="P601" s="25"/>
      <c r="Q601" s="25"/>
      <c r="R601" s="25"/>
      <c r="S601" s="151"/>
      <c r="T601" s="151"/>
      <c r="U601" s="151"/>
      <c r="V601" s="73"/>
      <c r="W601" s="28"/>
      <c r="X601" s="24"/>
    </row>
    <row r="602" spans="2:24">
      <c r="B602" s="24"/>
      <c r="C602" s="47"/>
      <c r="D602" s="26"/>
      <c r="E602" s="27"/>
      <c r="F602" s="25"/>
      <c r="G602" s="25"/>
      <c r="H602" s="25"/>
      <c r="I602" s="25"/>
      <c r="J602" s="25"/>
      <c r="K602" s="25"/>
      <c r="L602" s="25"/>
      <c r="M602" s="25"/>
      <c r="N602" s="25"/>
      <c r="O602" s="25"/>
      <c r="P602" s="25"/>
      <c r="Q602" s="25"/>
      <c r="R602" s="25"/>
      <c r="S602" s="151"/>
      <c r="T602" s="151"/>
      <c r="U602" s="151"/>
      <c r="V602" s="73"/>
      <c r="W602" s="28"/>
      <c r="X602" s="24"/>
    </row>
    <row r="603" spans="2:24">
      <c r="B603" s="24"/>
      <c r="C603" s="47"/>
      <c r="D603" s="26"/>
      <c r="E603" s="27"/>
      <c r="F603" s="25"/>
      <c r="G603" s="25"/>
      <c r="H603" s="25"/>
      <c r="I603" s="25"/>
      <c r="J603" s="25"/>
      <c r="K603" s="25"/>
      <c r="L603" s="25"/>
      <c r="M603" s="25"/>
      <c r="N603" s="25"/>
      <c r="O603" s="25"/>
      <c r="P603" s="25"/>
      <c r="Q603" s="25"/>
      <c r="R603" s="25"/>
      <c r="S603" s="151"/>
      <c r="T603" s="151"/>
      <c r="U603" s="151"/>
      <c r="V603" s="73"/>
      <c r="W603" s="28"/>
      <c r="X603" s="24"/>
    </row>
    <row r="604" spans="2:24">
      <c r="B604" s="24"/>
      <c r="C604" s="47"/>
      <c r="D604" s="26"/>
      <c r="E604" s="27"/>
      <c r="F604" s="25"/>
      <c r="G604" s="25"/>
      <c r="H604" s="25"/>
      <c r="I604" s="25"/>
      <c r="J604" s="25"/>
      <c r="K604" s="25"/>
      <c r="L604" s="25"/>
      <c r="M604" s="25"/>
      <c r="N604" s="25"/>
      <c r="O604" s="25"/>
      <c r="P604" s="25"/>
      <c r="Q604" s="25"/>
      <c r="R604" s="25"/>
      <c r="S604" s="151"/>
      <c r="T604" s="151"/>
      <c r="U604" s="151"/>
      <c r="V604" s="73"/>
      <c r="W604" s="28"/>
      <c r="X604" s="24"/>
    </row>
    <row r="605" spans="2:24">
      <c r="B605" s="24"/>
      <c r="C605" s="47"/>
      <c r="D605" s="26"/>
      <c r="E605" s="27"/>
      <c r="F605" s="25"/>
      <c r="G605" s="25"/>
      <c r="H605" s="25"/>
      <c r="I605" s="25"/>
      <c r="J605" s="25"/>
      <c r="K605" s="25"/>
      <c r="L605" s="25"/>
      <c r="M605" s="25"/>
      <c r="N605" s="25"/>
      <c r="O605" s="25"/>
      <c r="P605" s="25"/>
      <c r="Q605" s="25"/>
      <c r="R605" s="25"/>
      <c r="S605" s="151"/>
      <c r="T605" s="151"/>
      <c r="U605" s="151"/>
      <c r="V605" s="73"/>
      <c r="W605" s="28"/>
      <c r="X605" s="24"/>
    </row>
    <row r="606" spans="2:24">
      <c r="B606" s="24"/>
      <c r="C606" s="47"/>
      <c r="D606" s="26"/>
      <c r="E606" s="27"/>
      <c r="F606" s="25"/>
      <c r="G606" s="25"/>
      <c r="H606" s="25"/>
      <c r="I606" s="25"/>
      <c r="J606" s="25"/>
      <c r="K606" s="25"/>
      <c r="L606" s="25"/>
      <c r="M606" s="25"/>
      <c r="N606" s="25"/>
      <c r="O606" s="25"/>
      <c r="P606" s="25"/>
      <c r="Q606" s="25"/>
      <c r="R606" s="25"/>
      <c r="S606" s="151"/>
      <c r="T606" s="151"/>
      <c r="U606" s="151"/>
      <c r="V606" s="73"/>
      <c r="W606" s="28"/>
      <c r="X606" s="24"/>
    </row>
    <row r="607" spans="2:24">
      <c r="B607" s="24"/>
      <c r="C607" s="47"/>
      <c r="D607" s="26"/>
      <c r="E607" s="27"/>
      <c r="F607" s="25"/>
      <c r="G607" s="25"/>
      <c r="H607" s="25"/>
      <c r="I607" s="25"/>
      <c r="J607" s="25"/>
      <c r="K607" s="25"/>
      <c r="L607" s="25"/>
      <c r="M607" s="25"/>
      <c r="N607" s="25"/>
      <c r="O607" s="25"/>
      <c r="P607" s="25"/>
      <c r="Q607" s="25"/>
      <c r="R607" s="25"/>
      <c r="S607" s="151"/>
      <c r="T607" s="151"/>
      <c r="U607" s="151"/>
      <c r="V607" s="73"/>
      <c r="W607" s="28"/>
      <c r="X607" s="24"/>
    </row>
    <row r="608" spans="2:24">
      <c r="B608" s="24"/>
      <c r="C608" s="47"/>
      <c r="D608" s="26"/>
      <c r="E608" s="27"/>
      <c r="F608" s="25"/>
      <c r="G608" s="25"/>
      <c r="H608" s="25"/>
      <c r="I608" s="25"/>
      <c r="J608" s="25"/>
      <c r="K608" s="25"/>
      <c r="L608" s="25"/>
      <c r="M608" s="25"/>
      <c r="N608" s="25"/>
      <c r="O608" s="25"/>
      <c r="P608" s="25"/>
      <c r="Q608" s="25"/>
      <c r="R608" s="25"/>
      <c r="S608" s="151"/>
      <c r="T608" s="151"/>
      <c r="U608" s="151"/>
      <c r="V608" s="73"/>
      <c r="W608" s="28"/>
      <c r="X608" s="24"/>
    </row>
    <row r="609" spans="2:24">
      <c r="B609" s="24"/>
      <c r="C609" s="47"/>
      <c r="D609" s="26"/>
      <c r="E609" s="27"/>
      <c r="F609" s="25"/>
      <c r="G609" s="25"/>
      <c r="H609" s="25"/>
      <c r="I609" s="25"/>
      <c r="J609" s="25"/>
      <c r="K609" s="25"/>
      <c r="L609" s="25"/>
      <c r="M609" s="25"/>
      <c r="N609" s="25"/>
      <c r="O609" s="25"/>
      <c r="P609" s="25"/>
      <c r="Q609" s="25"/>
      <c r="R609" s="25"/>
      <c r="S609" s="151"/>
      <c r="T609" s="151"/>
      <c r="U609" s="151"/>
      <c r="V609" s="73"/>
      <c r="W609" s="28"/>
      <c r="X609" s="24"/>
    </row>
    <row r="610" spans="2:24">
      <c r="B610" s="24"/>
      <c r="C610" s="47"/>
      <c r="D610" s="26"/>
      <c r="E610" s="27"/>
      <c r="F610" s="25"/>
      <c r="G610" s="25"/>
      <c r="H610" s="25"/>
      <c r="I610" s="25"/>
      <c r="J610" s="25"/>
      <c r="K610" s="25"/>
      <c r="L610" s="25"/>
      <c r="M610" s="25"/>
      <c r="N610" s="25"/>
      <c r="O610" s="25"/>
      <c r="P610" s="25"/>
      <c r="Q610" s="25"/>
      <c r="R610" s="25"/>
      <c r="S610" s="151"/>
      <c r="T610" s="151"/>
      <c r="U610" s="151"/>
      <c r="V610" s="73"/>
      <c r="W610" s="28"/>
      <c r="X610" s="24"/>
    </row>
    <row r="611" spans="2:24">
      <c r="B611" s="24"/>
      <c r="C611" s="47"/>
      <c r="D611" s="26"/>
      <c r="E611" s="27"/>
      <c r="F611" s="25"/>
      <c r="G611" s="25"/>
      <c r="H611" s="25"/>
      <c r="I611" s="25"/>
      <c r="J611" s="25"/>
      <c r="K611" s="25"/>
      <c r="L611" s="25"/>
      <c r="M611" s="25"/>
      <c r="N611" s="25"/>
      <c r="O611" s="25"/>
      <c r="P611" s="25"/>
      <c r="Q611" s="25"/>
      <c r="R611" s="25"/>
      <c r="S611" s="151"/>
      <c r="T611" s="151"/>
      <c r="U611" s="151"/>
      <c r="V611" s="73"/>
      <c r="W611" s="28"/>
      <c r="X611" s="24"/>
    </row>
    <row r="612" spans="2:24">
      <c r="B612" s="24"/>
      <c r="C612" s="47"/>
      <c r="D612" s="26"/>
      <c r="E612" s="27"/>
      <c r="F612" s="25"/>
      <c r="G612" s="25"/>
      <c r="H612" s="25"/>
      <c r="I612" s="25"/>
      <c r="J612" s="25"/>
      <c r="K612" s="25"/>
      <c r="L612" s="25"/>
      <c r="M612" s="25"/>
      <c r="N612" s="25"/>
      <c r="O612" s="25"/>
      <c r="P612" s="25"/>
      <c r="Q612" s="25"/>
      <c r="R612" s="25"/>
      <c r="S612" s="151"/>
      <c r="T612" s="151"/>
      <c r="U612" s="151"/>
      <c r="V612" s="73"/>
      <c r="W612" s="28"/>
      <c r="X612" s="24"/>
    </row>
    <row r="613" spans="2:24">
      <c r="B613" s="24"/>
      <c r="C613" s="47"/>
      <c r="D613" s="26"/>
      <c r="E613" s="27"/>
      <c r="F613" s="25"/>
      <c r="G613" s="25"/>
      <c r="H613" s="25"/>
      <c r="I613" s="25"/>
      <c r="J613" s="25"/>
      <c r="K613" s="25"/>
      <c r="L613" s="25"/>
      <c r="M613" s="25"/>
      <c r="N613" s="25"/>
      <c r="O613" s="25"/>
      <c r="P613" s="25"/>
      <c r="Q613" s="25"/>
      <c r="R613" s="25"/>
      <c r="S613" s="151"/>
      <c r="T613" s="151"/>
      <c r="U613" s="151"/>
      <c r="V613" s="73"/>
      <c r="W613" s="28"/>
      <c r="X613" s="24"/>
    </row>
    <row r="614" spans="2:24">
      <c r="B614" s="24"/>
      <c r="C614" s="47"/>
      <c r="D614" s="26"/>
      <c r="E614" s="27"/>
      <c r="F614" s="25"/>
      <c r="G614" s="25"/>
      <c r="H614" s="25"/>
      <c r="I614" s="25"/>
      <c r="J614" s="25"/>
      <c r="K614" s="25"/>
      <c r="L614" s="25"/>
      <c r="M614" s="25"/>
      <c r="N614" s="25"/>
      <c r="O614" s="25"/>
      <c r="P614" s="25"/>
      <c r="Q614" s="25"/>
      <c r="R614" s="25"/>
      <c r="S614" s="151"/>
      <c r="T614" s="151"/>
      <c r="U614" s="151"/>
      <c r="V614" s="73"/>
      <c r="W614" s="28"/>
      <c r="X614" s="24"/>
    </row>
    <row r="615" spans="2:24">
      <c r="B615" s="24"/>
      <c r="C615" s="47"/>
      <c r="D615" s="26"/>
      <c r="E615" s="27"/>
      <c r="F615" s="25"/>
      <c r="G615" s="25"/>
      <c r="H615" s="25"/>
      <c r="I615" s="25"/>
      <c r="J615" s="25"/>
      <c r="K615" s="25"/>
      <c r="L615" s="25"/>
      <c r="M615" s="25"/>
      <c r="N615" s="25"/>
      <c r="O615" s="25"/>
      <c r="P615" s="25"/>
      <c r="Q615" s="25"/>
      <c r="R615" s="25"/>
      <c r="S615" s="151"/>
      <c r="T615" s="151"/>
      <c r="U615" s="151"/>
      <c r="V615" s="73"/>
      <c r="W615" s="28"/>
      <c r="X615" s="24"/>
    </row>
    <row r="616" spans="2:24">
      <c r="B616" s="24"/>
      <c r="C616" s="47"/>
      <c r="D616" s="26"/>
      <c r="E616" s="27"/>
      <c r="F616" s="25"/>
      <c r="G616" s="25"/>
      <c r="H616" s="25"/>
      <c r="I616" s="25"/>
      <c r="J616" s="25"/>
      <c r="K616" s="25"/>
      <c r="L616" s="25"/>
      <c r="M616" s="25"/>
      <c r="N616" s="25"/>
      <c r="O616" s="25"/>
      <c r="P616" s="25"/>
      <c r="Q616" s="25"/>
      <c r="R616" s="25"/>
      <c r="S616" s="151"/>
      <c r="T616" s="151"/>
      <c r="U616" s="151"/>
      <c r="V616" s="73"/>
      <c r="W616" s="28"/>
      <c r="X616" s="24"/>
    </row>
    <row r="617" spans="2:24">
      <c r="B617" s="24"/>
      <c r="C617" s="47"/>
      <c r="D617" s="26"/>
      <c r="E617" s="27"/>
      <c r="F617" s="25"/>
      <c r="G617" s="25"/>
      <c r="H617" s="25"/>
      <c r="I617" s="25"/>
      <c r="J617" s="25"/>
      <c r="K617" s="25"/>
      <c r="L617" s="25"/>
      <c r="M617" s="25"/>
      <c r="N617" s="25"/>
      <c r="O617" s="25"/>
      <c r="P617" s="25"/>
      <c r="Q617" s="25"/>
      <c r="R617" s="25"/>
      <c r="S617" s="151"/>
      <c r="T617" s="151"/>
      <c r="U617" s="151"/>
      <c r="V617" s="73"/>
      <c r="W617" s="28"/>
      <c r="X617" s="24"/>
    </row>
    <row r="618" spans="2:24">
      <c r="B618" s="24"/>
      <c r="C618" s="47"/>
      <c r="D618" s="26"/>
      <c r="E618" s="27"/>
      <c r="F618" s="25"/>
      <c r="G618" s="25"/>
      <c r="H618" s="25"/>
      <c r="I618" s="25"/>
      <c r="J618" s="25"/>
      <c r="K618" s="25"/>
      <c r="L618" s="25"/>
      <c r="M618" s="25"/>
      <c r="N618" s="25"/>
      <c r="O618" s="25"/>
      <c r="P618" s="25"/>
      <c r="Q618" s="25"/>
      <c r="R618" s="25"/>
      <c r="S618" s="151"/>
      <c r="T618" s="151"/>
      <c r="U618" s="151"/>
      <c r="V618" s="73"/>
      <c r="W618" s="28"/>
      <c r="X618" s="24"/>
    </row>
    <row r="619" spans="2:24">
      <c r="B619" s="24"/>
      <c r="C619" s="47"/>
      <c r="D619" s="26"/>
      <c r="E619" s="27"/>
      <c r="F619" s="25"/>
      <c r="G619" s="25"/>
      <c r="H619" s="25"/>
      <c r="I619" s="25"/>
      <c r="J619" s="25"/>
      <c r="K619" s="25"/>
      <c r="L619" s="25"/>
      <c r="M619" s="25"/>
      <c r="N619" s="25"/>
      <c r="O619" s="25"/>
      <c r="P619" s="25"/>
      <c r="Q619" s="25"/>
      <c r="R619" s="25"/>
      <c r="S619" s="151"/>
      <c r="T619" s="151"/>
      <c r="U619" s="151"/>
      <c r="V619" s="73"/>
      <c r="W619" s="28"/>
      <c r="X619" s="24"/>
    </row>
    <row r="620" spans="2:24">
      <c r="B620" s="24"/>
      <c r="C620" s="47"/>
      <c r="D620" s="26"/>
      <c r="E620" s="27"/>
      <c r="F620" s="25"/>
      <c r="G620" s="25"/>
      <c r="H620" s="25"/>
      <c r="I620" s="25"/>
      <c r="J620" s="25"/>
      <c r="K620" s="25"/>
      <c r="L620" s="25"/>
      <c r="M620" s="25"/>
      <c r="N620" s="25"/>
      <c r="O620" s="25"/>
      <c r="P620" s="25"/>
      <c r="Q620" s="25"/>
      <c r="R620" s="25"/>
      <c r="S620" s="151"/>
      <c r="T620" s="151"/>
      <c r="U620" s="151"/>
      <c r="V620" s="73"/>
      <c r="W620" s="28"/>
      <c r="X620" s="24"/>
    </row>
    <row r="621" spans="2:24">
      <c r="B621" s="24"/>
      <c r="C621" s="47"/>
      <c r="D621" s="26"/>
      <c r="E621" s="27"/>
      <c r="F621" s="25"/>
      <c r="G621" s="25"/>
      <c r="H621" s="25"/>
      <c r="I621" s="25"/>
      <c r="J621" s="25"/>
      <c r="K621" s="25"/>
      <c r="L621" s="25"/>
      <c r="M621" s="25"/>
      <c r="N621" s="25"/>
      <c r="O621" s="25"/>
      <c r="P621" s="25"/>
      <c r="Q621" s="25"/>
      <c r="R621" s="25"/>
      <c r="S621" s="151"/>
      <c r="T621" s="151"/>
      <c r="U621" s="151"/>
      <c r="V621" s="73"/>
      <c r="W621" s="28"/>
      <c r="X621" s="24"/>
    </row>
    <row r="622" spans="2:24">
      <c r="B622" s="24"/>
      <c r="C622" s="47"/>
      <c r="D622" s="26"/>
      <c r="E622" s="27"/>
      <c r="F622" s="25"/>
      <c r="G622" s="25"/>
      <c r="H622" s="25"/>
      <c r="I622" s="25"/>
      <c r="J622" s="25"/>
      <c r="K622" s="25"/>
      <c r="L622" s="25"/>
      <c r="M622" s="25"/>
      <c r="N622" s="25"/>
      <c r="O622" s="25"/>
      <c r="P622" s="25"/>
      <c r="Q622" s="25"/>
      <c r="R622" s="25"/>
      <c r="S622" s="151"/>
      <c r="T622" s="151"/>
      <c r="U622" s="151"/>
      <c r="V622" s="73"/>
      <c r="W622" s="28"/>
      <c r="X622" s="24"/>
    </row>
    <row r="623" spans="2:24">
      <c r="B623" s="24"/>
      <c r="C623" s="47"/>
      <c r="D623" s="26"/>
      <c r="E623" s="27"/>
      <c r="F623" s="25"/>
      <c r="G623" s="25"/>
      <c r="H623" s="25"/>
      <c r="I623" s="25"/>
      <c r="J623" s="25"/>
      <c r="K623" s="25"/>
      <c r="L623" s="25"/>
      <c r="M623" s="25"/>
      <c r="N623" s="25"/>
      <c r="O623" s="25"/>
      <c r="P623" s="25"/>
      <c r="Q623" s="25"/>
      <c r="R623" s="25"/>
      <c r="S623" s="151"/>
      <c r="T623" s="151"/>
      <c r="U623" s="151"/>
      <c r="V623" s="73"/>
      <c r="W623" s="28"/>
      <c r="X623" s="24"/>
    </row>
    <row r="624" spans="2:24">
      <c r="B624" s="24"/>
      <c r="C624" s="47"/>
      <c r="D624" s="26"/>
      <c r="E624" s="27"/>
      <c r="F624" s="25"/>
      <c r="G624" s="25"/>
      <c r="H624" s="25"/>
      <c r="I624" s="25"/>
      <c r="J624" s="25"/>
      <c r="K624" s="25"/>
      <c r="L624" s="25"/>
      <c r="M624" s="25"/>
      <c r="N624" s="25"/>
      <c r="O624" s="25"/>
      <c r="P624" s="25"/>
      <c r="Q624" s="25"/>
      <c r="R624" s="25"/>
      <c r="S624" s="151"/>
      <c r="T624" s="151"/>
      <c r="U624" s="151"/>
      <c r="V624" s="73"/>
      <c r="W624" s="28"/>
      <c r="X624" s="24"/>
    </row>
    <row r="625" spans="2:24">
      <c r="B625" s="24"/>
      <c r="C625" s="47"/>
      <c r="D625" s="26"/>
      <c r="E625" s="27"/>
      <c r="F625" s="25"/>
      <c r="G625" s="25"/>
      <c r="H625" s="25"/>
      <c r="I625" s="25"/>
      <c r="J625" s="25"/>
      <c r="K625" s="25"/>
      <c r="L625" s="25"/>
      <c r="M625" s="25"/>
      <c r="N625" s="25"/>
      <c r="O625" s="25"/>
      <c r="P625" s="25"/>
      <c r="Q625" s="25"/>
      <c r="R625" s="25"/>
      <c r="S625" s="151"/>
      <c r="T625" s="151"/>
      <c r="U625" s="151"/>
      <c r="V625" s="73"/>
      <c r="W625" s="28"/>
      <c r="X625" s="24"/>
    </row>
    <row r="626" spans="2:24">
      <c r="B626" s="24"/>
      <c r="C626" s="47"/>
      <c r="D626" s="26"/>
      <c r="E626" s="27"/>
      <c r="F626" s="25"/>
      <c r="G626" s="25"/>
      <c r="H626" s="25"/>
      <c r="I626" s="25"/>
      <c r="J626" s="25"/>
      <c r="K626" s="25"/>
      <c r="L626" s="25"/>
      <c r="M626" s="25"/>
      <c r="N626" s="25"/>
      <c r="O626" s="25"/>
      <c r="P626" s="25"/>
      <c r="Q626" s="25"/>
      <c r="R626" s="25"/>
      <c r="S626" s="151"/>
      <c r="T626" s="151"/>
      <c r="U626" s="151"/>
      <c r="V626" s="73"/>
      <c r="W626" s="28"/>
      <c r="X626" s="24"/>
    </row>
    <row r="627" spans="2:24">
      <c r="B627" s="24"/>
      <c r="C627" s="47"/>
      <c r="D627" s="26"/>
      <c r="E627" s="27"/>
      <c r="F627" s="25"/>
      <c r="G627" s="25"/>
      <c r="H627" s="25"/>
      <c r="I627" s="25"/>
      <c r="J627" s="25"/>
      <c r="K627" s="25"/>
      <c r="L627" s="25"/>
      <c r="M627" s="25"/>
      <c r="N627" s="25"/>
      <c r="O627" s="25"/>
      <c r="P627" s="25"/>
      <c r="Q627" s="25"/>
      <c r="R627" s="25"/>
      <c r="S627" s="151"/>
      <c r="T627" s="151"/>
      <c r="U627" s="151"/>
      <c r="V627" s="73"/>
      <c r="W627" s="28"/>
      <c r="X627" s="24"/>
    </row>
    <row r="628" spans="2:24">
      <c r="B628" s="24"/>
      <c r="C628" s="47"/>
      <c r="D628" s="26"/>
      <c r="E628" s="27"/>
      <c r="F628" s="25"/>
      <c r="G628" s="25"/>
      <c r="H628" s="25"/>
      <c r="I628" s="25"/>
      <c r="J628" s="25"/>
      <c r="K628" s="25"/>
      <c r="L628" s="25"/>
      <c r="M628" s="25"/>
      <c r="N628" s="25"/>
      <c r="O628" s="25"/>
      <c r="P628" s="25"/>
      <c r="Q628" s="25"/>
      <c r="R628" s="25"/>
      <c r="S628" s="151"/>
      <c r="T628" s="151"/>
      <c r="U628" s="151"/>
      <c r="V628" s="73"/>
      <c r="W628" s="28"/>
      <c r="X628" s="24"/>
    </row>
    <row r="629" spans="2:24">
      <c r="B629" s="24"/>
      <c r="C629" s="47"/>
      <c r="D629" s="26"/>
      <c r="E629" s="27"/>
      <c r="F629" s="25"/>
      <c r="G629" s="25"/>
      <c r="H629" s="25"/>
      <c r="I629" s="25"/>
      <c r="J629" s="25"/>
      <c r="K629" s="25"/>
      <c r="L629" s="25"/>
      <c r="M629" s="25"/>
      <c r="N629" s="25"/>
      <c r="O629" s="25"/>
      <c r="P629" s="25"/>
      <c r="Q629" s="25"/>
      <c r="R629" s="25"/>
      <c r="S629" s="151"/>
      <c r="T629" s="151"/>
      <c r="U629" s="151"/>
      <c r="V629" s="73"/>
      <c r="W629" s="28"/>
      <c r="X629" s="24"/>
    </row>
    <row r="630" spans="2:24">
      <c r="B630" s="24"/>
      <c r="C630" s="47"/>
      <c r="D630" s="26"/>
      <c r="E630" s="27"/>
      <c r="F630" s="25"/>
      <c r="G630" s="25"/>
      <c r="H630" s="25"/>
      <c r="I630" s="25"/>
      <c r="J630" s="25"/>
      <c r="K630" s="25"/>
      <c r="L630" s="25"/>
      <c r="M630" s="25"/>
      <c r="N630" s="25"/>
      <c r="O630" s="25"/>
      <c r="P630" s="25"/>
      <c r="Q630" s="25"/>
      <c r="R630" s="25"/>
      <c r="S630" s="151"/>
      <c r="T630" s="151"/>
      <c r="U630" s="151"/>
      <c r="V630" s="73"/>
      <c r="W630" s="28"/>
      <c r="X630" s="24"/>
    </row>
    <row r="631" spans="2:24">
      <c r="B631" s="24"/>
      <c r="C631" s="47"/>
      <c r="D631" s="26"/>
      <c r="E631" s="27"/>
      <c r="F631" s="25"/>
      <c r="G631" s="25"/>
      <c r="H631" s="25"/>
      <c r="I631" s="25"/>
      <c r="J631" s="25"/>
      <c r="K631" s="25"/>
      <c r="L631" s="25"/>
      <c r="M631" s="25"/>
      <c r="N631" s="25"/>
      <c r="O631" s="25"/>
      <c r="P631" s="25"/>
      <c r="Q631" s="25"/>
      <c r="R631" s="25"/>
      <c r="S631" s="151"/>
      <c r="T631" s="151"/>
      <c r="U631" s="151"/>
      <c r="V631" s="73"/>
      <c r="W631" s="28"/>
      <c r="X631" s="24"/>
    </row>
    <row r="632" spans="2:24">
      <c r="B632" s="24"/>
      <c r="C632" s="47"/>
      <c r="D632" s="26"/>
      <c r="E632" s="27"/>
      <c r="F632" s="25"/>
      <c r="G632" s="25"/>
      <c r="H632" s="25"/>
      <c r="I632" s="25"/>
      <c r="J632" s="25"/>
      <c r="K632" s="25"/>
      <c r="L632" s="25"/>
      <c r="M632" s="25"/>
      <c r="N632" s="25"/>
      <c r="O632" s="25"/>
      <c r="P632" s="25"/>
      <c r="Q632" s="25"/>
      <c r="R632" s="25"/>
      <c r="S632" s="151"/>
      <c r="T632" s="151"/>
      <c r="U632" s="151"/>
      <c r="V632" s="73"/>
      <c r="W632" s="28"/>
      <c r="X632" s="24"/>
    </row>
    <row r="633" spans="2:24">
      <c r="B633" s="24"/>
      <c r="C633" s="47"/>
      <c r="D633" s="26"/>
      <c r="E633" s="27"/>
      <c r="F633" s="25"/>
      <c r="G633" s="25"/>
      <c r="H633" s="25"/>
      <c r="I633" s="25"/>
      <c r="J633" s="25"/>
      <c r="K633" s="25"/>
      <c r="L633" s="25"/>
      <c r="M633" s="25"/>
      <c r="N633" s="25"/>
      <c r="O633" s="25"/>
      <c r="P633" s="25"/>
      <c r="Q633" s="25"/>
      <c r="R633" s="25"/>
      <c r="S633" s="151"/>
      <c r="T633" s="151"/>
      <c r="U633" s="151"/>
      <c r="V633" s="73"/>
      <c r="W633" s="28"/>
      <c r="X633" s="24"/>
    </row>
    <row r="634" spans="2:24">
      <c r="B634" s="24"/>
      <c r="C634" s="47"/>
      <c r="D634" s="26"/>
      <c r="E634" s="27"/>
      <c r="F634" s="25"/>
      <c r="G634" s="25"/>
      <c r="H634" s="25"/>
      <c r="I634" s="25"/>
      <c r="J634" s="25"/>
      <c r="K634" s="25"/>
      <c r="L634" s="25"/>
      <c r="M634" s="25"/>
      <c r="N634" s="25"/>
      <c r="O634" s="25"/>
      <c r="P634" s="25"/>
      <c r="Q634" s="25"/>
      <c r="R634" s="25"/>
      <c r="S634" s="151"/>
      <c r="T634" s="151"/>
      <c r="U634" s="151"/>
      <c r="V634" s="73"/>
      <c r="W634" s="28"/>
      <c r="X634" s="24"/>
    </row>
    <row r="635" spans="2:24">
      <c r="B635" s="24"/>
      <c r="C635" s="47"/>
      <c r="D635" s="26"/>
      <c r="E635" s="27"/>
      <c r="F635" s="25"/>
      <c r="G635" s="25"/>
      <c r="H635" s="25"/>
      <c r="I635" s="25"/>
      <c r="J635" s="25"/>
      <c r="K635" s="25"/>
      <c r="L635" s="25"/>
      <c r="M635" s="25"/>
      <c r="N635" s="25"/>
      <c r="O635" s="25"/>
      <c r="P635" s="25"/>
      <c r="Q635" s="25"/>
      <c r="R635" s="25"/>
      <c r="S635" s="151"/>
      <c r="T635" s="151"/>
      <c r="U635" s="151"/>
      <c r="V635" s="73"/>
      <c r="W635" s="28"/>
      <c r="X635" s="24"/>
    </row>
    <row r="636" spans="2:24">
      <c r="B636" s="24"/>
      <c r="C636" s="47"/>
      <c r="D636" s="26"/>
      <c r="E636" s="27"/>
      <c r="F636" s="25"/>
      <c r="G636" s="25"/>
      <c r="H636" s="25"/>
      <c r="I636" s="25"/>
      <c r="J636" s="25"/>
      <c r="K636" s="25"/>
      <c r="L636" s="25"/>
      <c r="M636" s="25"/>
      <c r="N636" s="25"/>
      <c r="O636" s="25"/>
      <c r="P636" s="25"/>
      <c r="Q636" s="25"/>
      <c r="R636" s="25"/>
      <c r="S636" s="151"/>
      <c r="T636" s="151"/>
      <c r="U636" s="151"/>
      <c r="V636" s="73"/>
      <c r="W636" s="28"/>
      <c r="X636" s="24"/>
    </row>
    <row r="637" spans="2:24">
      <c r="B637" s="24"/>
      <c r="C637" s="47"/>
      <c r="D637" s="26"/>
      <c r="E637" s="27"/>
      <c r="F637" s="25"/>
      <c r="G637" s="25"/>
      <c r="H637" s="25"/>
      <c r="I637" s="25"/>
      <c r="J637" s="25"/>
      <c r="K637" s="25"/>
      <c r="L637" s="25"/>
      <c r="M637" s="25"/>
      <c r="N637" s="25"/>
      <c r="O637" s="25"/>
      <c r="P637" s="25"/>
      <c r="Q637" s="25"/>
      <c r="R637" s="25"/>
      <c r="S637" s="151"/>
      <c r="T637" s="151"/>
      <c r="U637" s="151"/>
      <c r="V637" s="73"/>
      <c r="W637" s="28"/>
      <c r="X637" s="24"/>
    </row>
    <row r="638" spans="2:24">
      <c r="B638" s="24"/>
      <c r="C638" s="47"/>
      <c r="D638" s="26"/>
      <c r="E638" s="27"/>
      <c r="F638" s="25"/>
      <c r="G638" s="25"/>
      <c r="H638" s="25"/>
      <c r="I638" s="25"/>
      <c r="J638" s="25"/>
      <c r="K638" s="25"/>
      <c r="L638" s="25"/>
      <c r="M638" s="25"/>
      <c r="N638" s="25"/>
      <c r="O638" s="25"/>
      <c r="P638" s="25"/>
      <c r="Q638" s="25"/>
      <c r="R638" s="25"/>
      <c r="S638" s="151"/>
      <c r="T638" s="151"/>
      <c r="U638" s="151"/>
      <c r="V638" s="73"/>
      <c r="W638" s="28"/>
      <c r="X638" s="24"/>
    </row>
    <row r="639" spans="2:24">
      <c r="B639" s="24"/>
      <c r="C639" s="47"/>
      <c r="D639" s="26"/>
      <c r="E639" s="27"/>
      <c r="F639" s="25"/>
      <c r="G639" s="25"/>
      <c r="H639" s="25"/>
      <c r="I639" s="25"/>
      <c r="J639" s="25"/>
      <c r="K639" s="25"/>
      <c r="L639" s="25"/>
      <c r="M639" s="25"/>
      <c r="N639" s="25"/>
      <c r="O639" s="25"/>
      <c r="P639" s="25"/>
      <c r="Q639" s="25"/>
      <c r="R639" s="25"/>
      <c r="S639" s="151"/>
      <c r="T639" s="151"/>
      <c r="U639" s="151"/>
      <c r="V639" s="73"/>
      <c r="W639" s="28"/>
      <c r="X639" s="24"/>
    </row>
    <row r="640" spans="2:24">
      <c r="B640" s="24"/>
      <c r="C640" s="47"/>
      <c r="D640" s="26"/>
      <c r="E640" s="27"/>
      <c r="F640" s="25"/>
      <c r="G640" s="25"/>
      <c r="H640" s="25"/>
      <c r="I640" s="25"/>
      <c r="J640" s="25"/>
      <c r="K640" s="25"/>
      <c r="L640" s="25"/>
      <c r="M640" s="25"/>
      <c r="N640" s="25"/>
      <c r="O640" s="25"/>
      <c r="P640" s="25"/>
      <c r="Q640" s="25"/>
      <c r="R640" s="25"/>
      <c r="S640" s="151"/>
      <c r="T640" s="151"/>
      <c r="U640" s="151"/>
      <c r="V640" s="73"/>
      <c r="W640" s="28"/>
      <c r="X640" s="24"/>
    </row>
    <row r="641" spans="2:24">
      <c r="B641" s="24"/>
      <c r="C641" s="47"/>
      <c r="D641" s="26"/>
      <c r="E641" s="27"/>
      <c r="F641" s="25"/>
      <c r="G641" s="25"/>
      <c r="H641" s="25"/>
      <c r="I641" s="25"/>
      <c r="J641" s="25"/>
      <c r="K641" s="25"/>
      <c r="L641" s="25"/>
      <c r="M641" s="25"/>
      <c r="N641" s="25"/>
      <c r="O641" s="25"/>
      <c r="P641" s="25"/>
      <c r="Q641" s="25"/>
      <c r="R641" s="25"/>
      <c r="S641" s="151"/>
      <c r="T641" s="151"/>
      <c r="U641" s="151"/>
      <c r="V641" s="73"/>
      <c r="W641" s="28"/>
      <c r="X641" s="24"/>
    </row>
    <row r="642" spans="2:24">
      <c r="B642" s="24"/>
      <c r="C642" s="47"/>
      <c r="D642" s="26"/>
      <c r="E642" s="27"/>
      <c r="F642" s="25"/>
      <c r="G642" s="25"/>
      <c r="H642" s="25"/>
      <c r="I642" s="25"/>
      <c r="J642" s="25"/>
      <c r="K642" s="25"/>
      <c r="L642" s="25"/>
      <c r="M642" s="25"/>
      <c r="N642" s="25"/>
      <c r="O642" s="25"/>
      <c r="P642" s="25"/>
      <c r="Q642" s="25"/>
      <c r="R642" s="25"/>
      <c r="S642" s="151"/>
      <c r="T642" s="151"/>
      <c r="U642" s="151"/>
      <c r="V642" s="73"/>
      <c r="W642" s="28"/>
      <c r="X642" s="24"/>
    </row>
    <row r="643" spans="2:24">
      <c r="B643" s="24"/>
      <c r="C643" s="47"/>
      <c r="D643" s="26"/>
      <c r="E643" s="27"/>
      <c r="F643" s="25"/>
      <c r="G643" s="25"/>
      <c r="H643" s="25"/>
      <c r="I643" s="25"/>
      <c r="J643" s="25"/>
      <c r="K643" s="25"/>
      <c r="L643" s="25"/>
      <c r="M643" s="25"/>
      <c r="N643" s="25"/>
      <c r="O643" s="25"/>
      <c r="P643" s="25"/>
      <c r="Q643" s="25"/>
      <c r="R643" s="25"/>
      <c r="S643" s="151"/>
      <c r="T643" s="151"/>
      <c r="U643" s="151"/>
      <c r="V643" s="73"/>
      <c r="W643" s="28"/>
      <c r="X643" s="24"/>
    </row>
    <row r="644" spans="2:24">
      <c r="B644" s="24"/>
      <c r="C644" s="47"/>
      <c r="D644" s="26"/>
      <c r="E644" s="27"/>
      <c r="F644" s="25"/>
      <c r="G644" s="25"/>
      <c r="H644" s="25"/>
      <c r="I644" s="25"/>
      <c r="J644" s="25"/>
      <c r="K644" s="25"/>
      <c r="L644" s="25"/>
      <c r="M644" s="25"/>
      <c r="N644" s="25"/>
      <c r="O644" s="25"/>
      <c r="P644" s="25"/>
      <c r="Q644" s="25"/>
      <c r="R644" s="25"/>
      <c r="S644" s="151"/>
      <c r="T644" s="151"/>
      <c r="U644" s="151"/>
      <c r="V644" s="73"/>
      <c r="W644" s="28"/>
      <c r="X644" s="24"/>
    </row>
    <row r="645" spans="2:24">
      <c r="B645" s="24"/>
      <c r="C645" s="47"/>
      <c r="D645" s="26"/>
      <c r="E645" s="27"/>
      <c r="F645" s="25"/>
      <c r="G645" s="25"/>
      <c r="H645" s="25"/>
      <c r="I645" s="25"/>
      <c r="J645" s="25"/>
      <c r="K645" s="25"/>
      <c r="L645" s="25"/>
      <c r="M645" s="25"/>
      <c r="N645" s="25"/>
      <c r="O645" s="25"/>
      <c r="P645" s="25"/>
      <c r="Q645" s="25"/>
      <c r="R645" s="25"/>
      <c r="S645" s="151"/>
      <c r="T645" s="151"/>
      <c r="U645" s="151"/>
      <c r="V645" s="73"/>
      <c r="W645" s="28"/>
      <c r="X645" s="24"/>
    </row>
    <row r="646" spans="2:24">
      <c r="B646" s="24"/>
      <c r="C646" s="47"/>
      <c r="D646" s="26"/>
      <c r="E646" s="27"/>
      <c r="F646" s="25"/>
      <c r="G646" s="25"/>
      <c r="H646" s="25"/>
      <c r="I646" s="25"/>
      <c r="J646" s="25"/>
      <c r="K646" s="25"/>
      <c r="L646" s="25"/>
      <c r="M646" s="25"/>
      <c r="N646" s="25"/>
      <c r="O646" s="25"/>
      <c r="P646" s="25"/>
      <c r="Q646" s="25"/>
      <c r="R646" s="25"/>
      <c r="S646" s="151"/>
      <c r="T646" s="151"/>
      <c r="U646" s="151"/>
      <c r="V646" s="73"/>
      <c r="W646" s="28"/>
      <c r="X646" s="24"/>
    </row>
    <row r="647" spans="2:24">
      <c r="B647" s="24"/>
      <c r="C647" s="47"/>
      <c r="D647" s="26"/>
      <c r="E647" s="27"/>
      <c r="F647" s="25"/>
      <c r="G647" s="25"/>
      <c r="H647" s="25"/>
      <c r="I647" s="25"/>
      <c r="J647" s="25"/>
      <c r="K647" s="25"/>
      <c r="L647" s="25"/>
      <c r="M647" s="25"/>
      <c r="N647" s="25"/>
      <c r="O647" s="25"/>
      <c r="P647" s="25"/>
      <c r="Q647" s="25"/>
      <c r="R647" s="25"/>
      <c r="S647" s="151"/>
      <c r="T647" s="151"/>
      <c r="U647" s="151"/>
      <c r="V647" s="73"/>
      <c r="W647" s="28"/>
      <c r="X647" s="24"/>
    </row>
    <row r="648" spans="2:24">
      <c r="B648" s="24"/>
      <c r="C648" s="47"/>
      <c r="D648" s="26"/>
      <c r="E648" s="27"/>
      <c r="F648" s="25"/>
      <c r="G648" s="25"/>
      <c r="H648" s="25"/>
      <c r="I648" s="25"/>
      <c r="J648" s="25"/>
      <c r="K648" s="25"/>
      <c r="L648" s="25"/>
      <c r="M648" s="25"/>
      <c r="N648" s="25"/>
      <c r="O648" s="25"/>
      <c r="P648" s="25"/>
      <c r="Q648" s="25"/>
      <c r="R648" s="25"/>
      <c r="S648" s="151"/>
      <c r="T648" s="151"/>
      <c r="U648" s="151"/>
      <c r="V648" s="73"/>
      <c r="W648" s="28"/>
      <c r="X648" s="24"/>
    </row>
    <row r="649" spans="2:24">
      <c r="B649" s="24"/>
      <c r="C649" s="47"/>
      <c r="D649" s="26"/>
      <c r="E649" s="27"/>
      <c r="F649" s="25"/>
      <c r="G649" s="25"/>
      <c r="H649" s="25"/>
      <c r="I649" s="58"/>
      <c r="J649" s="25"/>
      <c r="K649" s="25"/>
      <c r="L649" s="25"/>
      <c r="M649" s="25"/>
      <c r="N649" s="25"/>
      <c r="O649" s="25"/>
      <c r="P649" s="25"/>
      <c r="Q649" s="25"/>
      <c r="R649" s="25"/>
      <c r="S649" s="151"/>
      <c r="T649" s="151"/>
      <c r="U649" s="151"/>
      <c r="V649" s="73"/>
      <c r="W649" s="28"/>
      <c r="X649" s="24"/>
    </row>
    <row r="650" spans="2:24">
      <c r="B650" s="24"/>
      <c r="C650" s="47"/>
      <c r="D650" s="26"/>
      <c r="E650" s="27"/>
      <c r="F650" s="25"/>
      <c r="G650" s="25"/>
      <c r="H650" s="25"/>
      <c r="I650" s="25"/>
      <c r="J650" s="25"/>
      <c r="K650" s="25"/>
      <c r="L650" s="25"/>
      <c r="M650" s="25"/>
      <c r="N650" s="25"/>
      <c r="O650" s="25"/>
      <c r="P650" s="25"/>
      <c r="Q650" s="25"/>
      <c r="R650" s="25"/>
      <c r="S650" s="151"/>
      <c r="T650" s="151"/>
      <c r="U650" s="151"/>
      <c r="V650" s="73"/>
      <c r="W650" s="28"/>
      <c r="X650" s="24"/>
    </row>
    <row r="651" spans="2:24">
      <c r="B651" s="24"/>
      <c r="C651" s="47"/>
      <c r="D651" s="26"/>
      <c r="E651" s="27"/>
      <c r="F651" s="25"/>
      <c r="G651" s="25"/>
      <c r="H651" s="25"/>
      <c r="I651" s="25"/>
      <c r="J651" s="25"/>
      <c r="K651" s="25"/>
      <c r="L651" s="25"/>
      <c r="M651" s="25"/>
      <c r="N651" s="25"/>
      <c r="O651" s="25"/>
      <c r="P651" s="25"/>
      <c r="Q651" s="25"/>
      <c r="R651" s="25"/>
      <c r="S651" s="151"/>
      <c r="T651" s="151"/>
      <c r="U651" s="151"/>
      <c r="V651" s="73"/>
      <c r="W651" s="28"/>
      <c r="X651" s="24"/>
    </row>
    <row r="652" spans="2:24">
      <c r="B652" s="24"/>
      <c r="C652" s="47"/>
      <c r="D652" s="26"/>
      <c r="E652" s="27"/>
      <c r="F652" s="25"/>
      <c r="G652" s="25"/>
      <c r="H652" s="25"/>
      <c r="I652" s="25"/>
      <c r="J652" s="25"/>
      <c r="K652" s="25"/>
      <c r="L652" s="25"/>
      <c r="M652" s="25"/>
      <c r="N652" s="25"/>
      <c r="O652" s="25"/>
      <c r="P652" s="25"/>
      <c r="Q652" s="25"/>
      <c r="R652" s="25"/>
      <c r="S652" s="151"/>
      <c r="T652" s="151"/>
      <c r="U652" s="151"/>
      <c r="V652" s="73"/>
      <c r="W652" s="28"/>
      <c r="X652" s="24"/>
    </row>
    <row r="653" spans="2:24">
      <c r="B653" s="24"/>
      <c r="C653" s="47"/>
      <c r="D653" s="26"/>
      <c r="E653" s="27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151"/>
      <c r="T653" s="151"/>
      <c r="U653" s="151"/>
      <c r="V653" s="73"/>
      <c r="W653" s="28"/>
      <c r="X653" s="24"/>
    </row>
    <row r="654" spans="2:24">
      <c r="B654" s="24"/>
      <c r="C654" s="47"/>
      <c r="D654" s="26"/>
      <c r="E654" s="27"/>
      <c r="F654" s="25"/>
      <c r="G654" s="25"/>
      <c r="H654" s="25"/>
      <c r="I654" s="25"/>
      <c r="J654" s="25"/>
      <c r="K654" s="25"/>
      <c r="L654" s="25"/>
      <c r="M654" s="25"/>
      <c r="N654" s="25"/>
      <c r="O654" s="25"/>
      <c r="P654" s="25"/>
      <c r="Q654" s="25"/>
      <c r="R654" s="25"/>
      <c r="S654" s="151"/>
      <c r="T654" s="151"/>
      <c r="U654" s="151"/>
      <c r="V654" s="73"/>
      <c r="W654" s="28"/>
      <c r="X654" s="24"/>
    </row>
    <row r="655" spans="2:24">
      <c r="B655" s="24"/>
      <c r="C655" s="47"/>
      <c r="D655" s="26"/>
      <c r="E655" s="27"/>
      <c r="F655" s="25"/>
      <c r="G655" s="25"/>
      <c r="H655" s="25"/>
      <c r="I655" s="25"/>
      <c r="J655" s="25"/>
      <c r="K655" s="25"/>
      <c r="L655" s="25"/>
      <c r="M655" s="25"/>
      <c r="N655" s="25"/>
      <c r="O655" s="25"/>
      <c r="P655" s="25"/>
      <c r="Q655" s="25"/>
      <c r="R655" s="25"/>
      <c r="S655" s="151"/>
      <c r="T655" s="151"/>
      <c r="U655" s="151"/>
      <c r="V655" s="73"/>
      <c r="W655" s="28"/>
      <c r="X655" s="24"/>
    </row>
    <row r="656" spans="2:24">
      <c r="B656" s="24"/>
      <c r="C656" s="47"/>
      <c r="D656" s="26"/>
      <c r="E656" s="27"/>
      <c r="F656" s="25"/>
      <c r="G656" s="25"/>
      <c r="H656" s="25"/>
      <c r="I656" s="25"/>
      <c r="J656" s="25"/>
      <c r="K656" s="25"/>
      <c r="L656" s="25"/>
      <c r="M656" s="25"/>
      <c r="N656" s="25"/>
      <c r="O656" s="25"/>
      <c r="P656" s="25"/>
      <c r="Q656" s="25"/>
      <c r="R656" s="25"/>
      <c r="S656" s="151"/>
      <c r="T656" s="151"/>
      <c r="U656" s="151"/>
      <c r="V656" s="73"/>
      <c r="W656" s="28"/>
      <c r="X656" s="24"/>
    </row>
    <row r="657" spans="2:24">
      <c r="B657" s="24"/>
      <c r="C657" s="47"/>
      <c r="D657" s="26"/>
      <c r="E657" s="27"/>
      <c r="F657" s="25"/>
      <c r="G657" s="25"/>
      <c r="H657" s="25"/>
      <c r="I657" s="25"/>
      <c r="J657" s="25"/>
      <c r="K657" s="25"/>
      <c r="L657" s="25"/>
      <c r="M657" s="25"/>
      <c r="N657" s="25"/>
      <c r="O657" s="25"/>
      <c r="P657" s="25"/>
      <c r="Q657" s="25"/>
      <c r="R657" s="25"/>
      <c r="S657" s="151"/>
      <c r="T657" s="151"/>
      <c r="U657" s="151"/>
      <c r="V657" s="73"/>
      <c r="W657" s="28"/>
      <c r="X657" s="24"/>
    </row>
    <row r="658" spans="2:24">
      <c r="B658" s="24"/>
      <c r="C658" s="47"/>
      <c r="D658" s="26"/>
      <c r="E658" s="27"/>
      <c r="F658" s="25"/>
      <c r="G658" s="25"/>
      <c r="H658" s="25"/>
      <c r="I658" s="25"/>
      <c r="J658" s="25"/>
      <c r="K658" s="25"/>
      <c r="L658" s="25"/>
      <c r="M658" s="25"/>
      <c r="N658" s="25"/>
      <c r="O658" s="25"/>
      <c r="P658" s="25"/>
      <c r="Q658" s="25"/>
      <c r="R658" s="25"/>
      <c r="S658" s="151"/>
      <c r="T658" s="151"/>
      <c r="U658" s="151"/>
      <c r="V658" s="73"/>
      <c r="W658" s="28"/>
      <c r="X658" s="24"/>
    </row>
    <row r="659" spans="2:24">
      <c r="B659" s="24"/>
      <c r="C659" s="47"/>
      <c r="D659" s="26"/>
      <c r="E659" s="27"/>
      <c r="F659" s="25"/>
      <c r="G659" s="25"/>
      <c r="H659" s="25"/>
      <c r="I659" s="25"/>
      <c r="J659" s="25"/>
      <c r="K659" s="25"/>
      <c r="L659" s="25"/>
      <c r="M659" s="25"/>
      <c r="N659" s="25"/>
      <c r="O659" s="25"/>
      <c r="P659" s="25"/>
      <c r="Q659" s="25"/>
      <c r="R659" s="25"/>
      <c r="S659" s="151"/>
      <c r="T659" s="151"/>
      <c r="U659" s="151"/>
      <c r="V659" s="73"/>
      <c r="W659" s="28"/>
      <c r="X659" s="24"/>
    </row>
    <row r="660" spans="2:24">
      <c r="B660" s="24"/>
      <c r="C660" s="47"/>
      <c r="D660" s="26"/>
      <c r="E660" s="27"/>
      <c r="F660" s="25"/>
      <c r="G660" s="25"/>
      <c r="H660" s="25"/>
      <c r="I660" s="25"/>
      <c r="J660" s="25"/>
      <c r="K660" s="25"/>
      <c r="L660" s="25"/>
      <c r="M660" s="25"/>
      <c r="N660" s="25"/>
      <c r="O660" s="25"/>
      <c r="P660" s="25"/>
      <c r="Q660" s="25"/>
      <c r="R660" s="25"/>
      <c r="S660" s="151"/>
      <c r="T660" s="151"/>
      <c r="U660" s="151"/>
      <c r="V660" s="73"/>
      <c r="W660" s="28"/>
      <c r="X660" s="24"/>
    </row>
    <row r="661" spans="2:24">
      <c r="B661" s="24"/>
      <c r="C661" s="47"/>
      <c r="D661" s="26"/>
      <c r="E661" s="27"/>
      <c r="F661" s="25"/>
      <c r="G661" s="25"/>
      <c r="H661" s="25"/>
      <c r="I661" s="25"/>
      <c r="J661" s="25"/>
      <c r="K661" s="25"/>
      <c r="L661" s="25"/>
      <c r="M661" s="25"/>
      <c r="N661" s="25"/>
      <c r="O661" s="25"/>
      <c r="P661" s="25"/>
      <c r="Q661" s="25"/>
      <c r="R661" s="25"/>
      <c r="S661" s="151"/>
      <c r="T661" s="151"/>
      <c r="U661" s="151"/>
      <c r="V661" s="73"/>
      <c r="W661" s="28"/>
      <c r="X661" s="24"/>
    </row>
    <row r="662" spans="2:24">
      <c r="B662" s="24"/>
      <c r="C662" s="47"/>
      <c r="D662" s="26"/>
      <c r="E662" s="27"/>
      <c r="F662" s="25"/>
      <c r="G662" s="25"/>
      <c r="H662" s="25"/>
      <c r="I662" s="58"/>
      <c r="J662" s="25"/>
      <c r="K662" s="25"/>
      <c r="L662" s="25"/>
      <c r="M662" s="25"/>
      <c r="N662" s="25"/>
      <c r="O662" s="25"/>
      <c r="P662" s="25"/>
      <c r="Q662" s="25"/>
      <c r="R662" s="25"/>
      <c r="S662" s="151"/>
      <c r="T662" s="151"/>
      <c r="U662" s="151"/>
      <c r="V662" s="73"/>
      <c r="W662" s="28"/>
      <c r="X662" s="24"/>
    </row>
    <row r="663" spans="2:24">
      <c r="B663" s="24"/>
      <c r="C663" s="47"/>
      <c r="D663" s="26"/>
      <c r="E663" s="27"/>
      <c r="F663" s="25"/>
      <c r="G663" s="25"/>
      <c r="H663" s="25"/>
      <c r="I663" s="58"/>
      <c r="J663" s="25"/>
      <c r="K663" s="25"/>
      <c r="L663" s="25"/>
      <c r="M663" s="25"/>
      <c r="N663" s="25"/>
      <c r="O663" s="25"/>
      <c r="P663" s="25"/>
      <c r="Q663" s="25"/>
      <c r="R663" s="25"/>
      <c r="S663" s="151"/>
      <c r="T663" s="151"/>
      <c r="U663" s="151"/>
      <c r="V663" s="73"/>
      <c r="W663" s="28"/>
      <c r="X663" s="24"/>
    </row>
    <row r="664" spans="2:24">
      <c r="B664" s="24"/>
      <c r="C664" s="47"/>
      <c r="D664" s="26"/>
      <c r="E664" s="27"/>
      <c r="F664" s="25"/>
      <c r="G664" s="25"/>
      <c r="H664" s="25"/>
      <c r="I664" s="25"/>
      <c r="J664" s="25"/>
      <c r="K664" s="25"/>
      <c r="L664" s="25"/>
      <c r="M664" s="25"/>
      <c r="N664" s="25"/>
      <c r="O664" s="25"/>
      <c r="P664" s="25"/>
      <c r="Q664" s="25"/>
      <c r="R664" s="25"/>
      <c r="S664" s="151"/>
      <c r="T664" s="151"/>
      <c r="U664" s="151"/>
      <c r="V664" s="73"/>
      <c r="W664" s="28"/>
      <c r="X664" s="24"/>
    </row>
    <row r="665" spans="2:24">
      <c r="B665" s="24"/>
      <c r="C665" s="47"/>
      <c r="D665" s="26"/>
      <c r="E665" s="27"/>
      <c r="F665" s="25"/>
      <c r="G665" s="25"/>
      <c r="H665" s="25"/>
      <c r="I665" s="25"/>
      <c r="J665" s="25"/>
      <c r="K665" s="25"/>
      <c r="L665" s="25"/>
      <c r="M665" s="25"/>
      <c r="N665" s="25"/>
      <c r="O665" s="25"/>
      <c r="P665" s="25"/>
      <c r="Q665" s="25"/>
      <c r="R665" s="25"/>
      <c r="S665" s="151"/>
      <c r="T665" s="151"/>
      <c r="U665" s="151"/>
      <c r="V665" s="73"/>
      <c r="W665" s="28"/>
      <c r="X665" s="24"/>
    </row>
    <row r="666" spans="2:24">
      <c r="B666" s="24"/>
      <c r="C666" s="47"/>
      <c r="D666" s="26"/>
      <c r="E666" s="27"/>
      <c r="F666" s="25"/>
      <c r="G666" s="25"/>
      <c r="H666" s="25"/>
      <c r="I666" s="25"/>
      <c r="J666" s="25"/>
      <c r="K666" s="25"/>
      <c r="L666" s="25"/>
      <c r="M666" s="25"/>
      <c r="N666" s="25"/>
      <c r="O666" s="25"/>
      <c r="P666" s="25"/>
      <c r="Q666" s="25"/>
      <c r="R666" s="25"/>
      <c r="S666" s="151"/>
      <c r="T666" s="151"/>
      <c r="U666" s="151"/>
      <c r="V666" s="73"/>
      <c r="W666" s="28"/>
      <c r="X666" s="24"/>
    </row>
    <row r="667" spans="2:24">
      <c r="B667" s="24"/>
      <c r="C667" s="47"/>
      <c r="D667" s="26"/>
      <c r="E667" s="27"/>
      <c r="F667" s="25"/>
      <c r="G667" s="25"/>
      <c r="H667" s="25"/>
      <c r="I667" s="25"/>
      <c r="J667" s="25"/>
      <c r="K667" s="25"/>
      <c r="L667" s="25"/>
      <c r="M667" s="25"/>
      <c r="N667" s="25"/>
      <c r="O667" s="25"/>
      <c r="P667" s="25"/>
      <c r="Q667" s="25"/>
      <c r="R667" s="25"/>
      <c r="S667" s="151"/>
      <c r="T667" s="151"/>
      <c r="U667" s="151"/>
      <c r="V667" s="73"/>
      <c r="W667" s="28"/>
      <c r="X667" s="24"/>
    </row>
    <row r="668" spans="2:24">
      <c r="B668" s="24"/>
      <c r="C668" s="47"/>
      <c r="D668" s="26"/>
      <c r="E668" s="27"/>
      <c r="F668" s="25"/>
      <c r="G668" s="25"/>
      <c r="H668" s="25"/>
      <c r="I668" s="25"/>
      <c r="J668" s="25"/>
      <c r="K668" s="25"/>
      <c r="L668" s="25"/>
      <c r="M668" s="25"/>
      <c r="N668" s="25"/>
      <c r="O668" s="25"/>
      <c r="P668" s="25"/>
      <c r="Q668" s="25"/>
      <c r="R668" s="25"/>
      <c r="S668" s="151"/>
      <c r="T668" s="151"/>
      <c r="U668" s="151"/>
      <c r="V668" s="73"/>
      <c r="W668" s="28"/>
      <c r="X668" s="24"/>
    </row>
    <row r="669" spans="2:24">
      <c r="B669" s="24"/>
      <c r="C669" s="47"/>
      <c r="D669" s="26"/>
      <c r="E669" s="27"/>
      <c r="F669" s="25"/>
      <c r="G669" s="25"/>
      <c r="H669" s="25"/>
      <c r="I669" s="25"/>
      <c r="J669" s="25"/>
      <c r="K669" s="25"/>
      <c r="L669" s="25"/>
      <c r="M669" s="25"/>
      <c r="N669" s="25"/>
      <c r="O669" s="25"/>
      <c r="P669" s="25"/>
      <c r="Q669" s="25"/>
      <c r="R669" s="25"/>
      <c r="S669" s="151"/>
      <c r="T669" s="151"/>
      <c r="U669" s="151"/>
      <c r="V669" s="73"/>
      <c r="W669" s="28"/>
      <c r="X669" s="24"/>
    </row>
    <row r="670" spans="2:24">
      <c r="B670" s="24"/>
      <c r="C670" s="47"/>
      <c r="D670" s="26"/>
      <c r="E670" s="27"/>
      <c r="F670" s="25"/>
      <c r="G670" s="25"/>
      <c r="H670" s="25"/>
      <c r="I670" s="25"/>
      <c r="J670" s="25"/>
      <c r="K670" s="25"/>
      <c r="L670" s="25"/>
      <c r="M670" s="25"/>
      <c r="N670" s="25"/>
      <c r="O670" s="25"/>
      <c r="P670" s="25"/>
      <c r="Q670" s="25"/>
      <c r="R670" s="25"/>
      <c r="S670" s="151"/>
      <c r="T670" s="151"/>
      <c r="U670" s="151"/>
      <c r="V670" s="73"/>
      <c r="W670" s="28"/>
      <c r="X670" s="24"/>
    </row>
    <row r="671" spans="2:24">
      <c r="B671" s="24"/>
      <c r="C671" s="47"/>
      <c r="D671" s="26"/>
      <c r="E671" s="27"/>
      <c r="F671" s="25"/>
      <c r="G671" s="25"/>
      <c r="H671" s="25"/>
      <c r="I671" s="25"/>
      <c r="J671" s="25"/>
      <c r="K671" s="25"/>
      <c r="L671" s="25"/>
      <c r="M671" s="25"/>
      <c r="N671" s="25"/>
      <c r="O671" s="25"/>
      <c r="P671" s="25"/>
      <c r="Q671" s="25"/>
      <c r="R671" s="25"/>
      <c r="S671" s="151"/>
      <c r="T671" s="151"/>
      <c r="U671" s="151"/>
      <c r="V671" s="73"/>
      <c r="W671" s="28"/>
      <c r="X671" s="24"/>
    </row>
    <row r="672" spans="2:24">
      <c r="B672" s="24"/>
      <c r="C672" s="47"/>
      <c r="D672" s="26"/>
      <c r="E672" s="27"/>
      <c r="F672" s="25"/>
      <c r="G672" s="25"/>
      <c r="H672" s="25"/>
      <c r="I672" s="25"/>
      <c r="J672" s="25"/>
      <c r="K672" s="25"/>
      <c r="L672" s="25"/>
      <c r="M672" s="25"/>
      <c r="N672" s="25"/>
      <c r="O672" s="25"/>
      <c r="P672" s="25"/>
      <c r="Q672" s="25"/>
      <c r="R672" s="25"/>
      <c r="S672" s="151"/>
      <c r="T672" s="151"/>
      <c r="U672" s="151"/>
      <c r="V672" s="73"/>
      <c r="W672" s="28"/>
      <c r="X672" s="24"/>
    </row>
    <row r="673" spans="2:24">
      <c r="B673" s="24"/>
      <c r="C673" s="47"/>
      <c r="D673" s="26"/>
      <c r="E673" s="27"/>
      <c r="F673" s="25"/>
      <c r="G673" s="25"/>
      <c r="H673" s="25"/>
      <c r="I673" s="25"/>
      <c r="J673" s="25"/>
      <c r="K673" s="25"/>
      <c r="L673" s="25"/>
      <c r="M673" s="25"/>
      <c r="N673" s="25"/>
      <c r="O673" s="25"/>
      <c r="P673" s="25"/>
      <c r="Q673" s="25"/>
      <c r="R673" s="25"/>
      <c r="S673" s="151"/>
      <c r="T673" s="151"/>
      <c r="U673" s="151"/>
      <c r="V673" s="73"/>
      <c r="W673" s="28"/>
      <c r="X673" s="24"/>
    </row>
    <row r="674" spans="2:24">
      <c r="B674" s="24"/>
      <c r="C674" s="47"/>
      <c r="D674" s="26"/>
      <c r="E674" s="27"/>
      <c r="F674" s="25"/>
      <c r="G674" s="25"/>
      <c r="H674" s="25"/>
      <c r="I674" s="25"/>
      <c r="J674" s="25"/>
      <c r="K674" s="25"/>
      <c r="L674" s="25"/>
      <c r="M674" s="25"/>
      <c r="N674" s="25"/>
      <c r="O674" s="25"/>
      <c r="P674" s="25"/>
      <c r="Q674" s="25"/>
      <c r="R674" s="25"/>
      <c r="S674" s="151"/>
      <c r="T674" s="151"/>
      <c r="U674" s="151"/>
      <c r="V674" s="73"/>
      <c r="W674" s="28"/>
      <c r="X674" s="24"/>
    </row>
    <row r="675" spans="2:24">
      <c r="B675" s="24"/>
      <c r="C675" s="47"/>
      <c r="D675" s="26"/>
      <c r="E675" s="27"/>
      <c r="F675" s="25"/>
      <c r="G675" s="25"/>
      <c r="H675" s="25"/>
      <c r="I675" s="25"/>
      <c r="J675" s="25"/>
      <c r="K675" s="25"/>
      <c r="L675" s="25"/>
      <c r="M675" s="25"/>
      <c r="N675" s="25"/>
      <c r="O675" s="25"/>
      <c r="P675" s="25"/>
      <c r="Q675" s="25"/>
      <c r="R675" s="25"/>
      <c r="S675" s="151"/>
      <c r="T675" s="151"/>
      <c r="U675" s="151"/>
      <c r="V675" s="73"/>
      <c r="W675" s="28"/>
      <c r="X675" s="24"/>
    </row>
    <row r="676" spans="2:24">
      <c r="B676" s="24"/>
      <c r="C676" s="47"/>
      <c r="D676" s="26"/>
      <c r="E676" s="27"/>
      <c r="F676" s="25"/>
      <c r="G676" s="25"/>
      <c r="H676" s="25"/>
      <c r="I676" s="25"/>
      <c r="J676" s="25"/>
      <c r="K676" s="25"/>
      <c r="L676" s="25"/>
      <c r="M676" s="25"/>
      <c r="N676" s="25"/>
      <c r="O676" s="25"/>
      <c r="P676" s="25"/>
      <c r="Q676" s="25"/>
      <c r="R676" s="25"/>
      <c r="S676" s="151"/>
      <c r="T676" s="151"/>
      <c r="U676" s="151"/>
      <c r="V676" s="73"/>
      <c r="W676" s="28"/>
      <c r="X676" s="24"/>
    </row>
    <row r="677" spans="2:24">
      <c r="B677" s="24"/>
      <c r="C677" s="47"/>
      <c r="D677" s="26"/>
      <c r="E677" s="27"/>
      <c r="F677" s="25"/>
      <c r="G677" s="25"/>
      <c r="H677" s="25"/>
      <c r="I677" s="25"/>
      <c r="J677" s="25"/>
      <c r="K677" s="25"/>
      <c r="L677" s="25"/>
      <c r="M677" s="25"/>
      <c r="N677" s="25"/>
      <c r="O677" s="25"/>
      <c r="P677" s="25"/>
      <c r="Q677" s="25"/>
      <c r="R677" s="25"/>
      <c r="S677" s="151"/>
      <c r="T677" s="151"/>
      <c r="U677" s="151"/>
      <c r="V677" s="73"/>
      <c r="W677" s="28"/>
      <c r="X677" s="24"/>
    </row>
    <row r="678" spans="2:24">
      <c r="B678" s="24"/>
      <c r="C678" s="47"/>
      <c r="D678" s="26"/>
      <c r="E678" s="27"/>
      <c r="F678" s="25"/>
      <c r="G678" s="25"/>
      <c r="H678" s="25"/>
      <c r="I678" s="25"/>
      <c r="J678" s="25"/>
      <c r="K678" s="25"/>
      <c r="L678" s="25"/>
      <c r="M678" s="25"/>
      <c r="N678" s="25"/>
      <c r="O678" s="25"/>
      <c r="P678" s="25"/>
      <c r="Q678" s="25"/>
      <c r="R678" s="25"/>
      <c r="S678" s="151"/>
      <c r="T678" s="151"/>
      <c r="U678" s="151"/>
      <c r="V678" s="73"/>
      <c r="W678" s="28"/>
      <c r="X678" s="24"/>
    </row>
    <row r="679" spans="2:24">
      <c r="B679" s="24"/>
      <c r="C679" s="47"/>
      <c r="D679" s="26"/>
      <c r="E679" s="27"/>
      <c r="F679" s="25"/>
      <c r="G679" s="25"/>
      <c r="H679" s="25"/>
      <c r="I679" s="25"/>
      <c r="J679" s="25"/>
      <c r="K679" s="25"/>
      <c r="L679" s="25"/>
      <c r="M679" s="25"/>
      <c r="N679" s="25"/>
      <c r="O679" s="25"/>
      <c r="P679" s="25"/>
      <c r="Q679" s="25"/>
      <c r="R679" s="25"/>
      <c r="S679" s="151"/>
      <c r="T679" s="151"/>
      <c r="U679" s="151"/>
      <c r="V679" s="73"/>
      <c r="W679" s="28"/>
      <c r="X679" s="24"/>
    </row>
    <row r="680" spans="2:24">
      <c r="B680" s="24"/>
      <c r="C680" s="47"/>
      <c r="D680" s="26"/>
      <c r="E680" s="27"/>
      <c r="F680" s="25"/>
      <c r="G680" s="25"/>
      <c r="H680" s="25"/>
      <c r="I680" s="25"/>
      <c r="J680" s="25"/>
      <c r="K680" s="25"/>
      <c r="L680" s="25"/>
      <c r="M680" s="25"/>
      <c r="N680" s="25"/>
      <c r="O680" s="25"/>
      <c r="P680" s="25"/>
      <c r="Q680" s="25"/>
      <c r="R680" s="25"/>
      <c r="S680" s="151"/>
      <c r="T680" s="151"/>
      <c r="U680" s="151"/>
      <c r="V680" s="73"/>
      <c r="W680" s="28"/>
      <c r="X680" s="24"/>
    </row>
    <row r="681" spans="2:24">
      <c r="B681" s="24"/>
      <c r="C681" s="47"/>
      <c r="D681" s="26"/>
      <c r="E681" s="27"/>
      <c r="F681" s="25"/>
      <c r="G681" s="25"/>
      <c r="H681" s="25"/>
      <c r="I681" s="25"/>
      <c r="J681" s="25"/>
      <c r="K681" s="25"/>
      <c r="L681" s="25"/>
      <c r="M681" s="25"/>
      <c r="N681" s="25"/>
      <c r="O681" s="25"/>
      <c r="P681" s="25"/>
      <c r="Q681" s="25"/>
      <c r="R681" s="25"/>
      <c r="S681" s="151"/>
      <c r="T681" s="151"/>
      <c r="U681" s="151"/>
      <c r="V681" s="73"/>
      <c r="W681" s="28"/>
      <c r="X681" s="24"/>
    </row>
    <row r="682" spans="2:24">
      <c r="B682" s="24"/>
      <c r="C682" s="47"/>
      <c r="D682" s="26"/>
      <c r="E682" s="27"/>
      <c r="F682" s="25"/>
      <c r="G682" s="25"/>
      <c r="H682" s="25"/>
      <c r="I682" s="25"/>
      <c r="J682" s="25"/>
      <c r="K682" s="25"/>
      <c r="L682" s="25"/>
      <c r="M682" s="25"/>
      <c r="N682" s="25"/>
      <c r="O682" s="25"/>
      <c r="P682" s="25"/>
      <c r="Q682" s="25"/>
      <c r="R682" s="25"/>
      <c r="S682" s="151"/>
      <c r="T682" s="151"/>
      <c r="U682" s="151"/>
      <c r="V682" s="73"/>
      <c r="W682" s="28"/>
      <c r="X682" s="24"/>
    </row>
    <row r="683" spans="2:24">
      <c r="B683" s="24"/>
      <c r="C683" s="47"/>
      <c r="D683" s="26"/>
      <c r="E683" s="27"/>
      <c r="F683" s="25"/>
      <c r="G683" s="25"/>
      <c r="H683" s="25"/>
      <c r="I683" s="25"/>
      <c r="J683" s="25"/>
      <c r="K683" s="25"/>
      <c r="L683" s="25"/>
      <c r="M683" s="25"/>
      <c r="N683" s="25"/>
      <c r="O683" s="25"/>
      <c r="P683" s="25"/>
      <c r="Q683" s="25"/>
      <c r="R683" s="25"/>
      <c r="S683" s="151"/>
      <c r="T683" s="151"/>
      <c r="U683" s="151"/>
      <c r="V683" s="73"/>
      <c r="W683" s="28"/>
      <c r="X683" s="24"/>
    </row>
    <row r="684" spans="2:24">
      <c r="B684" s="24"/>
      <c r="C684" s="47"/>
      <c r="D684" s="26"/>
      <c r="E684" s="27"/>
      <c r="F684" s="25"/>
      <c r="G684" s="25"/>
      <c r="H684" s="25"/>
      <c r="I684" s="25"/>
      <c r="J684" s="25"/>
      <c r="K684" s="25"/>
      <c r="L684" s="25"/>
      <c r="M684" s="25"/>
      <c r="N684" s="25"/>
      <c r="O684" s="25"/>
      <c r="P684" s="25"/>
      <c r="Q684" s="25"/>
      <c r="R684" s="25"/>
      <c r="S684" s="151"/>
      <c r="T684" s="151"/>
      <c r="U684" s="151"/>
      <c r="V684" s="73"/>
      <c r="W684" s="28"/>
      <c r="X684" s="24"/>
    </row>
    <row r="685" spans="2:24">
      <c r="B685" s="24"/>
      <c r="C685" s="47"/>
      <c r="D685" s="26"/>
      <c r="E685" s="27"/>
      <c r="F685" s="25"/>
      <c r="G685" s="25"/>
      <c r="H685" s="25"/>
      <c r="I685" s="25"/>
      <c r="J685" s="25"/>
      <c r="K685" s="25"/>
      <c r="L685" s="25"/>
      <c r="M685" s="25"/>
      <c r="N685" s="25"/>
      <c r="O685" s="25"/>
      <c r="P685" s="25"/>
      <c r="Q685" s="25"/>
      <c r="R685" s="25"/>
      <c r="S685" s="151"/>
      <c r="T685" s="151"/>
      <c r="U685" s="151"/>
      <c r="V685" s="73"/>
      <c r="W685" s="28"/>
      <c r="X685" s="24"/>
    </row>
    <row r="686" spans="2:24">
      <c r="B686" s="24"/>
      <c r="C686" s="47"/>
      <c r="D686" s="26"/>
      <c r="E686" s="27"/>
      <c r="F686" s="25"/>
      <c r="G686" s="25"/>
      <c r="H686" s="25"/>
      <c r="I686" s="25"/>
      <c r="J686" s="25"/>
      <c r="K686" s="25"/>
      <c r="L686" s="25"/>
      <c r="M686" s="25"/>
      <c r="N686" s="25"/>
      <c r="O686" s="25"/>
      <c r="P686" s="25"/>
      <c r="Q686" s="25"/>
      <c r="R686" s="25"/>
      <c r="S686" s="151"/>
      <c r="T686" s="151"/>
      <c r="U686" s="151"/>
      <c r="V686" s="73"/>
      <c r="W686" s="28"/>
      <c r="X686" s="24"/>
    </row>
    <row r="687" spans="2:24">
      <c r="B687" s="24"/>
      <c r="C687" s="47"/>
      <c r="D687" s="26"/>
      <c r="E687" s="27"/>
      <c r="F687" s="25"/>
      <c r="G687" s="25"/>
      <c r="H687" s="25"/>
      <c r="I687" s="25"/>
      <c r="J687" s="25"/>
      <c r="K687" s="25"/>
      <c r="L687" s="25"/>
      <c r="M687" s="25"/>
      <c r="N687" s="25"/>
      <c r="O687" s="25"/>
      <c r="P687" s="25"/>
      <c r="Q687" s="25"/>
      <c r="R687" s="25"/>
      <c r="S687" s="151"/>
      <c r="T687" s="151"/>
      <c r="U687" s="151"/>
      <c r="V687" s="73"/>
      <c r="W687" s="28"/>
      <c r="X687" s="24"/>
    </row>
    <row r="688" spans="2:24">
      <c r="B688" s="24"/>
      <c r="C688" s="47"/>
      <c r="D688" s="26"/>
      <c r="E688" s="27"/>
      <c r="F688" s="25"/>
      <c r="G688" s="25"/>
      <c r="H688" s="25"/>
      <c r="I688" s="25"/>
      <c r="J688" s="25"/>
      <c r="K688" s="25"/>
      <c r="L688" s="25"/>
      <c r="M688" s="25"/>
      <c r="N688" s="25"/>
      <c r="O688" s="25"/>
      <c r="P688" s="25"/>
      <c r="Q688" s="25"/>
      <c r="R688" s="25"/>
      <c r="S688" s="151"/>
      <c r="T688" s="151"/>
      <c r="U688" s="151"/>
      <c r="V688" s="73"/>
      <c r="W688" s="28"/>
      <c r="X688" s="24"/>
    </row>
    <row r="689" spans="2:24">
      <c r="B689" s="24"/>
      <c r="C689" s="47"/>
      <c r="D689" s="26"/>
      <c r="E689" s="27"/>
      <c r="F689" s="25"/>
      <c r="G689" s="25"/>
      <c r="H689" s="25"/>
      <c r="I689" s="58"/>
      <c r="J689" s="25"/>
      <c r="K689" s="25"/>
      <c r="L689" s="25"/>
      <c r="M689" s="25"/>
      <c r="N689" s="25"/>
      <c r="O689" s="25"/>
      <c r="P689" s="25"/>
      <c r="Q689" s="25"/>
      <c r="R689" s="25"/>
      <c r="S689" s="151"/>
      <c r="T689" s="151"/>
      <c r="U689" s="151"/>
      <c r="V689" s="73"/>
      <c r="W689" s="28"/>
      <c r="X689" s="24"/>
    </row>
    <row r="690" spans="2:24">
      <c r="B690" s="24"/>
      <c r="C690" s="47"/>
      <c r="D690" s="26"/>
      <c r="E690" s="27"/>
      <c r="F690" s="25"/>
      <c r="G690" s="25"/>
      <c r="H690" s="25"/>
      <c r="I690" s="25"/>
      <c r="J690" s="25"/>
      <c r="K690" s="25"/>
      <c r="L690" s="25"/>
      <c r="M690" s="25"/>
      <c r="N690" s="25"/>
      <c r="O690" s="25"/>
      <c r="P690" s="25"/>
      <c r="Q690" s="25"/>
      <c r="R690" s="25"/>
      <c r="S690" s="151"/>
      <c r="T690" s="151"/>
      <c r="U690" s="151"/>
      <c r="V690" s="73"/>
      <c r="W690" s="28"/>
      <c r="X690" s="24"/>
    </row>
    <row r="691" spans="2:24">
      <c r="B691" s="24"/>
      <c r="C691" s="47"/>
      <c r="D691" s="26"/>
      <c r="E691" s="27"/>
      <c r="F691" s="25"/>
      <c r="G691" s="25"/>
      <c r="H691" s="25"/>
      <c r="I691" s="25"/>
      <c r="J691" s="25"/>
      <c r="K691" s="25"/>
      <c r="L691" s="25"/>
      <c r="M691" s="25"/>
      <c r="N691" s="25"/>
      <c r="O691" s="25"/>
      <c r="P691" s="25"/>
      <c r="Q691" s="25"/>
      <c r="R691" s="25"/>
      <c r="S691" s="151"/>
      <c r="T691" s="151"/>
      <c r="U691" s="151"/>
      <c r="V691" s="73"/>
      <c r="W691" s="28"/>
      <c r="X691" s="24"/>
    </row>
    <row r="692" spans="2:24">
      <c r="B692" s="24"/>
      <c r="C692" s="47"/>
      <c r="D692" s="26"/>
      <c r="E692" s="27"/>
      <c r="F692" s="25"/>
      <c r="G692" s="25"/>
      <c r="H692" s="25"/>
      <c r="I692" s="25"/>
      <c r="J692" s="25"/>
      <c r="K692" s="25"/>
      <c r="L692" s="25"/>
      <c r="M692" s="25"/>
      <c r="N692" s="25"/>
      <c r="O692" s="25"/>
      <c r="P692" s="25"/>
      <c r="Q692" s="25"/>
      <c r="R692" s="25"/>
      <c r="S692" s="151"/>
      <c r="T692" s="151"/>
      <c r="U692" s="151"/>
      <c r="V692" s="73"/>
      <c r="W692" s="28"/>
      <c r="X692" s="24"/>
    </row>
    <row r="693" spans="2:24">
      <c r="B693" s="24"/>
      <c r="C693" s="47"/>
      <c r="D693" s="26"/>
      <c r="E693" s="27"/>
      <c r="F693" s="25"/>
      <c r="G693" s="25"/>
      <c r="H693" s="25"/>
      <c r="I693" s="25"/>
      <c r="J693" s="25"/>
      <c r="K693" s="25"/>
      <c r="L693" s="25"/>
      <c r="M693" s="25"/>
      <c r="N693" s="25"/>
      <c r="O693" s="25"/>
      <c r="P693" s="25"/>
      <c r="Q693" s="25"/>
      <c r="R693" s="25"/>
      <c r="S693" s="151"/>
      <c r="T693" s="151"/>
      <c r="U693" s="151"/>
      <c r="V693" s="73"/>
      <c r="W693" s="28"/>
      <c r="X693" s="24"/>
    </row>
    <row r="694" spans="2:24">
      <c r="B694" s="24"/>
      <c r="C694" s="47"/>
      <c r="D694" s="26"/>
      <c r="E694" s="27"/>
      <c r="F694" s="25"/>
      <c r="G694" s="25"/>
      <c r="H694" s="25"/>
      <c r="I694" s="25"/>
      <c r="J694" s="25"/>
      <c r="K694" s="25"/>
      <c r="L694" s="25"/>
      <c r="M694" s="25"/>
      <c r="N694" s="25"/>
      <c r="O694" s="25"/>
      <c r="P694" s="25"/>
      <c r="Q694" s="25"/>
      <c r="R694" s="25"/>
      <c r="S694" s="151"/>
      <c r="T694" s="151"/>
      <c r="U694" s="151"/>
      <c r="V694" s="73"/>
      <c r="W694" s="28"/>
      <c r="X694" s="24"/>
    </row>
    <row r="695" spans="2:24">
      <c r="B695" s="24"/>
      <c r="C695" s="47"/>
      <c r="D695" s="26"/>
      <c r="E695" s="27"/>
      <c r="F695" s="25"/>
      <c r="G695" s="25"/>
      <c r="H695" s="25"/>
      <c r="I695" s="25"/>
      <c r="J695" s="25"/>
      <c r="K695" s="25"/>
      <c r="L695" s="25"/>
      <c r="M695" s="25"/>
      <c r="N695" s="25"/>
      <c r="O695" s="25"/>
      <c r="P695" s="25"/>
      <c r="Q695" s="25"/>
      <c r="R695" s="25"/>
      <c r="S695" s="151"/>
      <c r="T695" s="151"/>
      <c r="U695" s="151"/>
      <c r="V695" s="73"/>
      <c r="W695" s="28"/>
      <c r="X695" s="24"/>
    </row>
    <row r="696" spans="2:24">
      <c r="B696" s="24"/>
      <c r="C696" s="47"/>
      <c r="D696" s="26"/>
      <c r="E696" s="27"/>
      <c r="F696" s="25"/>
      <c r="G696" s="25"/>
      <c r="H696" s="25"/>
      <c r="I696" s="25"/>
      <c r="J696" s="25"/>
      <c r="K696" s="25"/>
      <c r="L696" s="25"/>
      <c r="M696" s="25"/>
      <c r="N696" s="25"/>
      <c r="O696" s="25"/>
      <c r="P696" s="25"/>
      <c r="Q696" s="25"/>
      <c r="R696" s="25"/>
      <c r="S696" s="151"/>
      <c r="T696" s="151"/>
      <c r="U696" s="151"/>
      <c r="V696" s="73"/>
      <c r="W696" s="28"/>
      <c r="X696" s="24"/>
    </row>
    <row r="697" spans="2:24">
      <c r="B697" s="24"/>
      <c r="C697" s="47"/>
      <c r="D697" s="26"/>
      <c r="E697" s="27"/>
      <c r="F697" s="25"/>
      <c r="G697" s="25"/>
      <c r="H697" s="25"/>
      <c r="I697" s="25"/>
      <c r="J697" s="25"/>
      <c r="K697" s="25"/>
      <c r="L697" s="25"/>
      <c r="M697" s="25"/>
      <c r="N697" s="25"/>
      <c r="O697" s="25"/>
      <c r="P697" s="25"/>
      <c r="Q697" s="25"/>
      <c r="R697" s="25"/>
      <c r="S697" s="151"/>
      <c r="T697" s="151"/>
      <c r="U697" s="151"/>
      <c r="V697" s="73"/>
      <c r="W697" s="28"/>
      <c r="X697" s="24"/>
    </row>
    <row r="698" spans="2:24">
      <c r="B698" s="24"/>
      <c r="C698" s="47"/>
      <c r="D698" s="26"/>
      <c r="E698" s="27"/>
      <c r="F698" s="25"/>
      <c r="G698" s="25"/>
      <c r="H698" s="25"/>
      <c r="I698" s="25"/>
      <c r="J698" s="25"/>
      <c r="K698" s="25"/>
      <c r="L698" s="25"/>
      <c r="M698" s="25"/>
      <c r="N698" s="25"/>
      <c r="O698" s="25"/>
      <c r="P698" s="25"/>
      <c r="Q698" s="25"/>
      <c r="R698" s="25"/>
      <c r="S698" s="151"/>
      <c r="T698" s="151"/>
      <c r="U698" s="151"/>
      <c r="V698" s="73"/>
      <c r="W698" s="28"/>
      <c r="X698" s="24"/>
    </row>
    <row r="699" spans="2:24">
      <c r="B699" s="24"/>
      <c r="C699" s="47"/>
      <c r="D699" s="26"/>
      <c r="E699" s="27"/>
      <c r="F699" s="25"/>
      <c r="G699" s="25"/>
      <c r="H699" s="25"/>
      <c r="I699" s="25"/>
      <c r="J699" s="25"/>
      <c r="K699" s="25"/>
      <c r="L699" s="25"/>
      <c r="M699" s="25"/>
      <c r="N699" s="25"/>
      <c r="O699" s="25"/>
      <c r="P699" s="25"/>
      <c r="Q699" s="25"/>
      <c r="R699" s="25"/>
      <c r="S699" s="151"/>
      <c r="T699" s="151"/>
      <c r="U699" s="151"/>
      <c r="V699" s="73"/>
      <c r="W699" s="28"/>
      <c r="X699" s="24"/>
    </row>
    <row r="700" spans="2:24">
      <c r="B700" s="24"/>
      <c r="C700" s="47"/>
      <c r="D700" s="26"/>
      <c r="E700" s="27"/>
      <c r="F700" s="25"/>
      <c r="G700" s="25"/>
      <c r="H700" s="25"/>
      <c r="I700" s="25"/>
      <c r="J700" s="25"/>
      <c r="K700" s="25"/>
      <c r="L700" s="25"/>
      <c r="M700" s="25"/>
      <c r="N700" s="25"/>
      <c r="O700" s="25"/>
      <c r="P700" s="25"/>
      <c r="Q700" s="25"/>
      <c r="R700" s="25"/>
      <c r="S700" s="151"/>
      <c r="T700" s="151"/>
      <c r="U700" s="151"/>
      <c r="V700" s="73"/>
      <c r="W700" s="28"/>
      <c r="X700" s="24"/>
    </row>
    <row r="701" spans="2:24">
      <c r="B701" s="24"/>
      <c r="C701" s="47"/>
      <c r="D701" s="26"/>
      <c r="E701" s="27"/>
      <c r="F701" s="25"/>
      <c r="G701" s="25"/>
      <c r="H701" s="25"/>
      <c r="I701" s="25"/>
      <c r="J701" s="25"/>
      <c r="K701" s="25"/>
      <c r="L701" s="25"/>
      <c r="M701" s="25"/>
      <c r="N701" s="25"/>
      <c r="O701" s="25"/>
      <c r="P701" s="25"/>
      <c r="Q701" s="25"/>
      <c r="R701" s="25"/>
      <c r="S701" s="151"/>
      <c r="T701" s="151"/>
      <c r="U701" s="151"/>
      <c r="V701" s="73"/>
      <c r="W701" s="28"/>
      <c r="X701" s="24"/>
    </row>
    <row r="702" spans="2:24">
      <c r="B702" s="24"/>
      <c r="C702" s="47"/>
      <c r="D702" s="26"/>
      <c r="E702" s="27"/>
      <c r="F702" s="25"/>
      <c r="G702" s="25"/>
      <c r="H702" s="25"/>
      <c r="I702" s="25"/>
      <c r="J702" s="25"/>
      <c r="K702" s="25"/>
      <c r="L702" s="25"/>
      <c r="M702" s="25"/>
      <c r="N702" s="25"/>
      <c r="O702" s="25"/>
      <c r="P702" s="25"/>
      <c r="Q702" s="25"/>
      <c r="R702" s="25"/>
      <c r="S702" s="151"/>
      <c r="T702" s="151"/>
      <c r="U702" s="151"/>
      <c r="V702" s="73"/>
      <c r="W702" s="28"/>
      <c r="X702" s="24"/>
    </row>
    <row r="703" spans="2:24">
      <c r="B703" s="24"/>
      <c r="C703" s="47"/>
      <c r="D703" s="26"/>
      <c r="E703" s="27"/>
      <c r="F703" s="25"/>
      <c r="G703" s="25"/>
      <c r="H703" s="25"/>
      <c r="I703" s="25"/>
      <c r="J703" s="25"/>
      <c r="K703" s="25"/>
      <c r="L703" s="25"/>
      <c r="M703" s="25"/>
      <c r="N703" s="25"/>
      <c r="O703" s="25"/>
      <c r="P703" s="25"/>
      <c r="Q703" s="25"/>
      <c r="R703" s="25"/>
      <c r="S703" s="151"/>
      <c r="T703" s="151"/>
      <c r="U703" s="151"/>
      <c r="V703" s="73"/>
      <c r="W703" s="28"/>
      <c r="X703" s="24"/>
    </row>
    <row r="704" spans="2:24">
      <c r="B704" s="24"/>
      <c r="C704" s="47"/>
      <c r="D704" s="26"/>
      <c r="E704" s="27"/>
      <c r="F704" s="25"/>
      <c r="G704" s="25"/>
      <c r="H704" s="25"/>
      <c r="I704" s="25"/>
      <c r="J704" s="25"/>
      <c r="K704" s="25"/>
      <c r="L704" s="25"/>
      <c r="M704" s="25"/>
      <c r="N704" s="25"/>
      <c r="O704" s="25"/>
      <c r="P704" s="25"/>
      <c r="Q704" s="25"/>
      <c r="R704" s="25"/>
      <c r="S704" s="151"/>
      <c r="T704" s="151"/>
      <c r="U704" s="151"/>
      <c r="V704" s="73"/>
      <c r="W704" s="28"/>
      <c r="X704" s="24"/>
    </row>
    <row r="705" spans="2:24">
      <c r="B705" s="24"/>
      <c r="C705" s="47"/>
      <c r="D705" s="26"/>
      <c r="E705" s="27"/>
      <c r="F705" s="25"/>
      <c r="G705" s="25"/>
      <c r="H705" s="25"/>
      <c r="I705" s="25"/>
      <c r="J705" s="25"/>
      <c r="K705" s="25"/>
      <c r="L705" s="25"/>
      <c r="M705" s="25"/>
      <c r="N705" s="25"/>
      <c r="O705" s="25"/>
      <c r="P705" s="25"/>
      <c r="Q705" s="25"/>
      <c r="R705" s="25"/>
      <c r="S705" s="151"/>
      <c r="T705" s="151"/>
      <c r="U705" s="151"/>
      <c r="V705" s="73"/>
      <c r="W705" s="28"/>
      <c r="X705" s="24"/>
    </row>
    <row r="706" spans="2:24">
      <c r="B706" s="24"/>
      <c r="C706" s="47"/>
      <c r="D706" s="26"/>
      <c r="E706" s="27"/>
      <c r="F706" s="25"/>
      <c r="G706" s="25"/>
      <c r="H706" s="25"/>
      <c r="I706" s="25"/>
      <c r="J706" s="25"/>
      <c r="K706" s="25"/>
      <c r="L706" s="25"/>
      <c r="M706" s="25"/>
      <c r="N706" s="25"/>
      <c r="O706" s="25"/>
      <c r="P706" s="25"/>
      <c r="Q706" s="25"/>
      <c r="R706" s="25"/>
      <c r="S706" s="151"/>
      <c r="T706" s="151"/>
      <c r="U706" s="151"/>
      <c r="V706" s="73"/>
      <c r="W706" s="28"/>
      <c r="X706" s="24"/>
    </row>
    <row r="707" spans="2:24">
      <c r="B707" s="24"/>
      <c r="C707" s="47"/>
      <c r="D707" s="26"/>
      <c r="E707" s="27"/>
      <c r="F707" s="25"/>
      <c r="G707" s="25"/>
      <c r="H707" s="25"/>
      <c r="I707" s="25"/>
      <c r="J707" s="25"/>
      <c r="K707" s="25"/>
      <c r="L707" s="25"/>
      <c r="M707" s="25"/>
      <c r="N707" s="25"/>
      <c r="O707" s="25"/>
      <c r="P707" s="25"/>
      <c r="Q707" s="25"/>
      <c r="R707" s="25"/>
      <c r="S707" s="151"/>
      <c r="T707" s="151"/>
      <c r="U707" s="151"/>
      <c r="V707" s="73"/>
      <c r="W707" s="28"/>
      <c r="X707" s="24"/>
    </row>
    <row r="708" spans="2:24">
      <c r="B708" s="24"/>
      <c r="C708" s="47"/>
      <c r="D708" s="26"/>
      <c r="E708" s="27"/>
      <c r="F708" s="25"/>
      <c r="G708" s="25"/>
      <c r="H708" s="25"/>
      <c r="I708" s="25"/>
      <c r="J708" s="25"/>
      <c r="K708" s="25"/>
      <c r="L708" s="25"/>
      <c r="M708" s="25"/>
      <c r="N708" s="25"/>
      <c r="O708" s="25"/>
      <c r="P708" s="25"/>
      <c r="Q708" s="25"/>
      <c r="R708" s="25"/>
      <c r="S708" s="151"/>
      <c r="T708" s="151"/>
      <c r="U708" s="151"/>
      <c r="V708" s="73"/>
      <c r="W708" s="28"/>
      <c r="X708" s="24"/>
    </row>
    <row r="709" spans="2:24">
      <c r="B709" s="24"/>
      <c r="C709" s="47"/>
      <c r="D709" s="26"/>
      <c r="E709" s="27"/>
      <c r="F709" s="25"/>
      <c r="G709" s="25"/>
      <c r="H709" s="25"/>
      <c r="I709" s="25"/>
      <c r="J709" s="25"/>
      <c r="K709" s="25"/>
      <c r="L709" s="25"/>
      <c r="M709" s="25"/>
      <c r="N709" s="25"/>
      <c r="O709" s="25"/>
      <c r="P709" s="25"/>
      <c r="Q709" s="25"/>
      <c r="R709" s="25"/>
      <c r="S709" s="151"/>
      <c r="T709" s="151"/>
      <c r="U709" s="151"/>
      <c r="V709" s="73"/>
      <c r="W709" s="28"/>
      <c r="X709" s="24"/>
    </row>
    <row r="710" spans="2:24">
      <c r="B710" s="24"/>
      <c r="C710" s="47"/>
      <c r="D710" s="26"/>
      <c r="E710" s="27"/>
      <c r="F710" s="25"/>
      <c r="G710" s="25"/>
      <c r="H710" s="25"/>
      <c r="I710" s="25"/>
      <c r="J710" s="25"/>
      <c r="K710" s="25"/>
      <c r="L710" s="25"/>
      <c r="M710" s="25"/>
      <c r="N710" s="25"/>
      <c r="O710" s="25"/>
      <c r="P710" s="25"/>
      <c r="Q710" s="25"/>
      <c r="R710" s="25"/>
      <c r="S710" s="151"/>
      <c r="T710" s="151"/>
      <c r="U710" s="151"/>
      <c r="V710" s="73"/>
      <c r="W710" s="28"/>
      <c r="X710" s="24"/>
    </row>
    <row r="711" spans="2:24">
      <c r="B711" s="24"/>
      <c r="C711" s="47"/>
      <c r="D711" s="26"/>
      <c r="E711" s="27"/>
      <c r="F711" s="25"/>
      <c r="G711" s="25"/>
      <c r="H711" s="25"/>
      <c r="I711" s="25"/>
      <c r="J711" s="25"/>
      <c r="K711" s="25"/>
      <c r="L711" s="25"/>
      <c r="M711" s="25"/>
      <c r="N711" s="25"/>
      <c r="O711" s="25"/>
      <c r="P711" s="25"/>
      <c r="Q711" s="25"/>
      <c r="R711" s="25"/>
      <c r="S711" s="151"/>
      <c r="T711" s="151"/>
      <c r="U711" s="151"/>
      <c r="V711" s="73"/>
      <c r="W711" s="28"/>
      <c r="X711" s="24"/>
    </row>
    <row r="712" spans="2:24">
      <c r="B712" s="24"/>
      <c r="C712" s="47"/>
      <c r="D712" s="26"/>
      <c r="E712" s="27"/>
      <c r="F712" s="25"/>
      <c r="G712" s="25"/>
      <c r="H712" s="25"/>
      <c r="I712" s="25"/>
      <c r="J712" s="25"/>
      <c r="K712" s="25"/>
      <c r="L712" s="25"/>
      <c r="M712" s="25"/>
      <c r="N712" s="25"/>
      <c r="O712" s="25"/>
      <c r="P712" s="25"/>
      <c r="Q712" s="25"/>
      <c r="R712" s="25"/>
      <c r="S712" s="151"/>
      <c r="T712" s="151"/>
      <c r="U712" s="151"/>
      <c r="V712" s="73"/>
      <c r="W712" s="28"/>
      <c r="X712" s="24"/>
    </row>
    <row r="713" spans="2:24">
      <c r="B713" s="24"/>
      <c r="C713" s="47"/>
      <c r="D713" s="26"/>
      <c r="E713" s="27"/>
      <c r="F713" s="25"/>
      <c r="G713" s="25"/>
      <c r="H713" s="25"/>
      <c r="I713" s="25"/>
      <c r="J713" s="25"/>
      <c r="K713" s="25"/>
      <c r="L713" s="25"/>
      <c r="M713" s="25"/>
      <c r="N713" s="25"/>
      <c r="O713" s="25"/>
      <c r="P713" s="25"/>
      <c r="Q713" s="25"/>
      <c r="R713" s="25"/>
      <c r="S713" s="151"/>
      <c r="T713" s="151"/>
      <c r="U713" s="151"/>
      <c r="V713" s="73"/>
      <c r="W713" s="28"/>
      <c r="X713" s="24"/>
    </row>
    <row r="714" spans="2:24">
      <c r="B714" s="24"/>
      <c r="C714" s="47"/>
      <c r="D714" s="26"/>
      <c r="E714" s="27"/>
      <c r="F714" s="25"/>
      <c r="G714" s="25"/>
      <c r="H714" s="25"/>
      <c r="I714" s="25"/>
      <c r="J714" s="25"/>
      <c r="K714" s="25"/>
      <c r="L714" s="25"/>
      <c r="M714" s="25"/>
      <c r="N714" s="25"/>
      <c r="O714" s="25"/>
      <c r="P714" s="25"/>
      <c r="Q714" s="25"/>
      <c r="R714" s="25"/>
      <c r="S714" s="151"/>
      <c r="T714" s="151"/>
      <c r="U714" s="151"/>
      <c r="V714" s="73"/>
      <c r="W714" s="28"/>
      <c r="X714" s="24"/>
    </row>
    <row r="715" spans="2:24">
      <c r="B715" s="24"/>
      <c r="C715" s="47"/>
      <c r="D715" s="26"/>
      <c r="E715" s="27"/>
      <c r="F715" s="25"/>
      <c r="G715" s="25"/>
      <c r="H715" s="25"/>
      <c r="I715" s="25"/>
      <c r="J715" s="25"/>
      <c r="K715" s="25"/>
      <c r="L715" s="25"/>
      <c r="M715" s="25"/>
      <c r="N715" s="25"/>
      <c r="O715" s="25"/>
      <c r="P715" s="25"/>
      <c r="Q715" s="25"/>
      <c r="R715" s="25"/>
      <c r="S715" s="151"/>
      <c r="T715" s="151"/>
      <c r="U715" s="151"/>
      <c r="V715" s="73"/>
      <c r="W715" s="28"/>
      <c r="X715" s="24"/>
    </row>
    <row r="716" spans="2:24">
      <c r="B716" s="24"/>
      <c r="C716" s="47"/>
      <c r="D716" s="26"/>
      <c r="E716" s="27"/>
      <c r="F716" s="25"/>
      <c r="G716" s="25"/>
      <c r="H716" s="25"/>
      <c r="I716" s="25"/>
      <c r="J716" s="25"/>
      <c r="K716" s="25"/>
      <c r="L716" s="25"/>
      <c r="M716" s="25"/>
      <c r="N716" s="25"/>
      <c r="O716" s="25"/>
      <c r="P716" s="25"/>
      <c r="Q716" s="25"/>
      <c r="R716" s="25"/>
      <c r="S716" s="151"/>
      <c r="T716" s="151"/>
      <c r="U716" s="151"/>
      <c r="V716" s="73"/>
      <c r="W716" s="28"/>
      <c r="X716" s="24"/>
    </row>
    <row r="717" spans="2:24">
      <c r="B717" s="24"/>
      <c r="C717" s="47"/>
      <c r="D717" s="26"/>
      <c r="E717" s="27"/>
      <c r="F717" s="25"/>
      <c r="G717" s="25"/>
      <c r="H717" s="25"/>
      <c r="I717" s="25"/>
      <c r="J717" s="25"/>
      <c r="K717" s="25"/>
      <c r="L717" s="25"/>
      <c r="M717" s="25"/>
      <c r="N717" s="25"/>
      <c r="O717" s="25"/>
      <c r="P717" s="25"/>
      <c r="Q717" s="25"/>
      <c r="R717" s="25"/>
      <c r="S717" s="151"/>
      <c r="T717" s="151"/>
      <c r="U717" s="151"/>
      <c r="V717" s="73"/>
      <c r="W717" s="28"/>
      <c r="X717" s="24"/>
    </row>
    <row r="718" spans="2:24">
      <c r="B718" s="24"/>
      <c r="C718" s="47"/>
      <c r="D718" s="26"/>
      <c r="E718" s="27"/>
      <c r="F718" s="25"/>
      <c r="G718" s="25"/>
      <c r="H718" s="25"/>
      <c r="I718" s="25"/>
      <c r="J718" s="25"/>
      <c r="K718" s="25"/>
      <c r="L718" s="25"/>
      <c r="M718" s="25"/>
      <c r="N718" s="25"/>
      <c r="O718" s="25"/>
      <c r="P718" s="25"/>
      <c r="Q718" s="25"/>
      <c r="R718" s="25"/>
      <c r="S718" s="151"/>
      <c r="T718" s="151"/>
      <c r="U718" s="151"/>
      <c r="V718" s="73"/>
      <c r="W718" s="28"/>
      <c r="X718" s="24"/>
    </row>
    <row r="719" spans="2:24">
      <c r="B719" s="24"/>
      <c r="C719" s="47"/>
      <c r="D719" s="26"/>
      <c r="E719" s="27"/>
      <c r="F719" s="25"/>
      <c r="G719" s="25"/>
      <c r="H719" s="25"/>
      <c r="I719" s="58"/>
      <c r="J719" s="25"/>
      <c r="K719" s="25"/>
      <c r="L719" s="25"/>
      <c r="M719" s="25"/>
      <c r="N719" s="25"/>
      <c r="O719" s="25"/>
      <c r="P719" s="25"/>
      <c r="Q719" s="25"/>
      <c r="R719" s="25"/>
      <c r="S719" s="151"/>
      <c r="T719" s="151"/>
      <c r="U719" s="151"/>
      <c r="V719" s="73"/>
      <c r="W719" s="28"/>
      <c r="X719" s="24"/>
    </row>
    <row r="720" spans="2:24">
      <c r="B720" s="24"/>
      <c r="C720" s="47"/>
      <c r="D720" s="26"/>
      <c r="E720" s="27"/>
      <c r="F720" s="25"/>
      <c r="G720" s="25"/>
      <c r="H720" s="25"/>
      <c r="I720" s="25"/>
      <c r="J720" s="25"/>
      <c r="K720" s="25"/>
      <c r="L720" s="25"/>
      <c r="M720" s="25"/>
      <c r="N720" s="25"/>
      <c r="O720" s="25"/>
      <c r="P720" s="25"/>
      <c r="Q720" s="25"/>
      <c r="R720" s="25"/>
      <c r="S720" s="151"/>
      <c r="T720" s="151"/>
      <c r="U720" s="151"/>
      <c r="V720" s="73"/>
      <c r="W720" s="28"/>
      <c r="X720" s="24"/>
    </row>
    <row r="721" spans="2:24">
      <c r="B721" s="24"/>
      <c r="C721" s="47"/>
      <c r="D721" s="26"/>
      <c r="E721" s="27"/>
      <c r="F721" s="25"/>
      <c r="G721" s="25"/>
      <c r="H721" s="25"/>
      <c r="I721" s="25"/>
      <c r="J721" s="25"/>
      <c r="K721" s="25"/>
      <c r="L721" s="25"/>
      <c r="M721" s="25"/>
      <c r="N721" s="25"/>
      <c r="O721" s="25"/>
      <c r="P721" s="25"/>
      <c r="Q721" s="25"/>
      <c r="R721" s="25"/>
      <c r="S721" s="151"/>
      <c r="T721" s="151"/>
      <c r="U721" s="151"/>
      <c r="V721" s="73"/>
      <c r="W721" s="28"/>
      <c r="X721" s="24"/>
    </row>
    <row r="722" spans="2:24">
      <c r="B722" s="24"/>
      <c r="C722" s="47"/>
      <c r="D722" s="26"/>
      <c r="E722" s="27"/>
      <c r="F722" s="25"/>
      <c r="G722" s="25"/>
      <c r="H722" s="25"/>
      <c r="I722" s="25"/>
      <c r="J722" s="25"/>
      <c r="K722" s="25"/>
      <c r="L722" s="25"/>
      <c r="M722" s="25"/>
      <c r="N722" s="25"/>
      <c r="O722" s="25"/>
      <c r="P722" s="25"/>
      <c r="Q722" s="25"/>
      <c r="R722" s="25"/>
      <c r="S722" s="151"/>
      <c r="T722" s="151"/>
      <c r="U722" s="151"/>
      <c r="V722" s="73"/>
      <c r="W722" s="28"/>
      <c r="X722" s="24"/>
    </row>
    <row r="723" spans="2:24">
      <c r="B723" s="24"/>
      <c r="C723" s="47"/>
      <c r="D723" s="26"/>
      <c r="E723" s="27"/>
      <c r="F723" s="25"/>
      <c r="G723" s="25"/>
      <c r="H723" s="25"/>
      <c r="I723" s="25"/>
      <c r="J723" s="25"/>
      <c r="K723" s="25"/>
      <c r="L723" s="25"/>
      <c r="M723" s="25"/>
      <c r="N723" s="25"/>
      <c r="O723" s="25"/>
      <c r="P723" s="25"/>
      <c r="Q723" s="25"/>
      <c r="R723" s="25"/>
      <c r="S723" s="151"/>
      <c r="T723" s="151"/>
      <c r="U723" s="151"/>
      <c r="V723" s="73"/>
      <c r="W723" s="28"/>
      <c r="X723" s="24"/>
    </row>
    <row r="724" spans="2:24">
      <c r="B724" s="24"/>
      <c r="C724" s="47"/>
      <c r="D724" s="26"/>
      <c r="E724" s="27"/>
      <c r="F724" s="25"/>
      <c r="G724" s="25"/>
      <c r="H724" s="25"/>
      <c r="I724" s="25"/>
      <c r="J724" s="25"/>
      <c r="K724" s="25"/>
      <c r="L724" s="25"/>
      <c r="M724" s="25"/>
      <c r="N724" s="25"/>
      <c r="O724" s="25"/>
      <c r="P724" s="25"/>
      <c r="Q724" s="25"/>
      <c r="R724" s="25"/>
      <c r="S724" s="151"/>
      <c r="T724" s="151"/>
      <c r="U724" s="151"/>
      <c r="V724" s="73"/>
      <c r="W724" s="28"/>
      <c r="X724" s="24"/>
    </row>
    <row r="725" spans="2:24">
      <c r="B725" s="24"/>
      <c r="C725" s="47"/>
      <c r="D725" s="26"/>
      <c r="E725" s="27"/>
      <c r="F725" s="25"/>
      <c r="G725" s="25"/>
      <c r="H725" s="25"/>
      <c r="I725" s="25"/>
      <c r="J725" s="25"/>
      <c r="K725" s="25"/>
      <c r="L725" s="25"/>
      <c r="M725" s="25"/>
      <c r="N725" s="25"/>
      <c r="O725" s="25"/>
      <c r="P725" s="25"/>
      <c r="Q725" s="25"/>
      <c r="R725" s="25"/>
      <c r="S725" s="151"/>
      <c r="T725" s="151"/>
      <c r="U725" s="151"/>
      <c r="V725" s="73"/>
      <c r="W725" s="28"/>
      <c r="X725" s="24"/>
    </row>
    <row r="726" spans="2:24">
      <c r="B726" s="24"/>
      <c r="C726" s="47"/>
      <c r="D726" s="26"/>
      <c r="E726" s="27"/>
      <c r="F726" s="25"/>
      <c r="G726" s="25"/>
      <c r="H726" s="25"/>
      <c r="I726" s="25"/>
      <c r="J726" s="25"/>
      <c r="K726" s="25"/>
      <c r="L726" s="25"/>
      <c r="M726" s="25"/>
      <c r="N726" s="25"/>
      <c r="O726" s="25"/>
      <c r="P726" s="25"/>
      <c r="Q726" s="25"/>
      <c r="R726" s="25"/>
      <c r="S726" s="151"/>
      <c r="T726" s="151"/>
      <c r="U726" s="151"/>
      <c r="V726" s="73"/>
      <c r="W726" s="28"/>
      <c r="X726" s="24"/>
    </row>
    <row r="727" spans="2:24">
      <c r="B727" s="24"/>
      <c r="C727" s="47"/>
      <c r="D727" s="26"/>
      <c r="E727" s="27"/>
      <c r="F727" s="25"/>
      <c r="G727" s="25"/>
      <c r="H727" s="25"/>
      <c r="I727" s="25"/>
      <c r="J727" s="25"/>
      <c r="K727" s="25"/>
      <c r="L727" s="25"/>
      <c r="M727" s="25"/>
      <c r="N727" s="25"/>
      <c r="O727" s="25"/>
      <c r="P727" s="25"/>
      <c r="Q727" s="25"/>
      <c r="R727" s="25"/>
      <c r="S727" s="151"/>
      <c r="T727" s="151"/>
      <c r="U727" s="151"/>
      <c r="V727" s="73"/>
      <c r="W727" s="28"/>
      <c r="X727" s="24"/>
    </row>
    <row r="728" spans="2:24">
      <c r="B728" s="24"/>
      <c r="C728" s="47"/>
      <c r="D728" s="26"/>
      <c r="E728" s="27"/>
      <c r="F728" s="25"/>
      <c r="G728" s="25"/>
      <c r="H728" s="25"/>
      <c r="I728" s="25"/>
      <c r="J728" s="25"/>
      <c r="K728" s="25"/>
      <c r="L728" s="25"/>
      <c r="M728" s="25"/>
      <c r="N728" s="25"/>
      <c r="O728" s="25"/>
      <c r="P728" s="25"/>
      <c r="Q728" s="25"/>
      <c r="R728" s="25"/>
      <c r="S728" s="151"/>
      <c r="T728" s="151"/>
      <c r="U728" s="151"/>
      <c r="V728" s="73"/>
      <c r="W728" s="28"/>
      <c r="X728" s="24"/>
    </row>
    <row r="729" spans="2:24">
      <c r="B729" s="24"/>
      <c r="C729" s="47"/>
      <c r="D729" s="26"/>
      <c r="E729" s="27"/>
      <c r="F729" s="25"/>
      <c r="G729" s="25"/>
      <c r="H729" s="25"/>
      <c r="I729" s="25"/>
      <c r="J729" s="25"/>
      <c r="K729" s="25"/>
      <c r="L729" s="25"/>
      <c r="M729" s="25"/>
      <c r="N729" s="25"/>
      <c r="O729" s="25"/>
      <c r="P729" s="25"/>
      <c r="Q729" s="25"/>
      <c r="R729" s="25"/>
      <c r="S729" s="151"/>
      <c r="T729" s="151"/>
      <c r="U729" s="151"/>
      <c r="V729" s="73"/>
      <c r="W729" s="28"/>
      <c r="X729" s="24"/>
    </row>
    <row r="730" spans="2:24">
      <c r="B730" s="24"/>
      <c r="C730" s="47"/>
      <c r="D730" s="26"/>
      <c r="E730" s="27"/>
      <c r="F730" s="25"/>
      <c r="G730" s="25"/>
      <c r="H730" s="25"/>
      <c r="I730" s="25"/>
      <c r="J730" s="25"/>
      <c r="K730" s="25"/>
      <c r="L730" s="25"/>
      <c r="M730" s="25"/>
      <c r="N730" s="25"/>
      <c r="O730" s="25"/>
      <c r="P730" s="25"/>
      <c r="Q730" s="25"/>
      <c r="R730" s="25"/>
      <c r="S730" s="151"/>
      <c r="T730" s="151"/>
      <c r="U730" s="151"/>
      <c r="V730" s="73"/>
      <c r="W730" s="28"/>
      <c r="X730" s="24"/>
    </row>
    <row r="731" spans="2:24">
      <c r="B731" s="24"/>
      <c r="C731" s="47"/>
      <c r="D731" s="26"/>
      <c r="E731" s="27"/>
      <c r="F731" s="25"/>
      <c r="G731" s="25"/>
      <c r="H731" s="25"/>
      <c r="I731" s="25"/>
      <c r="J731" s="25"/>
      <c r="K731" s="25"/>
      <c r="L731" s="25"/>
      <c r="M731" s="25"/>
      <c r="N731" s="25"/>
      <c r="O731" s="25"/>
      <c r="P731" s="25"/>
      <c r="Q731" s="25"/>
      <c r="R731" s="25"/>
      <c r="S731" s="151"/>
      <c r="T731" s="151"/>
      <c r="U731" s="151"/>
      <c r="V731" s="73"/>
      <c r="W731" s="28"/>
      <c r="X731" s="24"/>
    </row>
    <row r="732" spans="2:24">
      <c r="B732" s="24"/>
      <c r="C732" s="47"/>
      <c r="D732" s="26"/>
      <c r="E732" s="27"/>
      <c r="F732" s="25"/>
      <c r="G732" s="25"/>
      <c r="H732" s="25"/>
      <c r="I732" s="25"/>
      <c r="J732" s="25"/>
      <c r="K732" s="25"/>
      <c r="L732" s="25"/>
      <c r="M732" s="25"/>
      <c r="N732" s="25"/>
      <c r="O732" s="25"/>
      <c r="P732" s="25"/>
      <c r="Q732" s="25"/>
      <c r="R732" s="25"/>
      <c r="S732" s="151"/>
      <c r="T732" s="151"/>
      <c r="U732" s="151"/>
      <c r="V732" s="73"/>
      <c r="W732" s="28"/>
      <c r="X732" s="24"/>
    </row>
    <row r="733" spans="2:24">
      <c r="B733" s="24"/>
      <c r="C733" s="47"/>
      <c r="D733" s="26"/>
      <c r="E733" s="27"/>
      <c r="F733" s="25"/>
      <c r="G733" s="25"/>
      <c r="H733" s="25"/>
      <c r="I733" s="25"/>
      <c r="J733" s="25"/>
      <c r="K733" s="25"/>
      <c r="L733" s="25"/>
      <c r="M733" s="25"/>
      <c r="N733" s="25"/>
      <c r="O733" s="25"/>
      <c r="P733" s="25"/>
      <c r="Q733" s="25"/>
      <c r="R733" s="25"/>
      <c r="S733" s="151"/>
      <c r="T733" s="151"/>
      <c r="U733" s="151"/>
      <c r="V733" s="73"/>
      <c r="W733" s="28"/>
      <c r="X733" s="24"/>
    </row>
    <row r="734" spans="2:24">
      <c r="B734" s="24"/>
      <c r="C734" s="47"/>
      <c r="D734" s="26"/>
      <c r="E734" s="27"/>
      <c r="F734" s="25"/>
      <c r="G734" s="25"/>
      <c r="H734" s="25"/>
      <c r="I734" s="25"/>
      <c r="J734" s="25"/>
      <c r="K734" s="25"/>
      <c r="L734" s="25"/>
      <c r="M734" s="25"/>
      <c r="N734" s="25"/>
      <c r="O734" s="25"/>
      <c r="P734" s="25"/>
      <c r="Q734" s="25"/>
      <c r="R734" s="25"/>
      <c r="S734" s="151"/>
      <c r="T734" s="151"/>
      <c r="U734" s="151"/>
      <c r="V734" s="73"/>
      <c r="W734" s="28"/>
      <c r="X734" s="24"/>
    </row>
    <row r="735" spans="2:24">
      <c r="B735" s="24"/>
      <c r="C735" s="47"/>
      <c r="D735" s="26"/>
      <c r="E735" s="27"/>
      <c r="F735" s="25"/>
      <c r="G735" s="25"/>
      <c r="H735" s="25"/>
      <c r="I735" s="25"/>
      <c r="J735" s="25"/>
      <c r="K735" s="25"/>
      <c r="L735" s="25"/>
      <c r="M735" s="25"/>
      <c r="N735" s="25"/>
      <c r="O735" s="25"/>
      <c r="P735" s="25"/>
      <c r="Q735" s="25"/>
      <c r="R735" s="25"/>
      <c r="S735" s="151"/>
      <c r="T735" s="151"/>
      <c r="U735" s="151"/>
      <c r="V735" s="73"/>
      <c r="W735" s="28"/>
      <c r="X735" s="24"/>
    </row>
    <row r="736" spans="2:24">
      <c r="B736" s="24"/>
      <c r="C736" s="47"/>
      <c r="D736" s="26"/>
      <c r="E736" s="27"/>
      <c r="F736" s="25"/>
      <c r="G736" s="25"/>
      <c r="H736" s="25"/>
      <c r="I736" s="25"/>
      <c r="J736" s="25"/>
      <c r="K736" s="25"/>
      <c r="L736" s="25"/>
      <c r="M736" s="25"/>
      <c r="N736" s="25"/>
      <c r="O736" s="25"/>
      <c r="P736" s="25"/>
      <c r="Q736" s="25"/>
      <c r="R736" s="25"/>
      <c r="S736" s="151"/>
      <c r="T736" s="151"/>
      <c r="U736" s="151"/>
      <c r="V736" s="73"/>
      <c r="W736" s="28"/>
      <c r="X736" s="24"/>
    </row>
    <row r="737" spans="2:24">
      <c r="B737" s="24"/>
      <c r="C737" s="47"/>
      <c r="D737" s="26"/>
      <c r="E737" s="27"/>
      <c r="F737" s="25"/>
      <c r="G737" s="25"/>
      <c r="H737" s="25"/>
      <c r="I737" s="25"/>
      <c r="J737" s="25"/>
      <c r="K737" s="25"/>
      <c r="L737" s="25"/>
      <c r="M737" s="25"/>
      <c r="N737" s="25"/>
      <c r="O737" s="25"/>
      <c r="P737" s="25"/>
      <c r="Q737" s="25"/>
      <c r="R737" s="25"/>
      <c r="S737" s="151"/>
      <c r="T737" s="151"/>
      <c r="U737" s="151"/>
      <c r="V737" s="73"/>
      <c r="W737" s="28"/>
      <c r="X737" s="24"/>
    </row>
    <row r="738" spans="2:24">
      <c r="B738" s="24"/>
      <c r="C738" s="47"/>
      <c r="D738" s="26"/>
      <c r="E738" s="27"/>
      <c r="F738" s="25"/>
      <c r="G738" s="25"/>
      <c r="H738" s="25"/>
      <c r="I738" s="25"/>
      <c r="J738" s="25"/>
      <c r="K738" s="25"/>
      <c r="L738" s="25"/>
      <c r="M738" s="25"/>
      <c r="N738" s="25"/>
      <c r="O738" s="25"/>
      <c r="P738" s="25"/>
      <c r="Q738" s="25"/>
      <c r="R738" s="25"/>
      <c r="S738" s="151"/>
      <c r="T738" s="151"/>
      <c r="U738" s="151"/>
      <c r="V738" s="73"/>
      <c r="W738" s="28"/>
      <c r="X738" s="24"/>
    </row>
    <row r="739" spans="2:24">
      <c r="B739" s="24"/>
      <c r="C739" s="47"/>
      <c r="D739" s="26"/>
      <c r="E739" s="27"/>
      <c r="F739" s="25"/>
      <c r="G739" s="25"/>
      <c r="H739" s="25"/>
      <c r="I739" s="58"/>
      <c r="J739" s="25"/>
      <c r="K739" s="25"/>
      <c r="L739" s="25"/>
      <c r="M739" s="25"/>
      <c r="N739" s="25"/>
      <c r="O739" s="25"/>
      <c r="P739" s="25"/>
      <c r="Q739" s="25"/>
      <c r="R739" s="25"/>
      <c r="S739" s="151"/>
      <c r="T739" s="151"/>
      <c r="U739" s="151"/>
      <c r="V739" s="73"/>
      <c r="W739" s="28"/>
      <c r="X739" s="24"/>
    </row>
    <row r="740" spans="2:24">
      <c r="B740" s="24"/>
      <c r="C740" s="47"/>
      <c r="D740" s="26"/>
      <c r="E740" s="27"/>
      <c r="F740" s="25"/>
      <c r="G740" s="25"/>
      <c r="H740" s="25"/>
      <c r="I740" s="25"/>
      <c r="J740" s="25"/>
      <c r="K740" s="25"/>
      <c r="L740" s="25"/>
      <c r="M740" s="25"/>
      <c r="N740" s="25"/>
      <c r="O740" s="25"/>
      <c r="P740" s="25"/>
      <c r="Q740" s="25"/>
      <c r="R740" s="25"/>
      <c r="S740" s="151"/>
      <c r="T740" s="151"/>
      <c r="U740" s="151"/>
      <c r="V740" s="73"/>
      <c r="W740" s="28"/>
      <c r="X740" s="24"/>
    </row>
    <row r="741" spans="2:24">
      <c r="B741" s="24"/>
      <c r="C741" s="47"/>
      <c r="D741" s="26"/>
      <c r="E741" s="27"/>
      <c r="F741" s="25"/>
      <c r="G741" s="25"/>
      <c r="H741" s="25"/>
      <c r="I741" s="25"/>
      <c r="J741" s="25"/>
      <c r="K741" s="25"/>
      <c r="L741" s="25"/>
      <c r="M741" s="25"/>
      <c r="N741" s="25"/>
      <c r="O741" s="25"/>
      <c r="P741" s="25"/>
      <c r="Q741" s="25"/>
      <c r="R741" s="25"/>
      <c r="S741" s="151"/>
      <c r="T741" s="151"/>
      <c r="U741" s="151"/>
      <c r="V741" s="73"/>
      <c r="W741" s="28"/>
      <c r="X741" s="24"/>
    </row>
    <row r="742" spans="2:24">
      <c r="B742" s="24"/>
      <c r="C742" s="47"/>
      <c r="D742" s="26"/>
      <c r="E742" s="27"/>
      <c r="F742" s="25"/>
      <c r="G742" s="25"/>
      <c r="H742" s="25"/>
      <c r="I742" s="25"/>
      <c r="J742" s="25"/>
      <c r="K742" s="25"/>
      <c r="L742" s="25"/>
      <c r="M742" s="25"/>
      <c r="N742" s="25"/>
      <c r="O742" s="25"/>
      <c r="P742" s="25"/>
      <c r="Q742" s="25"/>
      <c r="R742" s="25"/>
      <c r="S742" s="151"/>
      <c r="T742" s="151"/>
      <c r="U742" s="151"/>
      <c r="V742" s="73"/>
      <c r="W742" s="28"/>
      <c r="X742" s="24"/>
    </row>
    <row r="743" spans="2:24">
      <c r="B743" s="24"/>
      <c r="C743" s="47"/>
      <c r="D743" s="26"/>
      <c r="E743" s="27"/>
      <c r="F743" s="25"/>
      <c r="G743" s="25"/>
      <c r="H743" s="25"/>
      <c r="I743" s="25"/>
      <c r="J743" s="25"/>
      <c r="K743" s="25"/>
      <c r="L743" s="25"/>
      <c r="M743" s="25"/>
      <c r="N743" s="25"/>
      <c r="O743" s="25"/>
      <c r="P743" s="25"/>
      <c r="Q743" s="25"/>
      <c r="R743" s="25"/>
      <c r="S743" s="151"/>
      <c r="T743" s="151"/>
      <c r="U743" s="151"/>
      <c r="V743" s="73"/>
      <c r="W743" s="28"/>
      <c r="X743" s="24"/>
    </row>
    <row r="744" spans="2:24">
      <c r="B744" s="24"/>
      <c r="C744" s="47"/>
      <c r="D744" s="26"/>
      <c r="E744" s="27"/>
      <c r="F744" s="25"/>
      <c r="G744" s="25"/>
      <c r="H744" s="25"/>
      <c r="I744" s="25"/>
      <c r="J744" s="25"/>
      <c r="K744" s="25"/>
      <c r="L744" s="25"/>
      <c r="M744" s="25"/>
      <c r="N744" s="25"/>
      <c r="O744" s="25"/>
      <c r="P744" s="25"/>
      <c r="Q744" s="25"/>
      <c r="R744" s="25"/>
      <c r="S744" s="151"/>
      <c r="T744" s="151"/>
      <c r="U744" s="151"/>
      <c r="V744" s="73"/>
      <c r="W744" s="28"/>
      <c r="X744" s="24"/>
    </row>
    <row r="745" spans="2:24">
      <c r="B745" s="24"/>
      <c r="C745" s="47"/>
      <c r="D745" s="26"/>
      <c r="E745" s="27"/>
      <c r="F745" s="25"/>
      <c r="G745" s="25"/>
      <c r="H745" s="25"/>
      <c r="I745" s="25"/>
      <c r="J745" s="25"/>
      <c r="K745" s="25"/>
      <c r="L745" s="25"/>
      <c r="M745" s="25"/>
      <c r="N745" s="25"/>
      <c r="O745" s="25"/>
      <c r="P745" s="25"/>
      <c r="Q745" s="25"/>
      <c r="R745" s="25"/>
      <c r="S745" s="151"/>
      <c r="T745" s="151"/>
      <c r="U745" s="151"/>
      <c r="V745" s="73"/>
      <c r="W745" s="28"/>
      <c r="X745" s="24"/>
    </row>
    <row r="746" spans="2:24">
      <c r="B746" s="24"/>
      <c r="C746" s="47"/>
      <c r="D746" s="26"/>
      <c r="E746" s="27"/>
      <c r="F746" s="25"/>
      <c r="G746" s="25"/>
      <c r="H746" s="25"/>
      <c r="I746" s="25"/>
      <c r="J746" s="25"/>
      <c r="K746" s="25"/>
      <c r="L746" s="25"/>
      <c r="M746" s="25"/>
      <c r="N746" s="25"/>
      <c r="O746" s="25"/>
      <c r="P746" s="25"/>
      <c r="Q746" s="25"/>
      <c r="R746" s="25"/>
      <c r="S746" s="151"/>
      <c r="T746" s="151"/>
      <c r="U746" s="151"/>
      <c r="V746" s="73"/>
      <c r="W746" s="28"/>
      <c r="X746" s="24"/>
    </row>
    <row r="747" spans="2:24">
      <c r="B747" s="24"/>
      <c r="C747" s="47"/>
      <c r="D747" s="26"/>
      <c r="E747" s="27"/>
      <c r="F747" s="25"/>
      <c r="G747" s="25"/>
      <c r="H747" s="25"/>
      <c r="I747" s="25"/>
      <c r="J747" s="25"/>
      <c r="K747" s="25"/>
      <c r="L747" s="25"/>
      <c r="M747" s="25"/>
      <c r="N747" s="25"/>
      <c r="O747" s="25"/>
      <c r="P747" s="25"/>
      <c r="Q747" s="25"/>
      <c r="R747" s="25"/>
      <c r="S747" s="151"/>
      <c r="T747" s="151"/>
      <c r="U747" s="151"/>
      <c r="V747" s="73"/>
      <c r="W747" s="28"/>
      <c r="X747" s="24"/>
    </row>
    <row r="748" spans="2:24">
      <c r="B748" s="24"/>
      <c r="C748" s="47"/>
      <c r="D748" s="26"/>
      <c r="E748" s="27"/>
      <c r="F748" s="25"/>
      <c r="G748" s="25"/>
      <c r="H748" s="25"/>
      <c r="I748" s="25"/>
      <c r="J748" s="25"/>
      <c r="K748" s="25"/>
      <c r="L748" s="25"/>
      <c r="M748" s="25"/>
      <c r="N748" s="25"/>
      <c r="O748" s="25"/>
      <c r="P748" s="25"/>
      <c r="Q748" s="25"/>
      <c r="R748" s="25"/>
      <c r="S748" s="151"/>
      <c r="T748" s="151"/>
      <c r="U748" s="151"/>
      <c r="V748" s="73"/>
      <c r="W748" s="28"/>
      <c r="X748" s="24"/>
    </row>
    <row r="749" spans="2:24">
      <c r="B749" s="24"/>
      <c r="C749" s="47"/>
      <c r="D749" s="26"/>
      <c r="E749" s="27"/>
      <c r="F749" s="25"/>
      <c r="G749" s="25"/>
      <c r="H749" s="25"/>
      <c r="I749" s="25"/>
      <c r="J749" s="25"/>
      <c r="K749" s="25"/>
      <c r="L749" s="25"/>
      <c r="M749" s="25"/>
      <c r="N749" s="25"/>
      <c r="O749" s="25"/>
      <c r="P749" s="25"/>
      <c r="Q749" s="25"/>
      <c r="R749" s="25"/>
      <c r="S749" s="151"/>
      <c r="T749" s="151"/>
      <c r="U749" s="151"/>
      <c r="V749" s="73"/>
      <c r="W749" s="28"/>
      <c r="X749" s="24"/>
    </row>
    <row r="750" spans="2:24">
      <c r="B750" s="24"/>
      <c r="C750" s="47"/>
      <c r="D750" s="26"/>
      <c r="E750" s="27"/>
      <c r="F750" s="25"/>
      <c r="G750" s="25"/>
      <c r="H750" s="25"/>
      <c r="I750" s="25"/>
      <c r="J750" s="25"/>
      <c r="K750" s="25"/>
      <c r="L750" s="25"/>
      <c r="M750" s="25"/>
      <c r="N750" s="25"/>
      <c r="O750" s="25"/>
      <c r="P750" s="25"/>
      <c r="Q750" s="25"/>
      <c r="R750" s="25"/>
      <c r="S750" s="151"/>
      <c r="T750" s="151"/>
      <c r="U750" s="151"/>
      <c r="V750" s="73"/>
      <c r="W750" s="28"/>
      <c r="X750" s="24"/>
    </row>
    <row r="751" spans="2:24">
      <c r="B751" s="24"/>
      <c r="C751" s="47"/>
      <c r="D751" s="26"/>
      <c r="E751" s="27"/>
      <c r="F751" s="25"/>
      <c r="G751" s="25"/>
      <c r="H751" s="25"/>
      <c r="I751" s="25"/>
      <c r="J751" s="25"/>
      <c r="K751" s="25"/>
      <c r="L751" s="25"/>
      <c r="M751" s="25"/>
      <c r="N751" s="25"/>
      <c r="O751" s="25"/>
      <c r="P751" s="25"/>
      <c r="Q751" s="25"/>
      <c r="R751" s="25"/>
      <c r="S751" s="151"/>
      <c r="T751" s="151"/>
      <c r="U751" s="151"/>
      <c r="V751" s="73"/>
      <c r="W751" s="28"/>
      <c r="X751" s="24"/>
    </row>
    <row r="752" spans="2:24">
      <c r="B752" s="24"/>
      <c r="C752" s="47"/>
      <c r="D752" s="26"/>
      <c r="E752" s="27"/>
      <c r="F752" s="25"/>
      <c r="G752" s="25"/>
      <c r="H752" s="25"/>
      <c r="I752" s="25"/>
      <c r="J752" s="25"/>
      <c r="K752" s="25"/>
      <c r="L752" s="25"/>
      <c r="M752" s="25"/>
      <c r="N752" s="25"/>
      <c r="O752" s="25"/>
      <c r="P752" s="25"/>
      <c r="Q752" s="25"/>
      <c r="R752" s="25"/>
      <c r="S752" s="151"/>
      <c r="T752" s="151"/>
      <c r="U752" s="151"/>
      <c r="V752" s="73"/>
      <c r="W752" s="28"/>
      <c r="X752" s="24"/>
    </row>
    <row r="753" spans="2:24">
      <c r="B753" s="24"/>
      <c r="C753" s="47"/>
      <c r="D753" s="26"/>
      <c r="E753" s="27"/>
      <c r="F753" s="25"/>
      <c r="G753" s="25"/>
      <c r="H753" s="25"/>
      <c r="I753" s="25"/>
      <c r="J753" s="25"/>
      <c r="K753" s="25"/>
      <c r="L753" s="25"/>
      <c r="M753" s="25"/>
      <c r="N753" s="25"/>
      <c r="O753" s="25"/>
      <c r="P753" s="25"/>
      <c r="Q753" s="25"/>
      <c r="R753" s="25"/>
      <c r="S753" s="151"/>
      <c r="T753" s="151"/>
      <c r="U753" s="151"/>
      <c r="V753" s="73"/>
      <c r="W753" s="28"/>
      <c r="X753" s="24"/>
    </row>
    <row r="754" spans="2:24">
      <c r="B754" s="24"/>
      <c r="C754" s="47"/>
      <c r="D754" s="26"/>
      <c r="E754" s="27"/>
      <c r="F754" s="25"/>
      <c r="G754" s="25"/>
      <c r="H754" s="25"/>
      <c r="I754" s="25"/>
      <c r="J754" s="25"/>
      <c r="K754" s="25"/>
      <c r="L754" s="25"/>
      <c r="M754" s="25"/>
      <c r="N754" s="25"/>
      <c r="O754" s="25"/>
      <c r="P754" s="25"/>
      <c r="Q754" s="25"/>
      <c r="R754" s="25"/>
      <c r="S754" s="151"/>
      <c r="T754" s="151"/>
      <c r="U754" s="151"/>
      <c r="V754" s="73"/>
      <c r="W754" s="28"/>
      <c r="X754" s="24"/>
    </row>
    <row r="755" spans="2:24">
      <c r="B755" s="24"/>
      <c r="C755" s="47"/>
      <c r="D755" s="26"/>
      <c r="E755" s="27"/>
      <c r="F755" s="25"/>
      <c r="G755" s="25"/>
      <c r="H755" s="25"/>
      <c r="I755" s="25"/>
      <c r="J755" s="25"/>
      <c r="K755" s="25"/>
      <c r="L755" s="25"/>
      <c r="M755" s="25"/>
      <c r="N755" s="25"/>
      <c r="O755" s="25"/>
      <c r="P755" s="25"/>
      <c r="Q755" s="25"/>
      <c r="R755" s="25"/>
      <c r="S755" s="151"/>
      <c r="T755" s="151"/>
      <c r="U755" s="151"/>
      <c r="V755" s="73"/>
      <c r="W755" s="28"/>
      <c r="X755" s="24"/>
    </row>
    <row r="756" spans="2:24">
      <c r="B756" s="24"/>
      <c r="C756" s="47"/>
      <c r="D756" s="26"/>
      <c r="E756" s="27"/>
      <c r="F756" s="25"/>
      <c r="G756" s="25"/>
      <c r="H756" s="25"/>
      <c r="I756" s="25"/>
      <c r="J756" s="25"/>
      <c r="K756" s="25"/>
      <c r="L756" s="25"/>
      <c r="M756" s="25"/>
      <c r="N756" s="25"/>
      <c r="O756" s="25"/>
      <c r="P756" s="25"/>
      <c r="Q756" s="25"/>
      <c r="R756" s="25"/>
      <c r="S756" s="151"/>
      <c r="T756" s="151"/>
      <c r="U756" s="151"/>
      <c r="V756" s="73"/>
      <c r="W756" s="28"/>
      <c r="X756" s="24"/>
    </row>
    <row r="757" spans="2:24">
      <c r="B757" s="24"/>
      <c r="C757" s="47"/>
      <c r="D757" s="26"/>
      <c r="E757" s="27"/>
      <c r="F757" s="25"/>
      <c r="G757" s="25"/>
      <c r="H757" s="25"/>
      <c r="I757" s="25"/>
      <c r="J757" s="25"/>
      <c r="K757" s="25"/>
      <c r="L757" s="25"/>
      <c r="M757" s="25"/>
      <c r="N757" s="25"/>
      <c r="O757" s="25"/>
      <c r="P757" s="25"/>
      <c r="Q757" s="25"/>
      <c r="R757" s="25"/>
      <c r="S757" s="151"/>
      <c r="T757" s="151"/>
      <c r="U757" s="151"/>
      <c r="V757" s="73"/>
      <c r="W757" s="28"/>
      <c r="X757" s="24"/>
    </row>
    <row r="758" spans="2:24">
      <c r="B758" s="24"/>
      <c r="C758" s="47"/>
      <c r="D758" s="26"/>
      <c r="E758" s="27"/>
      <c r="F758" s="25"/>
      <c r="G758" s="25"/>
      <c r="H758" s="25"/>
      <c r="I758" s="25"/>
      <c r="J758" s="25"/>
      <c r="K758" s="25"/>
      <c r="L758" s="25"/>
      <c r="M758" s="25"/>
      <c r="N758" s="25"/>
      <c r="O758" s="25"/>
      <c r="P758" s="25"/>
      <c r="Q758" s="25"/>
      <c r="R758" s="25"/>
      <c r="S758" s="151"/>
      <c r="T758" s="151"/>
      <c r="U758" s="151"/>
      <c r="V758" s="73"/>
      <c r="W758" s="28"/>
      <c r="X758" s="24"/>
    </row>
    <row r="759" spans="2:24">
      <c r="B759" s="24"/>
      <c r="C759" s="47"/>
      <c r="D759" s="26"/>
      <c r="E759" s="27"/>
      <c r="F759" s="25"/>
      <c r="G759" s="25"/>
      <c r="H759" s="25"/>
      <c r="I759" s="25"/>
      <c r="J759" s="25"/>
      <c r="K759" s="25"/>
      <c r="L759" s="25"/>
      <c r="M759" s="25"/>
      <c r="N759" s="25"/>
      <c r="O759" s="25"/>
      <c r="P759" s="25"/>
      <c r="Q759" s="25"/>
      <c r="R759" s="25"/>
      <c r="S759" s="151"/>
      <c r="T759" s="151"/>
      <c r="U759" s="151"/>
      <c r="V759" s="73"/>
      <c r="W759" s="28"/>
      <c r="X759" s="24"/>
    </row>
    <row r="760" spans="2:24">
      <c r="B760" s="24"/>
      <c r="C760" s="47"/>
      <c r="D760" s="26"/>
      <c r="E760" s="27"/>
      <c r="F760" s="25"/>
      <c r="G760" s="25"/>
      <c r="H760" s="25"/>
      <c r="I760" s="25"/>
      <c r="J760" s="25"/>
      <c r="K760" s="25"/>
      <c r="L760" s="25"/>
      <c r="M760" s="25"/>
      <c r="N760" s="25"/>
      <c r="O760" s="25"/>
      <c r="P760" s="25"/>
      <c r="Q760" s="25"/>
      <c r="R760" s="25"/>
      <c r="S760" s="151"/>
      <c r="T760" s="151"/>
      <c r="U760" s="151"/>
      <c r="V760" s="73"/>
      <c r="W760" s="28"/>
      <c r="X760" s="24"/>
    </row>
    <row r="761" spans="2:24">
      <c r="B761" s="24"/>
      <c r="C761" s="47"/>
      <c r="D761" s="26"/>
      <c r="E761" s="27"/>
      <c r="F761" s="25"/>
      <c r="G761" s="25"/>
      <c r="H761" s="25"/>
      <c r="I761" s="25"/>
      <c r="J761" s="25"/>
      <c r="K761" s="25"/>
      <c r="L761" s="25"/>
      <c r="M761" s="25"/>
      <c r="N761" s="25"/>
      <c r="O761" s="25"/>
      <c r="P761" s="25"/>
      <c r="Q761" s="25"/>
      <c r="R761" s="25"/>
      <c r="S761" s="151"/>
      <c r="T761" s="151"/>
      <c r="U761" s="151"/>
      <c r="V761" s="73"/>
      <c r="W761" s="28"/>
      <c r="X761" s="24"/>
    </row>
    <row r="762" spans="2:24">
      <c r="B762" s="24"/>
      <c r="C762" s="47"/>
      <c r="D762" s="26"/>
      <c r="E762" s="27"/>
      <c r="F762" s="25"/>
      <c r="G762" s="25"/>
      <c r="H762" s="25"/>
      <c r="I762" s="25"/>
      <c r="J762" s="25"/>
      <c r="K762" s="25"/>
      <c r="L762" s="25"/>
      <c r="M762" s="25"/>
      <c r="N762" s="25"/>
      <c r="O762" s="25"/>
      <c r="P762" s="25"/>
      <c r="Q762" s="25"/>
      <c r="R762" s="25"/>
      <c r="S762" s="151"/>
      <c r="T762" s="151"/>
      <c r="U762" s="151"/>
      <c r="V762" s="73"/>
      <c r="W762" s="28"/>
      <c r="X762" s="24"/>
    </row>
    <row r="763" spans="2:24">
      <c r="B763" s="24"/>
      <c r="C763" s="47"/>
      <c r="D763" s="26"/>
      <c r="E763" s="27"/>
      <c r="F763" s="25"/>
      <c r="G763" s="25"/>
      <c r="H763" s="25"/>
      <c r="I763" s="25"/>
      <c r="J763" s="25"/>
      <c r="K763" s="25"/>
      <c r="L763" s="25"/>
      <c r="M763" s="25"/>
      <c r="N763" s="25"/>
      <c r="O763" s="25"/>
      <c r="P763" s="25"/>
      <c r="Q763" s="25"/>
      <c r="R763" s="25"/>
      <c r="S763" s="151"/>
      <c r="T763" s="151"/>
      <c r="U763" s="151"/>
      <c r="V763" s="73"/>
      <c r="W763" s="28"/>
      <c r="X763" s="24"/>
    </row>
    <row r="764" spans="2:24">
      <c r="B764" s="24"/>
      <c r="C764" s="47"/>
      <c r="D764" s="26"/>
      <c r="E764" s="27"/>
      <c r="F764" s="25"/>
      <c r="G764" s="25"/>
      <c r="H764" s="25"/>
      <c r="I764" s="25"/>
      <c r="J764" s="25"/>
      <c r="K764" s="25"/>
      <c r="L764" s="25"/>
      <c r="M764" s="25"/>
      <c r="N764" s="25"/>
      <c r="O764" s="25"/>
      <c r="P764" s="25"/>
      <c r="Q764" s="25"/>
      <c r="R764" s="25"/>
      <c r="S764" s="151"/>
      <c r="T764" s="151"/>
      <c r="U764" s="151"/>
      <c r="V764" s="73"/>
      <c r="W764" s="28"/>
      <c r="X764" s="24"/>
    </row>
    <row r="765" spans="2:24">
      <c r="B765" s="24"/>
      <c r="C765" s="47"/>
      <c r="D765" s="26"/>
      <c r="E765" s="27"/>
      <c r="F765" s="25"/>
      <c r="G765" s="25"/>
      <c r="H765" s="25"/>
      <c r="I765" s="25"/>
      <c r="J765" s="25"/>
      <c r="K765" s="25"/>
      <c r="L765" s="25"/>
      <c r="M765" s="25"/>
      <c r="N765" s="25"/>
      <c r="O765" s="25"/>
      <c r="P765" s="25"/>
      <c r="Q765" s="25"/>
      <c r="R765" s="25"/>
      <c r="S765" s="151"/>
      <c r="T765" s="151"/>
      <c r="U765" s="151"/>
      <c r="V765" s="73"/>
      <c r="W765" s="28"/>
      <c r="X765" s="24"/>
    </row>
    <row r="766" spans="2:24">
      <c r="B766" s="24"/>
      <c r="C766" s="47"/>
      <c r="D766" s="26"/>
      <c r="E766" s="27"/>
      <c r="F766" s="25"/>
      <c r="G766" s="25"/>
      <c r="H766" s="25"/>
      <c r="I766" s="25"/>
      <c r="J766" s="25"/>
      <c r="K766" s="25"/>
      <c r="L766" s="25"/>
      <c r="M766" s="25"/>
      <c r="N766" s="25"/>
      <c r="O766" s="25"/>
      <c r="P766" s="25"/>
      <c r="Q766" s="25"/>
      <c r="R766" s="25"/>
      <c r="S766" s="151"/>
      <c r="T766" s="151"/>
      <c r="U766" s="151"/>
      <c r="V766" s="73"/>
      <c r="W766" s="28"/>
      <c r="X766" s="24"/>
    </row>
    <row r="767" spans="2:24">
      <c r="B767" s="24"/>
      <c r="C767" s="47"/>
      <c r="D767" s="26"/>
      <c r="E767" s="27"/>
      <c r="F767" s="25"/>
      <c r="G767" s="25"/>
      <c r="H767" s="25"/>
      <c r="I767" s="25"/>
      <c r="J767" s="25"/>
      <c r="K767" s="25"/>
      <c r="L767" s="25"/>
      <c r="M767" s="25"/>
      <c r="N767" s="25"/>
      <c r="O767" s="25"/>
      <c r="P767" s="25"/>
      <c r="Q767" s="25"/>
      <c r="R767" s="25"/>
      <c r="S767" s="151"/>
      <c r="T767" s="151"/>
      <c r="U767" s="151"/>
      <c r="V767" s="73"/>
      <c r="W767" s="28"/>
      <c r="X767" s="24"/>
    </row>
    <row r="768" spans="2:24">
      <c r="B768" s="24"/>
      <c r="C768" s="47"/>
      <c r="D768" s="26"/>
      <c r="E768" s="27"/>
      <c r="F768" s="25"/>
      <c r="G768" s="25"/>
      <c r="H768" s="25"/>
      <c r="I768" s="25"/>
      <c r="J768" s="25"/>
      <c r="K768" s="25"/>
      <c r="L768" s="25"/>
      <c r="M768" s="25"/>
      <c r="N768" s="25"/>
      <c r="O768" s="25"/>
      <c r="P768" s="25"/>
      <c r="Q768" s="25"/>
      <c r="R768" s="25"/>
      <c r="S768" s="151"/>
      <c r="T768" s="151"/>
      <c r="U768" s="151"/>
      <c r="V768" s="73"/>
      <c r="W768" s="28"/>
      <c r="X768" s="24"/>
    </row>
    <row r="769" spans="2:24">
      <c r="B769" s="24"/>
      <c r="C769" s="47"/>
      <c r="D769" s="26"/>
      <c r="E769" s="27"/>
      <c r="F769" s="25"/>
      <c r="G769" s="25"/>
      <c r="H769" s="25"/>
      <c r="I769" s="25"/>
      <c r="J769" s="25"/>
      <c r="K769" s="25"/>
      <c r="L769" s="25"/>
      <c r="M769" s="25"/>
      <c r="N769" s="25"/>
      <c r="O769" s="25"/>
      <c r="P769" s="25"/>
      <c r="Q769" s="25"/>
      <c r="R769" s="25"/>
      <c r="S769" s="151"/>
      <c r="T769" s="151"/>
      <c r="U769" s="151"/>
      <c r="V769" s="73"/>
      <c r="W769" s="28"/>
      <c r="X769" s="24"/>
    </row>
    <row r="770" spans="2:24">
      <c r="B770" s="24"/>
      <c r="C770" s="47"/>
      <c r="D770" s="26"/>
      <c r="E770" s="27"/>
      <c r="F770" s="25"/>
      <c r="G770" s="25"/>
      <c r="H770" s="25"/>
      <c r="I770" s="25"/>
      <c r="J770" s="25"/>
      <c r="K770" s="25"/>
      <c r="L770" s="25"/>
      <c r="M770" s="25"/>
      <c r="N770" s="25"/>
      <c r="O770" s="25"/>
      <c r="P770" s="25"/>
      <c r="Q770" s="25"/>
      <c r="R770" s="25"/>
      <c r="S770" s="151"/>
      <c r="T770" s="151"/>
      <c r="U770" s="151"/>
      <c r="V770" s="73"/>
      <c r="W770" s="28"/>
      <c r="X770" s="24"/>
    </row>
    <row r="771" spans="2:24">
      <c r="B771" s="24"/>
      <c r="C771" s="47"/>
      <c r="D771" s="26"/>
      <c r="E771" s="27"/>
      <c r="F771" s="25"/>
      <c r="G771" s="25"/>
      <c r="H771" s="25"/>
      <c r="I771" s="25"/>
      <c r="J771" s="25"/>
      <c r="K771" s="25"/>
      <c r="L771" s="25"/>
      <c r="M771" s="25"/>
      <c r="N771" s="25"/>
      <c r="O771" s="25"/>
      <c r="P771" s="25"/>
      <c r="Q771" s="25"/>
      <c r="R771" s="25"/>
      <c r="S771" s="151"/>
      <c r="T771" s="151"/>
      <c r="U771" s="151"/>
      <c r="V771" s="73"/>
      <c r="W771" s="28"/>
      <c r="X771" s="24"/>
    </row>
    <row r="772" spans="2:24">
      <c r="B772" s="24"/>
      <c r="C772" s="47"/>
      <c r="D772" s="26"/>
      <c r="E772" s="27"/>
      <c r="F772" s="25"/>
      <c r="G772" s="25"/>
      <c r="H772" s="25"/>
      <c r="I772" s="25"/>
      <c r="J772" s="25"/>
      <c r="K772" s="25"/>
      <c r="L772" s="25"/>
      <c r="M772" s="25"/>
      <c r="N772" s="25"/>
      <c r="O772" s="25"/>
      <c r="P772" s="25"/>
      <c r="Q772" s="25"/>
      <c r="R772" s="25"/>
      <c r="S772" s="151"/>
      <c r="T772" s="151"/>
      <c r="U772" s="151"/>
      <c r="V772" s="73"/>
      <c r="W772" s="28"/>
      <c r="X772" s="24"/>
    </row>
    <row r="773" spans="2:24">
      <c r="B773" s="24"/>
      <c r="C773" s="47"/>
      <c r="D773" s="26"/>
      <c r="E773" s="27"/>
      <c r="F773" s="25"/>
      <c r="G773" s="25"/>
      <c r="H773" s="25"/>
      <c r="I773" s="25"/>
      <c r="J773" s="25"/>
      <c r="K773" s="25"/>
      <c r="L773" s="25"/>
      <c r="M773" s="25"/>
      <c r="N773" s="25"/>
      <c r="O773" s="25"/>
      <c r="P773" s="25"/>
      <c r="Q773" s="25"/>
      <c r="R773" s="25"/>
      <c r="S773" s="151"/>
      <c r="T773" s="151"/>
      <c r="U773" s="151"/>
      <c r="V773" s="73"/>
      <c r="W773" s="28"/>
      <c r="X773" s="24"/>
    </row>
    <row r="774" spans="2:24">
      <c r="B774" s="24"/>
      <c r="C774" s="47"/>
      <c r="D774" s="26"/>
      <c r="E774" s="27"/>
      <c r="F774" s="25"/>
      <c r="G774" s="25"/>
      <c r="H774" s="25"/>
      <c r="I774" s="25"/>
      <c r="J774" s="25"/>
      <c r="K774" s="25"/>
      <c r="L774" s="25"/>
      <c r="M774" s="25"/>
      <c r="N774" s="25"/>
      <c r="O774" s="25"/>
      <c r="P774" s="25"/>
      <c r="Q774" s="25"/>
      <c r="R774" s="25"/>
      <c r="S774" s="151"/>
      <c r="T774" s="151"/>
      <c r="U774" s="151"/>
      <c r="V774" s="73"/>
      <c r="W774" s="28"/>
      <c r="X774" s="24"/>
    </row>
    <row r="775" spans="2:24">
      <c r="B775" s="24"/>
      <c r="C775" s="47"/>
      <c r="D775" s="26"/>
      <c r="E775" s="27"/>
      <c r="F775" s="25"/>
      <c r="G775" s="25"/>
      <c r="H775" s="25"/>
      <c r="I775" s="58"/>
      <c r="J775" s="25"/>
      <c r="K775" s="25"/>
      <c r="L775" s="25"/>
      <c r="M775" s="25"/>
      <c r="N775" s="25"/>
      <c r="O775" s="25"/>
      <c r="P775" s="25"/>
      <c r="Q775" s="25"/>
      <c r="R775" s="25"/>
      <c r="S775" s="151"/>
      <c r="T775" s="151"/>
      <c r="U775" s="151"/>
      <c r="V775" s="73"/>
      <c r="W775" s="28"/>
      <c r="X775" s="24"/>
    </row>
    <row r="776" spans="2:24">
      <c r="B776" s="24"/>
      <c r="C776" s="47"/>
      <c r="D776" s="26"/>
      <c r="E776" s="27"/>
      <c r="F776" s="25"/>
      <c r="G776" s="25"/>
      <c r="H776" s="25"/>
      <c r="I776" s="25"/>
      <c r="J776" s="25"/>
      <c r="K776" s="25"/>
      <c r="L776" s="25"/>
      <c r="M776" s="25"/>
      <c r="N776" s="25"/>
      <c r="O776" s="25"/>
      <c r="P776" s="25"/>
      <c r="Q776" s="25"/>
      <c r="R776" s="25"/>
      <c r="S776" s="151"/>
      <c r="T776" s="151"/>
      <c r="U776" s="151"/>
      <c r="V776" s="73"/>
      <c r="W776" s="28"/>
      <c r="X776" s="24"/>
    </row>
    <row r="777" spans="2:24">
      <c r="B777" s="24"/>
      <c r="C777" s="47"/>
      <c r="D777" s="26"/>
      <c r="E777" s="27"/>
      <c r="F777" s="25"/>
      <c r="G777" s="25"/>
      <c r="H777" s="25"/>
      <c r="I777" s="25"/>
      <c r="J777" s="25"/>
      <c r="K777" s="25"/>
      <c r="L777" s="25"/>
      <c r="M777" s="25"/>
      <c r="N777" s="25"/>
      <c r="O777" s="25"/>
      <c r="P777" s="25"/>
      <c r="Q777" s="25"/>
      <c r="R777" s="25"/>
      <c r="S777" s="151"/>
      <c r="T777" s="151"/>
      <c r="U777" s="151"/>
      <c r="V777" s="73"/>
      <c r="W777" s="28"/>
      <c r="X777" s="24"/>
    </row>
    <row r="778" spans="2:24">
      <c r="B778" s="24"/>
      <c r="C778" s="47"/>
      <c r="D778" s="26"/>
      <c r="E778" s="27"/>
      <c r="F778" s="25"/>
      <c r="G778" s="25"/>
      <c r="H778" s="25"/>
      <c r="I778" s="25"/>
      <c r="J778" s="25"/>
      <c r="K778" s="25"/>
      <c r="L778" s="25"/>
      <c r="M778" s="25"/>
      <c r="N778" s="25"/>
      <c r="O778" s="25"/>
      <c r="P778" s="25"/>
      <c r="Q778" s="25"/>
      <c r="R778" s="25"/>
      <c r="S778" s="151"/>
      <c r="T778" s="151"/>
      <c r="U778" s="151"/>
      <c r="V778" s="73"/>
      <c r="W778" s="28"/>
      <c r="X778" s="24"/>
    </row>
    <row r="779" spans="2:24">
      <c r="B779" s="24"/>
      <c r="C779" s="47"/>
      <c r="D779" s="26"/>
      <c r="E779" s="27"/>
      <c r="F779" s="25"/>
      <c r="G779" s="25"/>
      <c r="H779" s="25"/>
      <c r="I779" s="25"/>
      <c r="J779" s="25"/>
      <c r="K779" s="25"/>
      <c r="L779" s="25"/>
      <c r="M779" s="25"/>
      <c r="N779" s="25"/>
      <c r="O779" s="25"/>
      <c r="P779" s="25"/>
      <c r="Q779" s="25"/>
      <c r="R779" s="25"/>
      <c r="S779" s="151"/>
      <c r="T779" s="151"/>
      <c r="U779" s="151"/>
      <c r="V779" s="73"/>
      <c r="W779" s="28"/>
      <c r="X779" s="24"/>
    </row>
    <row r="780" spans="2:24">
      <c r="B780" s="24"/>
      <c r="C780" s="47"/>
      <c r="D780" s="26"/>
      <c r="E780" s="27"/>
      <c r="F780" s="25"/>
      <c r="G780" s="25"/>
      <c r="H780" s="25"/>
      <c r="I780" s="25"/>
      <c r="J780" s="163"/>
      <c r="K780" s="164"/>
      <c r="L780" s="24"/>
      <c r="M780" s="25"/>
      <c r="N780" s="25"/>
      <c r="O780" s="25"/>
      <c r="P780" s="25"/>
      <c r="Q780" s="25"/>
      <c r="R780" s="25"/>
      <c r="S780" s="151"/>
      <c r="T780" s="151"/>
      <c r="U780" s="151"/>
      <c r="V780" s="73"/>
      <c r="W780" s="28"/>
      <c r="X780" s="24"/>
    </row>
    <row r="781" spans="2:24">
      <c r="B781" s="24"/>
      <c r="C781" s="47"/>
      <c r="D781" s="26"/>
      <c r="E781" s="27"/>
      <c r="F781" s="25"/>
      <c r="G781" s="25"/>
      <c r="H781" s="25"/>
      <c r="I781" s="25"/>
      <c r="J781" s="25"/>
      <c r="K781" s="25"/>
      <c r="L781" s="25"/>
      <c r="M781" s="25"/>
      <c r="N781" s="25"/>
      <c r="O781" s="25"/>
      <c r="P781" s="25"/>
      <c r="Q781" s="25"/>
      <c r="R781" s="25"/>
      <c r="S781" s="151"/>
      <c r="T781" s="151"/>
      <c r="U781" s="151"/>
      <c r="V781" s="73"/>
      <c r="W781" s="28"/>
      <c r="X781" s="24"/>
    </row>
    <row r="782" spans="2:24">
      <c r="B782" s="24"/>
      <c r="C782" s="47"/>
      <c r="D782" s="26"/>
      <c r="E782" s="27"/>
      <c r="F782" s="25"/>
      <c r="G782" s="25"/>
      <c r="H782" s="25"/>
      <c r="I782" s="25"/>
      <c r="J782" s="25"/>
      <c r="K782" s="25"/>
      <c r="L782" s="25"/>
      <c r="M782" s="25"/>
      <c r="N782" s="25"/>
      <c r="O782" s="25"/>
      <c r="P782" s="25"/>
      <c r="Q782" s="25"/>
      <c r="R782" s="25"/>
      <c r="S782" s="151"/>
      <c r="T782" s="151"/>
      <c r="U782" s="151"/>
      <c r="V782" s="73"/>
      <c r="W782" s="28"/>
      <c r="X782" s="24"/>
    </row>
    <row r="783" spans="2:24">
      <c r="B783" s="24"/>
      <c r="C783" s="47"/>
      <c r="D783" s="26"/>
      <c r="E783" s="27"/>
      <c r="F783" s="25"/>
      <c r="G783" s="25"/>
      <c r="H783" s="25"/>
      <c r="I783" s="25"/>
      <c r="J783" s="25"/>
      <c r="K783" s="25"/>
      <c r="L783" s="25"/>
      <c r="M783" s="25"/>
      <c r="N783" s="25"/>
      <c r="O783" s="25"/>
      <c r="P783" s="25"/>
      <c r="Q783" s="25"/>
      <c r="R783" s="25"/>
      <c r="S783" s="151"/>
      <c r="T783" s="151"/>
      <c r="U783" s="151"/>
      <c r="V783" s="73"/>
      <c r="W783" s="28"/>
      <c r="X783" s="24"/>
    </row>
    <row r="784" spans="2:24">
      <c r="B784" s="24"/>
      <c r="C784" s="47"/>
      <c r="D784" s="26"/>
      <c r="E784" s="27"/>
      <c r="F784" s="25"/>
      <c r="G784" s="25"/>
      <c r="H784" s="25"/>
      <c r="I784" s="25"/>
      <c r="J784" s="25"/>
      <c r="K784" s="25"/>
      <c r="L784" s="25"/>
      <c r="M784" s="25"/>
      <c r="N784" s="25"/>
      <c r="O784" s="25"/>
      <c r="P784" s="25"/>
      <c r="Q784" s="25"/>
      <c r="R784" s="25"/>
      <c r="S784" s="151"/>
      <c r="T784" s="151"/>
      <c r="U784" s="151"/>
      <c r="V784" s="73"/>
      <c r="W784" s="28"/>
      <c r="X784" s="24"/>
    </row>
    <row r="785" spans="2:24">
      <c r="B785" s="24"/>
      <c r="C785" s="47"/>
      <c r="D785" s="26"/>
      <c r="E785" s="27"/>
      <c r="F785" s="25"/>
      <c r="G785" s="25"/>
      <c r="H785" s="25"/>
      <c r="I785" s="25"/>
      <c r="J785" s="25"/>
      <c r="K785" s="25"/>
      <c r="L785" s="25"/>
      <c r="M785" s="25"/>
      <c r="N785" s="25"/>
      <c r="O785" s="25"/>
      <c r="P785" s="25"/>
      <c r="Q785" s="25"/>
      <c r="R785" s="25"/>
      <c r="S785" s="151"/>
      <c r="T785" s="151"/>
      <c r="U785" s="151"/>
      <c r="V785" s="73"/>
      <c r="W785" s="28"/>
      <c r="X785" s="24"/>
    </row>
    <row r="786" spans="2:24">
      <c r="B786" s="24"/>
      <c r="C786" s="47"/>
      <c r="D786" s="26"/>
      <c r="E786" s="27"/>
      <c r="F786" s="25"/>
      <c r="G786" s="25"/>
      <c r="H786" s="25"/>
      <c r="I786" s="25"/>
      <c r="J786" s="25"/>
      <c r="K786" s="25"/>
      <c r="L786" s="25"/>
      <c r="M786" s="25"/>
      <c r="N786" s="25"/>
      <c r="O786" s="25"/>
      <c r="P786" s="25"/>
      <c r="Q786" s="25"/>
      <c r="R786" s="25"/>
      <c r="S786" s="151"/>
      <c r="T786" s="151"/>
      <c r="U786" s="151"/>
      <c r="V786" s="73"/>
      <c r="W786" s="28"/>
      <c r="X786" s="24"/>
    </row>
    <row r="787" spans="2:24">
      <c r="B787" s="24"/>
      <c r="C787" s="47"/>
      <c r="D787" s="26"/>
      <c r="E787" s="27"/>
      <c r="F787" s="25"/>
      <c r="G787" s="25"/>
      <c r="H787" s="25"/>
      <c r="I787" s="25"/>
      <c r="J787" s="25"/>
      <c r="K787" s="25"/>
      <c r="L787" s="25"/>
      <c r="M787" s="25"/>
      <c r="N787" s="25"/>
      <c r="O787" s="25"/>
      <c r="P787" s="25"/>
      <c r="Q787" s="25"/>
      <c r="R787" s="25"/>
      <c r="S787" s="151"/>
      <c r="T787" s="151"/>
      <c r="U787" s="151"/>
      <c r="V787" s="73"/>
      <c r="W787" s="28"/>
      <c r="X787" s="24"/>
    </row>
    <row r="788" spans="2:24">
      <c r="B788" s="24"/>
      <c r="C788" s="47"/>
      <c r="D788" s="26"/>
      <c r="E788" s="27"/>
      <c r="F788" s="25"/>
      <c r="G788" s="25"/>
      <c r="H788" s="25"/>
      <c r="I788" s="25"/>
      <c r="J788" s="25"/>
      <c r="K788" s="25"/>
      <c r="L788" s="25"/>
      <c r="M788" s="25"/>
      <c r="N788" s="25"/>
      <c r="O788" s="25"/>
      <c r="P788" s="25"/>
      <c r="Q788" s="25"/>
      <c r="R788" s="25"/>
      <c r="S788" s="151"/>
      <c r="T788" s="151"/>
      <c r="U788" s="151"/>
      <c r="V788" s="73"/>
      <c r="W788" s="28"/>
      <c r="X788" s="24"/>
    </row>
    <row r="789" spans="2:24">
      <c r="B789" s="24"/>
      <c r="C789" s="47"/>
      <c r="D789" s="26"/>
      <c r="E789" s="27"/>
      <c r="F789" s="25"/>
      <c r="G789" s="25"/>
      <c r="H789" s="25"/>
      <c r="I789" s="25"/>
      <c r="J789" s="25"/>
      <c r="K789" s="25"/>
      <c r="L789" s="25"/>
      <c r="M789" s="25"/>
      <c r="N789" s="25"/>
      <c r="O789" s="25"/>
      <c r="P789" s="25"/>
      <c r="Q789" s="25"/>
      <c r="R789" s="25"/>
      <c r="S789" s="151"/>
      <c r="T789" s="151"/>
      <c r="U789" s="151"/>
      <c r="V789" s="73"/>
      <c r="W789" s="28"/>
      <c r="X789" s="24"/>
    </row>
    <row r="790" spans="2:24">
      <c r="B790" s="24"/>
      <c r="C790" s="47"/>
      <c r="D790" s="26"/>
      <c r="E790" s="27"/>
      <c r="F790" s="25"/>
      <c r="G790" s="25"/>
      <c r="H790" s="25"/>
      <c r="I790" s="25"/>
      <c r="J790" s="25"/>
      <c r="K790" s="25"/>
      <c r="L790" s="25"/>
      <c r="M790" s="25"/>
      <c r="N790" s="25"/>
      <c r="O790" s="25"/>
      <c r="P790" s="25"/>
      <c r="Q790" s="25"/>
      <c r="R790" s="25"/>
      <c r="S790" s="151"/>
      <c r="T790" s="151"/>
      <c r="U790" s="151"/>
      <c r="V790" s="73"/>
      <c r="W790" s="28"/>
      <c r="X790" s="24"/>
    </row>
    <row r="791" spans="2:24">
      <c r="B791" s="24"/>
      <c r="C791" s="47"/>
      <c r="D791" s="26"/>
      <c r="E791" s="27"/>
      <c r="F791" s="25"/>
      <c r="G791" s="25"/>
      <c r="H791" s="25"/>
      <c r="I791" s="25"/>
      <c r="J791" s="25"/>
      <c r="K791" s="25"/>
      <c r="L791" s="25"/>
      <c r="M791" s="25"/>
      <c r="N791" s="25"/>
      <c r="O791" s="25"/>
      <c r="P791" s="25"/>
      <c r="Q791" s="25"/>
      <c r="R791" s="25"/>
      <c r="S791" s="151"/>
      <c r="T791" s="151"/>
      <c r="U791" s="151"/>
      <c r="V791" s="73"/>
      <c r="W791" s="28"/>
      <c r="X791" s="24"/>
    </row>
    <row r="792" spans="2:24">
      <c r="B792" s="24"/>
      <c r="C792" s="47"/>
      <c r="D792" s="26"/>
      <c r="E792" s="27"/>
      <c r="F792" s="25"/>
      <c r="G792" s="25"/>
      <c r="H792" s="25"/>
      <c r="I792" s="25"/>
      <c r="J792" s="25"/>
      <c r="K792" s="25"/>
      <c r="L792" s="25"/>
      <c r="M792" s="25"/>
      <c r="N792" s="25"/>
      <c r="O792" s="25"/>
      <c r="P792" s="25"/>
      <c r="Q792" s="25"/>
      <c r="R792" s="25"/>
      <c r="S792" s="151"/>
      <c r="T792" s="151"/>
      <c r="U792" s="151"/>
      <c r="V792" s="73"/>
      <c r="W792" s="28"/>
      <c r="X792" s="24"/>
    </row>
    <row r="793" spans="2:24">
      <c r="B793" s="24"/>
      <c r="C793" s="47"/>
      <c r="D793" s="26"/>
      <c r="E793" s="27"/>
      <c r="F793" s="25"/>
      <c r="G793" s="25"/>
      <c r="H793" s="25"/>
      <c r="I793" s="25"/>
      <c r="J793" s="25"/>
      <c r="K793" s="25"/>
      <c r="L793" s="25"/>
      <c r="M793" s="25"/>
      <c r="N793" s="25"/>
      <c r="O793" s="25"/>
      <c r="P793" s="25"/>
      <c r="Q793" s="25"/>
      <c r="R793" s="25"/>
      <c r="S793" s="151"/>
      <c r="T793" s="151"/>
      <c r="U793" s="151"/>
      <c r="V793" s="73"/>
      <c r="W793" s="28"/>
      <c r="X793" s="24"/>
    </row>
    <row r="794" spans="2:24">
      <c r="B794" s="24"/>
      <c r="C794" s="47"/>
      <c r="D794" s="26"/>
      <c r="E794" s="27"/>
      <c r="F794" s="25"/>
      <c r="G794" s="25"/>
      <c r="H794" s="25"/>
      <c r="I794" s="25"/>
      <c r="J794" s="25"/>
      <c r="K794" s="25"/>
      <c r="L794" s="25"/>
      <c r="M794" s="25"/>
      <c r="N794" s="25"/>
      <c r="O794" s="25"/>
      <c r="P794" s="25"/>
      <c r="Q794" s="25"/>
      <c r="R794" s="25"/>
      <c r="S794" s="151"/>
      <c r="T794" s="151"/>
      <c r="U794" s="151"/>
      <c r="V794" s="73"/>
      <c r="W794" s="28"/>
      <c r="X794" s="24"/>
    </row>
    <row r="795" spans="2:24">
      <c r="B795" s="24"/>
      <c r="C795" s="47"/>
      <c r="D795" s="26"/>
      <c r="E795" s="27"/>
      <c r="F795" s="25"/>
      <c r="G795" s="25"/>
      <c r="H795" s="25"/>
      <c r="I795" s="25"/>
      <c r="J795" s="25"/>
      <c r="K795" s="25"/>
      <c r="L795" s="25"/>
      <c r="M795" s="25"/>
      <c r="N795" s="25"/>
      <c r="O795" s="25"/>
      <c r="P795" s="25"/>
      <c r="Q795" s="25"/>
      <c r="R795" s="25"/>
      <c r="S795" s="151"/>
      <c r="T795" s="151"/>
      <c r="U795" s="151"/>
      <c r="V795" s="73"/>
      <c r="W795" s="28"/>
      <c r="X795" s="24"/>
    </row>
    <row r="796" spans="2:24">
      <c r="B796" s="24"/>
      <c r="C796" s="47"/>
      <c r="D796" s="26"/>
      <c r="E796" s="27"/>
      <c r="F796" s="25"/>
      <c r="G796" s="25"/>
      <c r="H796" s="25"/>
      <c r="I796" s="25"/>
      <c r="J796" s="25"/>
      <c r="K796" s="25"/>
      <c r="L796" s="25"/>
      <c r="M796" s="25"/>
      <c r="N796" s="25"/>
      <c r="O796" s="25"/>
      <c r="P796" s="25"/>
      <c r="Q796" s="25"/>
      <c r="R796" s="25"/>
      <c r="S796" s="151"/>
      <c r="T796" s="151"/>
      <c r="U796" s="151"/>
      <c r="V796" s="73"/>
      <c r="W796" s="28"/>
      <c r="X796" s="24"/>
    </row>
    <row r="797" spans="2:24">
      <c r="B797" s="24"/>
      <c r="C797" s="47"/>
      <c r="D797" s="26"/>
      <c r="E797" s="27"/>
      <c r="F797" s="25"/>
      <c r="G797" s="25"/>
      <c r="H797" s="25"/>
      <c r="I797" s="25"/>
      <c r="J797" s="25"/>
      <c r="K797" s="25"/>
      <c r="L797" s="25"/>
      <c r="M797" s="25"/>
      <c r="N797" s="25"/>
      <c r="O797" s="25"/>
      <c r="P797" s="25"/>
      <c r="Q797" s="25"/>
      <c r="R797" s="25"/>
      <c r="S797" s="151"/>
      <c r="T797" s="151"/>
      <c r="U797" s="151"/>
      <c r="V797" s="73"/>
      <c r="W797" s="28"/>
      <c r="X797" s="24"/>
    </row>
    <row r="798" spans="2:24">
      <c r="B798" s="24"/>
      <c r="C798" s="47"/>
      <c r="D798" s="26"/>
      <c r="E798" s="27"/>
      <c r="F798" s="25"/>
      <c r="G798" s="25"/>
      <c r="H798" s="25"/>
      <c r="I798" s="25"/>
      <c r="J798" s="25"/>
      <c r="K798" s="25"/>
      <c r="L798" s="25"/>
      <c r="M798" s="25"/>
      <c r="N798" s="25"/>
      <c r="O798" s="25"/>
      <c r="P798" s="25"/>
      <c r="Q798" s="25"/>
      <c r="R798" s="25"/>
      <c r="S798" s="151"/>
      <c r="T798" s="151"/>
      <c r="U798" s="151"/>
      <c r="V798" s="73"/>
      <c r="W798" s="28"/>
      <c r="X798" s="24"/>
    </row>
    <row r="799" spans="2:24">
      <c r="B799" s="24"/>
      <c r="C799" s="47"/>
      <c r="D799" s="26"/>
      <c r="E799" s="27"/>
      <c r="F799" s="25"/>
      <c r="G799" s="25"/>
      <c r="H799" s="25"/>
      <c r="I799" s="25"/>
      <c r="J799" s="25"/>
      <c r="K799" s="25"/>
      <c r="L799" s="25"/>
      <c r="M799" s="25"/>
      <c r="N799" s="25"/>
      <c r="O799" s="25"/>
      <c r="P799" s="25"/>
      <c r="Q799" s="25"/>
      <c r="R799" s="25"/>
      <c r="S799" s="151"/>
      <c r="T799" s="151"/>
      <c r="U799" s="151"/>
      <c r="V799" s="73"/>
      <c r="W799" s="28"/>
      <c r="X799" s="24"/>
    </row>
    <row r="800" spans="2:24">
      <c r="B800" s="24"/>
      <c r="C800" s="47"/>
      <c r="D800" s="26"/>
      <c r="E800" s="27"/>
      <c r="F800" s="25"/>
      <c r="G800" s="25"/>
      <c r="H800" s="25"/>
      <c r="I800" s="25"/>
      <c r="J800" s="25"/>
      <c r="K800" s="25"/>
      <c r="L800" s="25"/>
      <c r="M800" s="25"/>
      <c r="N800" s="25"/>
      <c r="O800" s="25"/>
      <c r="P800" s="25"/>
      <c r="Q800" s="25"/>
      <c r="R800" s="25"/>
      <c r="S800" s="151"/>
      <c r="T800" s="151"/>
      <c r="U800" s="151"/>
      <c r="V800" s="73"/>
      <c r="W800" s="28"/>
      <c r="X800" s="24"/>
    </row>
    <row r="801" spans="2:24">
      <c r="B801" s="24"/>
      <c r="C801" s="47"/>
      <c r="D801" s="26"/>
      <c r="E801" s="27"/>
      <c r="F801" s="25"/>
      <c r="G801" s="25"/>
      <c r="H801" s="25"/>
      <c r="I801" s="25"/>
      <c r="J801" s="25"/>
      <c r="K801" s="25"/>
      <c r="L801" s="25"/>
      <c r="M801" s="25"/>
      <c r="N801" s="25"/>
      <c r="O801" s="25"/>
      <c r="P801" s="25"/>
      <c r="Q801" s="25"/>
      <c r="R801" s="25"/>
      <c r="S801" s="151"/>
      <c r="T801" s="151"/>
      <c r="U801" s="151"/>
      <c r="V801" s="73"/>
      <c r="W801" s="28"/>
      <c r="X801" s="24"/>
    </row>
    <row r="802" spans="2:24">
      <c r="B802" s="24"/>
      <c r="C802" s="47"/>
      <c r="D802" s="26"/>
      <c r="E802" s="27"/>
      <c r="F802" s="25"/>
      <c r="G802" s="25"/>
      <c r="H802" s="25"/>
      <c r="I802" s="25"/>
      <c r="J802" s="25"/>
      <c r="K802" s="25"/>
      <c r="L802" s="25"/>
      <c r="M802" s="25"/>
      <c r="N802" s="25"/>
      <c r="O802" s="25"/>
      <c r="P802" s="25"/>
      <c r="Q802" s="25"/>
      <c r="R802" s="25"/>
      <c r="S802" s="151"/>
      <c r="T802" s="151"/>
      <c r="U802" s="151"/>
      <c r="V802" s="73"/>
      <c r="W802" s="28"/>
      <c r="X802" s="24"/>
    </row>
    <row r="803" spans="2:24">
      <c r="B803" s="24"/>
      <c r="C803" s="47"/>
      <c r="D803" s="26"/>
      <c r="E803" s="27"/>
      <c r="F803" s="25"/>
      <c r="G803" s="25"/>
      <c r="H803" s="25"/>
      <c r="I803" s="25"/>
      <c r="J803" s="25"/>
      <c r="K803" s="25"/>
      <c r="L803" s="25"/>
      <c r="M803" s="25"/>
      <c r="N803" s="25"/>
      <c r="O803" s="25"/>
      <c r="P803" s="25"/>
      <c r="Q803" s="25"/>
      <c r="R803" s="25"/>
      <c r="S803" s="151"/>
      <c r="T803" s="151"/>
      <c r="U803" s="151"/>
      <c r="V803" s="73"/>
      <c r="W803" s="28"/>
      <c r="X803" s="24"/>
    </row>
    <row r="804" spans="2:24">
      <c r="B804" s="24"/>
      <c r="C804" s="47"/>
      <c r="D804" s="26"/>
      <c r="E804" s="27"/>
      <c r="F804" s="25"/>
      <c r="G804" s="25"/>
      <c r="H804" s="25"/>
      <c r="I804" s="25"/>
      <c r="J804" s="25"/>
      <c r="K804" s="25"/>
      <c r="L804" s="25"/>
      <c r="M804" s="25"/>
      <c r="N804" s="25"/>
      <c r="O804" s="25"/>
      <c r="P804" s="25"/>
      <c r="Q804" s="25"/>
      <c r="R804" s="25"/>
      <c r="S804" s="151"/>
      <c r="T804" s="151"/>
      <c r="U804" s="151"/>
      <c r="V804" s="73"/>
      <c r="W804" s="28"/>
      <c r="X804" s="24"/>
    </row>
    <row r="805" spans="2:24">
      <c r="B805" s="24"/>
      <c r="C805" s="47"/>
      <c r="D805" s="26"/>
      <c r="E805" s="27"/>
      <c r="F805" s="25"/>
      <c r="G805" s="25"/>
      <c r="H805" s="25"/>
      <c r="I805" s="25"/>
      <c r="J805" s="25"/>
      <c r="K805" s="25"/>
      <c r="L805" s="25"/>
      <c r="M805" s="25"/>
      <c r="N805" s="25"/>
      <c r="O805" s="25"/>
      <c r="P805" s="25"/>
      <c r="Q805" s="25"/>
      <c r="R805" s="25"/>
      <c r="S805" s="151"/>
      <c r="T805" s="151"/>
      <c r="U805" s="151"/>
      <c r="V805" s="73"/>
      <c r="W805" s="28"/>
      <c r="X805" s="24"/>
    </row>
    <row r="806" spans="2:24">
      <c r="B806" s="24"/>
      <c r="C806" s="47"/>
      <c r="D806" s="26"/>
      <c r="E806" s="27"/>
      <c r="F806" s="25"/>
      <c r="G806" s="25"/>
      <c r="H806" s="25"/>
      <c r="I806" s="25"/>
      <c r="J806" s="25"/>
      <c r="K806" s="25"/>
      <c r="L806" s="25"/>
      <c r="M806" s="25"/>
      <c r="N806" s="25"/>
      <c r="O806" s="25"/>
      <c r="P806" s="25"/>
      <c r="Q806" s="25"/>
      <c r="R806" s="25"/>
      <c r="S806" s="151"/>
      <c r="T806" s="151"/>
      <c r="U806" s="151"/>
      <c r="V806" s="73"/>
      <c r="W806" s="28"/>
      <c r="X806" s="24"/>
    </row>
    <row r="807" spans="2:24">
      <c r="B807" s="24"/>
      <c r="C807" s="47"/>
      <c r="D807" s="26"/>
      <c r="E807" s="27"/>
      <c r="F807" s="25"/>
      <c r="G807" s="25"/>
      <c r="H807" s="25"/>
      <c r="I807" s="25"/>
      <c r="J807" s="25"/>
      <c r="K807" s="25"/>
      <c r="L807" s="25"/>
      <c r="M807" s="25"/>
      <c r="N807" s="25"/>
      <c r="O807" s="25"/>
      <c r="P807" s="25"/>
      <c r="Q807" s="25"/>
      <c r="R807" s="25"/>
      <c r="S807" s="151"/>
      <c r="T807" s="151"/>
      <c r="U807" s="151"/>
      <c r="V807" s="73"/>
      <c r="W807" s="28"/>
      <c r="X807" s="24"/>
    </row>
    <row r="808" spans="2:24">
      <c r="B808" s="24"/>
      <c r="C808" s="47"/>
      <c r="D808" s="26"/>
      <c r="E808" s="27"/>
      <c r="F808" s="25"/>
      <c r="G808" s="25"/>
      <c r="H808" s="25"/>
      <c r="I808" s="25"/>
      <c r="J808" s="25"/>
      <c r="K808" s="25"/>
      <c r="L808" s="25"/>
      <c r="M808" s="25"/>
      <c r="N808" s="25"/>
      <c r="O808" s="25"/>
      <c r="P808" s="25"/>
      <c r="Q808" s="25"/>
      <c r="R808" s="25"/>
      <c r="S808" s="151"/>
      <c r="T808" s="151"/>
      <c r="U808" s="151"/>
      <c r="V808" s="73"/>
      <c r="W808" s="28"/>
      <c r="X808" s="24"/>
    </row>
    <row r="809" spans="2:24">
      <c r="B809" s="24"/>
      <c r="C809" s="47"/>
      <c r="D809" s="26"/>
      <c r="E809" s="27"/>
      <c r="F809" s="25"/>
      <c r="G809" s="25"/>
      <c r="H809" s="25"/>
      <c r="I809" s="25"/>
      <c r="J809" s="25"/>
      <c r="K809" s="25"/>
      <c r="L809" s="25"/>
      <c r="M809" s="25"/>
      <c r="N809" s="25"/>
      <c r="O809" s="25"/>
      <c r="P809" s="25"/>
      <c r="Q809" s="25"/>
      <c r="R809" s="25"/>
      <c r="S809" s="151"/>
      <c r="T809" s="151"/>
      <c r="U809" s="151"/>
      <c r="V809" s="73"/>
      <c r="W809" s="28"/>
      <c r="X809" s="24"/>
    </row>
    <row r="810" spans="2:24">
      <c r="B810" s="24"/>
      <c r="C810" s="47"/>
      <c r="D810" s="26"/>
      <c r="E810" s="27"/>
      <c r="F810" s="25"/>
      <c r="G810" s="25"/>
      <c r="H810" s="25"/>
      <c r="I810" s="58"/>
      <c r="J810" s="25"/>
      <c r="K810" s="25"/>
      <c r="L810" s="25"/>
      <c r="M810" s="25"/>
      <c r="N810" s="25"/>
      <c r="O810" s="25"/>
      <c r="P810" s="25"/>
      <c r="Q810" s="25"/>
      <c r="R810" s="25"/>
      <c r="S810" s="151"/>
      <c r="T810" s="151"/>
      <c r="U810" s="151"/>
      <c r="V810" s="73"/>
      <c r="W810" s="28"/>
      <c r="X810" s="24"/>
    </row>
    <row r="811" spans="2:24">
      <c r="B811" s="24"/>
      <c r="C811" s="47"/>
      <c r="D811" s="26"/>
      <c r="E811" s="27"/>
      <c r="F811" s="25"/>
      <c r="G811" s="25"/>
      <c r="H811" s="25"/>
      <c r="I811" s="58"/>
      <c r="J811" s="25"/>
      <c r="K811" s="25"/>
      <c r="L811" s="25"/>
      <c r="M811" s="25"/>
      <c r="N811" s="25"/>
      <c r="O811" s="25"/>
      <c r="P811" s="25"/>
      <c r="Q811" s="25"/>
      <c r="R811" s="25"/>
      <c r="S811" s="151"/>
      <c r="T811" s="151"/>
      <c r="U811" s="151"/>
      <c r="V811" s="73"/>
      <c r="W811" s="28"/>
      <c r="X811" s="24"/>
    </row>
    <row r="812" spans="2:24">
      <c r="B812" s="24"/>
      <c r="C812" s="47"/>
      <c r="D812" s="26"/>
      <c r="E812" s="27"/>
      <c r="F812" s="25"/>
      <c r="G812" s="25"/>
      <c r="H812" s="25"/>
      <c r="I812" s="25"/>
      <c r="J812" s="25"/>
      <c r="K812" s="25"/>
      <c r="L812" s="25"/>
      <c r="M812" s="25"/>
      <c r="N812" s="25"/>
      <c r="O812" s="25"/>
      <c r="P812" s="25"/>
      <c r="Q812" s="25"/>
      <c r="R812" s="25"/>
      <c r="S812" s="151"/>
      <c r="T812" s="151"/>
      <c r="U812" s="151"/>
      <c r="V812" s="73"/>
      <c r="W812" s="28"/>
      <c r="X812" s="24"/>
    </row>
    <row r="813" spans="2:24">
      <c r="B813" s="24"/>
      <c r="C813" s="47"/>
      <c r="D813" s="26"/>
      <c r="E813" s="27"/>
      <c r="F813" s="25"/>
      <c r="G813" s="25"/>
      <c r="H813" s="25"/>
      <c r="I813" s="25"/>
      <c r="J813" s="25"/>
      <c r="K813" s="25"/>
      <c r="L813" s="25"/>
      <c r="M813" s="25"/>
      <c r="N813" s="25"/>
      <c r="O813" s="25"/>
      <c r="P813" s="25"/>
      <c r="Q813" s="25"/>
      <c r="R813" s="25"/>
      <c r="S813" s="151"/>
      <c r="T813" s="151"/>
      <c r="U813" s="151"/>
      <c r="V813" s="73"/>
      <c r="W813" s="28"/>
      <c r="X813" s="24"/>
    </row>
    <row r="814" spans="2:24">
      <c r="B814" s="24"/>
      <c r="C814" s="47"/>
      <c r="D814" s="26"/>
      <c r="E814" s="27"/>
      <c r="F814" s="25"/>
      <c r="G814" s="25"/>
      <c r="H814" s="25"/>
      <c r="I814" s="25"/>
      <c r="J814" s="25"/>
      <c r="K814" s="25"/>
      <c r="L814" s="25"/>
      <c r="M814" s="25"/>
      <c r="N814" s="25"/>
      <c r="O814" s="25"/>
      <c r="P814" s="25"/>
      <c r="Q814" s="25"/>
      <c r="R814" s="25"/>
      <c r="S814" s="151"/>
      <c r="T814" s="151"/>
      <c r="U814" s="151"/>
      <c r="V814" s="73"/>
      <c r="W814" s="28"/>
      <c r="X814" s="24"/>
    </row>
    <row r="815" spans="2:24">
      <c r="B815" s="24"/>
      <c r="C815" s="47"/>
      <c r="D815" s="26"/>
      <c r="E815" s="27"/>
      <c r="F815" s="25"/>
      <c r="G815" s="25"/>
      <c r="H815" s="25"/>
      <c r="I815" s="25"/>
      <c r="J815" s="25"/>
      <c r="K815" s="25"/>
      <c r="L815" s="25"/>
      <c r="M815" s="25"/>
      <c r="N815" s="25"/>
      <c r="O815" s="25"/>
      <c r="P815" s="25"/>
      <c r="Q815" s="25"/>
      <c r="R815" s="25"/>
      <c r="S815" s="151"/>
      <c r="T815" s="151"/>
      <c r="U815" s="151"/>
      <c r="V815" s="73"/>
      <c r="W815" s="28"/>
      <c r="X815" s="24"/>
    </row>
    <row r="816" spans="2:24">
      <c r="B816" s="24"/>
      <c r="C816" s="47"/>
      <c r="D816" s="26"/>
      <c r="E816" s="27"/>
      <c r="F816" s="25"/>
      <c r="G816" s="25"/>
      <c r="H816" s="25"/>
      <c r="I816" s="25"/>
      <c r="J816" s="25"/>
      <c r="K816" s="25"/>
      <c r="L816" s="25"/>
      <c r="M816" s="25"/>
      <c r="N816" s="25"/>
      <c r="O816" s="25"/>
      <c r="P816" s="25"/>
      <c r="Q816" s="25"/>
      <c r="R816" s="25"/>
      <c r="S816" s="151"/>
      <c r="T816" s="151"/>
      <c r="U816" s="151"/>
      <c r="V816" s="73"/>
      <c r="W816" s="28"/>
      <c r="X816" s="24"/>
    </row>
    <row r="817" spans="2:24">
      <c r="B817" s="24"/>
      <c r="C817" s="47"/>
      <c r="D817" s="26"/>
      <c r="E817" s="27"/>
      <c r="F817" s="25"/>
      <c r="G817" s="25"/>
      <c r="H817" s="25"/>
      <c r="I817" s="25"/>
      <c r="J817" s="25"/>
      <c r="K817" s="25"/>
      <c r="L817" s="25"/>
      <c r="M817" s="25"/>
      <c r="N817" s="25"/>
      <c r="O817" s="25"/>
      <c r="P817" s="25"/>
      <c r="Q817" s="25"/>
      <c r="R817" s="25"/>
      <c r="S817" s="151"/>
      <c r="T817" s="151"/>
      <c r="U817" s="151"/>
      <c r="V817" s="73"/>
      <c r="W817" s="28"/>
      <c r="X817" s="24"/>
    </row>
    <row r="818" spans="2:24">
      <c r="B818" s="24"/>
      <c r="C818" s="47"/>
      <c r="D818" s="26"/>
      <c r="E818" s="27"/>
      <c r="F818" s="25"/>
      <c r="G818" s="25"/>
      <c r="H818" s="25"/>
      <c r="I818" s="25"/>
      <c r="J818" s="25"/>
      <c r="K818" s="25"/>
      <c r="L818" s="25"/>
      <c r="M818" s="25"/>
      <c r="N818" s="25"/>
      <c r="O818" s="25"/>
      <c r="P818" s="25"/>
      <c r="Q818" s="25"/>
      <c r="R818" s="25"/>
      <c r="S818" s="151"/>
      <c r="T818" s="151"/>
      <c r="U818" s="151"/>
      <c r="V818" s="73"/>
      <c r="W818" s="28"/>
      <c r="X818" s="24"/>
    </row>
    <row r="819" spans="2:24">
      <c r="B819" s="24"/>
      <c r="C819" s="47"/>
      <c r="D819" s="26"/>
      <c r="E819" s="27"/>
      <c r="F819" s="25"/>
      <c r="G819" s="25"/>
      <c r="H819" s="25"/>
      <c r="I819" s="25"/>
      <c r="J819" s="25"/>
      <c r="K819" s="25"/>
      <c r="L819" s="25"/>
      <c r="M819" s="25"/>
      <c r="N819" s="25"/>
      <c r="O819" s="25"/>
      <c r="P819" s="25"/>
      <c r="Q819" s="25"/>
      <c r="R819" s="25"/>
      <c r="S819" s="151"/>
      <c r="T819" s="151"/>
      <c r="U819" s="151"/>
      <c r="V819" s="73"/>
      <c r="W819" s="28"/>
      <c r="X819" s="24"/>
    </row>
    <row r="820" spans="2:24">
      <c r="B820" s="24"/>
      <c r="C820" s="47"/>
      <c r="D820" s="26"/>
      <c r="E820" s="27"/>
      <c r="F820" s="25"/>
      <c r="G820" s="25"/>
      <c r="H820" s="25"/>
      <c r="I820" s="25"/>
      <c r="J820" s="25"/>
      <c r="K820" s="25"/>
      <c r="L820" s="25"/>
      <c r="M820" s="25"/>
      <c r="N820" s="25"/>
      <c r="O820" s="25"/>
      <c r="P820" s="25"/>
      <c r="Q820" s="25"/>
      <c r="R820" s="25"/>
      <c r="S820" s="151"/>
      <c r="T820" s="151"/>
      <c r="U820" s="151"/>
      <c r="V820" s="73"/>
      <c r="W820" s="28"/>
      <c r="X820" s="24"/>
    </row>
    <row r="821" spans="2:24">
      <c r="B821" s="24"/>
      <c r="C821" s="47"/>
      <c r="D821" s="26"/>
      <c r="E821" s="27"/>
      <c r="F821" s="25"/>
      <c r="G821" s="25"/>
      <c r="H821" s="25"/>
      <c r="I821" s="25"/>
      <c r="J821" s="25"/>
      <c r="K821" s="25"/>
      <c r="L821" s="25"/>
      <c r="M821" s="25"/>
      <c r="N821" s="25"/>
      <c r="O821" s="25"/>
      <c r="P821" s="25"/>
      <c r="Q821" s="25"/>
      <c r="R821" s="25"/>
      <c r="S821" s="151"/>
      <c r="T821" s="151"/>
      <c r="U821" s="151"/>
      <c r="V821" s="73"/>
      <c r="W821" s="28"/>
      <c r="X821" s="24"/>
    </row>
    <row r="822" spans="2:24">
      <c r="B822" s="24"/>
      <c r="C822" s="47"/>
      <c r="D822" s="26"/>
      <c r="E822" s="27"/>
      <c r="F822" s="25"/>
      <c r="G822" s="25"/>
      <c r="H822" s="25"/>
      <c r="I822" s="25"/>
      <c r="J822" s="25"/>
      <c r="K822" s="25"/>
      <c r="L822" s="25"/>
      <c r="M822" s="25"/>
      <c r="N822" s="25"/>
      <c r="O822" s="25"/>
      <c r="P822" s="25"/>
      <c r="Q822" s="25"/>
      <c r="R822" s="25"/>
      <c r="S822" s="151"/>
      <c r="T822" s="151"/>
      <c r="U822" s="151"/>
      <c r="V822" s="73"/>
      <c r="W822" s="28"/>
      <c r="X822" s="24"/>
    </row>
    <row r="823" spans="2:24">
      <c r="B823" s="24"/>
      <c r="C823" s="47"/>
      <c r="D823" s="26"/>
      <c r="E823" s="27"/>
      <c r="F823" s="25"/>
      <c r="G823" s="25"/>
      <c r="H823" s="25"/>
      <c r="I823" s="25"/>
      <c r="J823" s="25"/>
      <c r="K823" s="25"/>
      <c r="L823" s="25"/>
      <c r="M823" s="25"/>
      <c r="N823" s="25"/>
      <c r="O823" s="25"/>
      <c r="P823" s="25"/>
      <c r="Q823" s="25"/>
      <c r="R823" s="25"/>
      <c r="S823" s="151"/>
      <c r="T823" s="151"/>
      <c r="U823" s="151"/>
      <c r="V823" s="73"/>
      <c r="W823" s="28"/>
      <c r="X823" s="24"/>
    </row>
    <row r="824" spans="2:24">
      <c r="B824" s="24"/>
      <c r="C824" s="47"/>
      <c r="D824" s="26"/>
      <c r="E824" s="27"/>
      <c r="F824" s="25"/>
      <c r="G824" s="25"/>
      <c r="H824" s="25"/>
      <c r="I824" s="25"/>
      <c r="J824" s="25"/>
      <c r="K824" s="25"/>
      <c r="L824" s="25"/>
      <c r="M824" s="25"/>
      <c r="N824" s="25"/>
      <c r="O824" s="25"/>
      <c r="P824" s="25"/>
      <c r="Q824" s="25"/>
      <c r="R824" s="25"/>
      <c r="S824" s="151"/>
      <c r="T824" s="151"/>
      <c r="U824" s="151"/>
      <c r="V824" s="73"/>
      <c r="W824" s="28"/>
      <c r="X824" s="24"/>
    </row>
    <row r="825" spans="2:24">
      <c r="B825" s="24"/>
      <c r="C825" s="47"/>
      <c r="D825" s="26"/>
      <c r="E825" s="27"/>
      <c r="F825" s="25"/>
      <c r="G825" s="25"/>
      <c r="H825" s="25"/>
      <c r="I825" s="25"/>
      <c r="J825" s="25"/>
      <c r="K825" s="25"/>
      <c r="L825" s="25"/>
      <c r="M825" s="25"/>
      <c r="N825" s="25"/>
      <c r="O825" s="25"/>
      <c r="P825" s="25"/>
      <c r="Q825" s="25"/>
      <c r="R825" s="25"/>
      <c r="S825" s="151"/>
      <c r="T825" s="151"/>
      <c r="U825" s="151"/>
      <c r="V825" s="73"/>
      <c r="W825" s="28"/>
      <c r="X825" s="24"/>
    </row>
    <row r="826" spans="2:24">
      <c r="B826" s="24"/>
      <c r="C826" s="47"/>
      <c r="D826" s="26"/>
      <c r="E826" s="27"/>
      <c r="F826" s="25"/>
      <c r="G826" s="25"/>
      <c r="H826" s="25"/>
      <c r="I826" s="25"/>
      <c r="J826" s="25"/>
      <c r="K826" s="25"/>
      <c r="L826" s="25"/>
      <c r="M826" s="25"/>
      <c r="N826" s="25"/>
      <c r="O826" s="25"/>
      <c r="P826" s="25"/>
      <c r="Q826" s="25"/>
      <c r="R826" s="25"/>
      <c r="S826" s="151"/>
      <c r="T826" s="151"/>
      <c r="U826" s="151"/>
      <c r="V826" s="73"/>
      <c r="W826" s="28"/>
      <c r="X826" s="24"/>
    </row>
    <row r="827" spans="2:24">
      <c r="B827" s="24"/>
      <c r="C827" s="47"/>
      <c r="D827" s="26"/>
      <c r="E827" s="27"/>
      <c r="F827" s="25"/>
      <c r="G827" s="25"/>
      <c r="H827" s="25"/>
      <c r="I827" s="25"/>
      <c r="J827" s="25"/>
      <c r="K827" s="25"/>
      <c r="L827" s="25"/>
      <c r="M827" s="25"/>
      <c r="N827" s="25"/>
      <c r="O827" s="25"/>
      <c r="P827" s="25"/>
      <c r="Q827" s="25"/>
      <c r="R827" s="25"/>
      <c r="S827" s="151"/>
      <c r="T827" s="151"/>
      <c r="U827" s="151"/>
      <c r="V827" s="73"/>
      <c r="W827" s="28"/>
      <c r="X827" s="24"/>
    </row>
    <row r="828" spans="2:24">
      <c r="B828" s="24"/>
      <c r="C828" s="47"/>
      <c r="D828" s="26"/>
      <c r="E828" s="27"/>
      <c r="F828" s="25"/>
      <c r="G828" s="25"/>
      <c r="H828" s="25"/>
      <c r="I828" s="25"/>
      <c r="J828" s="25"/>
      <c r="K828" s="25"/>
      <c r="L828" s="25"/>
      <c r="M828" s="25"/>
      <c r="N828" s="25"/>
      <c r="O828" s="25"/>
      <c r="P828" s="25"/>
      <c r="Q828" s="25"/>
      <c r="R828" s="25"/>
      <c r="S828" s="151"/>
      <c r="T828" s="151"/>
      <c r="U828" s="151"/>
      <c r="V828" s="73"/>
      <c r="W828" s="28"/>
      <c r="X828" s="24"/>
    </row>
    <row r="829" spans="2:24">
      <c r="B829" s="24"/>
      <c r="C829" s="47"/>
      <c r="D829" s="26"/>
      <c r="E829" s="27"/>
      <c r="F829" s="25"/>
      <c r="G829" s="25"/>
      <c r="H829" s="25"/>
      <c r="I829" s="58"/>
      <c r="J829" s="25"/>
      <c r="K829" s="25"/>
      <c r="L829" s="25"/>
      <c r="M829" s="25"/>
      <c r="N829" s="25"/>
      <c r="O829" s="25"/>
      <c r="P829" s="25"/>
      <c r="Q829" s="25"/>
      <c r="R829" s="25"/>
      <c r="S829" s="151"/>
      <c r="T829" s="151"/>
      <c r="U829" s="151"/>
      <c r="V829" s="73"/>
      <c r="W829" s="28"/>
      <c r="X829" s="24"/>
    </row>
    <row r="830" spans="2:24">
      <c r="B830" s="24"/>
      <c r="C830" s="47"/>
      <c r="D830" s="26"/>
      <c r="E830" s="27"/>
      <c r="F830" s="25"/>
      <c r="G830" s="25"/>
      <c r="H830" s="25"/>
      <c r="I830" s="58"/>
      <c r="J830" s="25"/>
      <c r="K830" s="25"/>
      <c r="L830" s="25"/>
      <c r="M830" s="25"/>
      <c r="N830" s="25"/>
      <c r="O830" s="25"/>
      <c r="P830" s="25"/>
      <c r="Q830" s="25"/>
      <c r="R830" s="25"/>
      <c r="S830" s="151"/>
      <c r="T830" s="151"/>
      <c r="U830" s="151"/>
      <c r="V830" s="73"/>
      <c r="W830" s="28"/>
      <c r="X830" s="24"/>
    </row>
    <row r="831" spans="2:24">
      <c r="B831" s="24"/>
      <c r="C831" s="47"/>
      <c r="D831" s="26"/>
      <c r="E831" s="27"/>
      <c r="F831" s="25"/>
      <c r="G831" s="25"/>
      <c r="H831" s="25"/>
      <c r="I831" s="25"/>
      <c r="J831" s="25"/>
      <c r="K831" s="25"/>
      <c r="L831" s="25"/>
      <c r="M831" s="25"/>
      <c r="N831" s="25"/>
      <c r="O831" s="25"/>
      <c r="P831" s="25"/>
      <c r="Q831" s="25"/>
      <c r="R831" s="25"/>
      <c r="S831" s="151"/>
      <c r="T831" s="151"/>
      <c r="U831" s="151"/>
      <c r="V831" s="73"/>
      <c r="W831" s="28"/>
      <c r="X831" s="24"/>
    </row>
    <row r="832" spans="2:24">
      <c r="B832" s="24"/>
      <c r="C832" s="47"/>
      <c r="D832" s="26"/>
      <c r="E832" s="27"/>
      <c r="F832" s="25"/>
      <c r="G832" s="25"/>
      <c r="H832" s="25"/>
      <c r="I832" s="25"/>
      <c r="J832" s="25"/>
      <c r="K832" s="25"/>
      <c r="L832" s="25"/>
      <c r="M832" s="25"/>
      <c r="N832" s="25"/>
      <c r="O832" s="25"/>
      <c r="P832" s="25"/>
      <c r="Q832" s="25"/>
      <c r="R832" s="25"/>
      <c r="S832" s="151"/>
      <c r="T832" s="151"/>
      <c r="U832" s="151"/>
      <c r="V832" s="73"/>
      <c r="W832" s="28"/>
      <c r="X832" s="24"/>
    </row>
    <row r="833" spans="2:24">
      <c r="B833" s="24"/>
      <c r="C833" s="47"/>
      <c r="D833" s="26"/>
      <c r="E833" s="27"/>
      <c r="F833" s="25"/>
      <c r="G833" s="25"/>
      <c r="H833" s="25"/>
      <c r="I833" s="25"/>
      <c r="J833" s="25"/>
      <c r="K833" s="25"/>
      <c r="L833" s="25"/>
      <c r="M833" s="25"/>
      <c r="N833" s="25"/>
      <c r="O833" s="25"/>
      <c r="P833" s="25"/>
      <c r="Q833" s="25"/>
      <c r="R833" s="25"/>
      <c r="S833" s="151"/>
      <c r="T833" s="151"/>
      <c r="U833" s="151"/>
      <c r="V833" s="73"/>
      <c r="W833" s="28"/>
      <c r="X833" s="24"/>
    </row>
    <row r="834" spans="2:24">
      <c r="B834" s="24"/>
      <c r="C834" s="47"/>
      <c r="D834" s="26"/>
      <c r="E834" s="27"/>
      <c r="F834" s="25"/>
      <c r="G834" s="25"/>
      <c r="H834" s="25"/>
      <c r="I834" s="25"/>
      <c r="J834" s="25"/>
      <c r="K834" s="25"/>
      <c r="L834" s="25"/>
      <c r="M834" s="25"/>
      <c r="N834" s="25"/>
      <c r="O834" s="25"/>
      <c r="P834" s="25"/>
      <c r="Q834" s="25"/>
      <c r="R834" s="25"/>
      <c r="S834" s="151"/>
      <c r="T834" s="151"/>
      <c r="U834" s="151"/>
      <c r="V834" s="73"/>
      <c r="W834" s="28"/>
      <c r="X834" s="24"/>
    </row>
    <row r="835" spans="2:24">
      <c r="B835" s="24"/>
      <c r="C835" s="47"/>
      <c r="D835" s="26"/>
      <c r="E835" s="27"/>
      <c r="F835" s="25"/>
      <c r="G835" s="25"/>
      <c r="H835" s="25"/>
      <c r="I835" s="25"/>
      <c r="J835" s="25"/>
      <c r="K835" s="25"/>
      <c r="L835" s="25"/>
      <c r="M835" s="25"/>
      <c r="N835" s="25"/>
      <c r="O835" s="25"/>
      <c r="P835" s="25"/>
      <c r="Q835" s="25"/>
      <c r="R835" s="25"/>
      <c r="S835" s="151"/>
      <c r="T835" s="151"/>
      <c r="U835" s="151"/>
      <c r="V835" s="73"/>
      <c r="W835" s="28"/>
      <c r="X835" s="24"/>
    </row>
    <row r="836" spans="2:24">
      <c r="B836" s="24"/>
      <c r="C836" s="47"/>
      <c r="D836" s="26"/>
      <c r="E836" s="27"/>
      <c r="F836" s="25"/>
      <c r="G836" s="25"/>
      <c r="H836" s="25"/>
      <c r="I836" s="25"/>
      <c r="J836" s="25"/>
      <c r="K836" s="25"/>
      <c r="L836" s="25"/>
      <c r="M836" s="25"/>
      <c r="N836" s="25"/>
      <c r="O836" s="25"/>
      <c r="P836" s="25"/>
      <c r="Q836" s="25"/>
      <c r="R836" s="25"/>
      <c r="S836" s="151"/>
      <c r="T836" s="151"/>
      <c r="U836" s="151"/>
      <c r="V836" s="73"/>
      <c r="W836" s="28"/>
      <c r="X836" s="24"/>
    </row>
    <row r="837" spans="2:24">
      <c r="B837" s="24"/>
      <c r="C837" s="47"/>
      <c r="D837" s="26"/>
      <c r="E837" s="27"/>
      <c r="F837" s="25"/>
      <c r="G837" s="25"/>
      <c r="H837" s="25"/>
      <c r="I837" s="25"/>
      <c r="J837" s="25"/>
      <c r="K837" s="25"/>
      <c r="L837" s="25"/>
      <c r="M837" s="25"/>
      <c r="N837" s="25"/>
      <c r="O837" s="25"/>
      <c r="P837" s="25"/>
      <c r="Q837" s="25"/>
      <c r="R837" s="25"/>
      <c r="S837" s="151"/>
      <c r="T837" s="151"/>
      <c r="U837" s="151"/>
      <c r="V837" s="73"/>
      <c r="W837" s="28"/>
      <c r="X837" s="24"/>
    </row>
    <row r="838" spans="2:24">
      <c r="B838" s="24"/>
      <c r="C838" s="47"/>
      <c r="D838" s="26"/>
      <c r="E838" s="27"/>
      <c r="F838" s="25"/>
      <c r="G838" s="25"/>
      <c r="H838" s="25"/>
      <c r="I838" s="25"/>
      <c r="J838" s="25"/>
      <c r="K838" s="25"/>
      <c r="L838" s="25"/>
      <c r="M838" s="25"/>
      <c r="N838" s="25"/>
      <c r="O838" s="25"/>
      <c r="P838" s="25"/>
      <c r="Q838" s="25"/>
      <c r="R838" s="25"/>
      <c r="S838" s="151"/>
      <c r="T838" s="151"/>
      <c r="U838" s="151"/>
      <c r="V838" s="73"/>
      <c r="W838" s="28"/>
      <c r="X838" s="24"/>
    </row>
    <row r="839" spans="2:24">
      <c r="B839" s="24"/>
      <c r="C839" s="47"/>
      <c r="D839" s="26"/>
      <c r="E839" s="27"/>
      <c r="F839" s="25"/>
      <c r="G839" s="25"/>
      <c r="H839" s="25"/>
      <c r="I839" s="25"/>
      <c r="J839" s="25"/>
      <c r="K839" s="25"/>
      <c r="L839" s="25"/>
      <c r="M839" s="25"/>
      <c r="N839" s="25"/>
      <c r="O839" s="25"/>
      <c r="P839" s="25"/>
      <c r="Q839" s="25"/>
      <c r="R839" s="25"/>
      <c r="S839" s="151"/>
      <c r="T839" s="151"/>
      <c r="U839" s="151"/>
      <c r="V839" s="73"/>
      <c r="W839" s="28"/>
      <c r="X839" s="24"/>
    </row>
    <row r="840" spans="2:24">
      <c r="B840" s="24"/>
      <c r="C840" s="47"/>
      <c r="D840" s="26"/>
      <c r="E840" s="27"/>
      <c r="F840" s="25"/>
      <c r="G840" s="25"/>
      <c r="H840" s="25"/>
      <c r="I840" s="25"/>
      <c r="J840" s="25"/>
      <c r="K840" s="25"/>
      <c r="L840" s="25"/>
      <c r="M840" s="25"/>
      <c r="N840" s="25"/>
      <c r="O840" s="25"/>
      <c r="P840" s="25"/>
      <c r="Q840" s="25"/>
      <c r="R840" s="25"/>
      <c r="S840" s="151"/>
      <c r="T840" s="151"/>
      <c r="U840" s="151"/>
      <c r="V840" s="73"/>
      <c r="W840" s="28"/>
      <c r="X840" s="24"/>
    </row>
    <row r="841" spans="2:24">
      <c r="B841" s="24"/>
      <c r="C841" s="47"/>
      <c r="D841" s="26"/>
      <c r="E841" s="27"/>
      <c r="F841" s="25"/>
      <c r="G841" s="25"/>
      <c r="H841" s="25"/>
      <c r="I841" s="25"/>
      <c r="J841" s="25"/>
      <c r="K841" s="25"/>
      <c r="L841" s="25"/>
      <c r="M841" s="25"/>
      <c r="N841" s="25"/>
      <c r="O841" s="25"/>
      <c r="P841" s="25"/>
      <c r="Q841" s="25"/>
      <c r="R841" s="25"/>
      <c r="S841" s="151"/>
      <c r="T841" s="151"/>
      <c r="U841" s="151"/>
      <c r="V841" s="73"/>
      <c r="W841" s="28"/>
      <c r="X841" s="24"/>
    </row>
    <row r="842" spans="2:24">
      <c r="B842" s="24"/>
      <c r="C842" s="47"/>
      <c r="D842" s="26"/>
      <c r="E842" s="27"/>
      <c r="F842" s="25"/>
      <c r="G842" s="25"/>
      <c r="H842" s="25"/>
      <c r="I842" s="25"/>
      <c r="J842" s="25"/>
      <c r="K842" s="25"/>
      <c r="L842" s="25"/>
      <c r="M842" s="25"/>
      <c r="N842" s="25"/>
      <c r="O842" s="25"/>
      <c r="P842" s="25"/>
      <c r="Q842" s="25"/>
      <c r="R842" s="25"/>
      <c r="S842" s="151"/>
      <c r="T842" s="151"/>
      <c r="U842" s="151"/>
      <c r="V842" s="73"/>
      <c r="W842" s="28"/>
      <c r="X842" s="24"/>
    </row>
    <row r="843" spans="2:24">
      <c r="B843" s="24"/>
      <c r="C843" s="47"/>
      <c r="D843" s="26"/>
      <c r="E843" s="27"/>
      <c r="F843" s="25"/>
      <c r="G843" s="25"/>
      <c r="H843" s="25"/>
      <c r="I843" s="25"/>
      <c r="J843" s="25"/>
      <c r="K843" s="25"/>
      <c r="L843" s="25"/>
      <c r="M843" s="25"/>
      <c r="N843" s="25"/>
      <c r="O843" s="25"/>
      <c r="P843" s="25"/>
      <c r="Q843" s="25"/>
      <c r="R843" s="25"/>
      <c r="S843" s="151"/>
      <c r="T843" s="151"/>
      <c r="U843" s="151"/>
      <c r="V843" s="73"/>
      <c r="W843" s="28"/>
      <c r="X843" s="24"/>
    </row>
    <row r="844" spans="2:24">
      <c r="B844" s="24"/>
      <c r="C844" s="47"/>
      <c r="D844" s="26"/>
      <c r="E844" s="27"/>
      <c r="F844" s="25"/>
      <c r="G844" s="25"/>
      <c r="H844" s="25"/>
      <c r="I844" s="25"/>
      <c r="J844" s="25"/>
      <c r="K844" s="25"/>
      <c r="L844" s="25"/>
      <c r="M844" s="25"/>
      <c r="N844" s="25"/>
      <c r="O844" s="25"/>
      <c r="P844" s="25"/>
      <c r="Q844" s="25"/>
      <c r="R844" s="25"/>
      <c r="S844" s="151"/>
      <c r="T844" s="151"/>
      <c r="U844" s="151"/>
      <c r="V844" s="73"/>
      <c r="W844" s="28"/>
      <c r="X844" s="24"/>
    </row>
    <row r="845" spans="2:24">
      <c r="B845" s="24"/>
      <c r="C845" s="47"/>
      <c r="D845" s="26"/>
      <c r="E845" s="27"/>
      <c r="F845" s="25"/>
      <c r="G845" s="25"/>
      <c r="H845" s="25"/>
      <c r="I845" s="25"/>
      <c r="J845" s="25"/>
      <c r="K845" s="25"/>
      <c r="L845" s="25"/>
      <c r="M845" s="25"/>
      <c r="N845" s="25"/>
      <c r="O845" s="25"/>
      <c r="P845" s="25"/>
      <c r="Q845" s="25"/>
      <c r="R845" s="25"/>
      <c r="S845" s="151"/>
      <c r="T845" s="151"/>
      <c r="U845" s="151"/>
      <c r="V845" s="73"/>
      <c r="W845" s="28"/>
      <c r="X845" s="24"/>
    </row>
    <row r="846" spans="2:24">
      <c r="B846" s="24"/>
      <c r="C846" s="47"/>
      <c r="D846" s="26"/>
      <c r="E846" s="27"/>
      <c r="F846" s="25"/>
      <c r="G846" s="25"/>
      <c r="H846" s="25"/>
      <c r="I846" s="25"/>
      <c r="J846" s="25"/>
      <c r="K846" s="25"/>
      <c r="L846" s="25"/>
      <c r="M846" s="25"/>
      <c r="N846" s="25"/>
      <c r="O846" s="25"/>
      <c r="P846" s="25"/>
      <c r="Q846" s="25"/>
      <c r="R846" s="25"/>
      <c r="S846" s="151"/>
      <c r="T846" s="151"/>
      <c r="U846" s="151"/>
      <c r="V846" s="73"/>
      <c r="W846" s="28"/>
      <c r="X846" s="24"/>
    </row>
    <row r="847" spans="2:24">
      <c r="B847" s="24"/>
      <c r="C847" s="47"/>
      <c r="D847" s="26"/>
      <c r="E847" s="27"/>
      <c r="F847" s="25"/>
      <c r="G847" s="25"/>
      <c r="H847" s="25"/>
      <c r="I847" s="25"/>
      <c r="J847" s="25"/>
      <c r="K847" s="25"/>
      <c r="L847" s="25"/>
      <c r="M847" s="25"/>
      <c r="N847" s="25"/>
      <c r="O847" s="25"/>
      <c r="P847" s="25"/>
      <c r="Q847" s="25"/>
      <c r="R847" s="25"/>
      <c r="S847" s="151"/>
      <c r="T847" s="151"/>
      <c r="U847" s="151"/>
      <c r="V847" s="73"/>
      <c r="W847" s="28"/>
      <c r="X847" s="24"/>
    </row>
    <row r="848" spans="2:24">
      <c r="B848" s="24"/>
      <c r="C848" s="47"/>
      <c r="D848" s="26"/>
      <c r="E848" s="27"/>
      <c r="F848" s="25"/>
      <c r="G848" s="25"/>
      <c r="H848" s="25"/>
      <c r="I848" s="25"/>
      <c r="J848" s="25"/>
      <c r="K848" s="25"/>
      <c r="L848" s="25"/>
      <c r="M848" s="25"/>
      <c r="N848" s="25"/>
      <c r="O848" s="25"/>
      <c r="P848" s="25"/>
      <c r="Q848" s="25"/>
      <c r="R848" s="25"/>
      <c r="S848" s="151"/>
      <c r="T848" s="151"/>
      <c r="U848" s="151"/>
      <c r="V848" s="73"/>
      <c r="W848" s="28"/>
      <c r="X848" s="24"/>
    </row>
    <row r="849" spans="2:24">
      <c r="B849" s="24"/>
      <c r="C849" s="47"/>
      <c r="D849" s="26"/>
      <c r="E849" s="27"/>
      <c r="F849" s="25"/>
      <c r="G849" s="25"/>
      <c r="H849" s="25"/>
      <c r="I849" s="25"/>
      <c r="J849" s="25"/>
      <c r="K849" s="25"/>
      <c r="L849" s="25"/>
      <c r="M849" s="25"/>
      <c r="N849" s="25"/>
      <c r="O849" s="25"/>
      <c r="P849" s="25"/>
      <c r="Q849" s="25"/>
      <c r="R849" s="25"/>
      <c r="S849" s="151"/>
      <c r="T849" s="151"/>
      <c r="U849" s="151"/>
      <c r="V849" s="73"/>
      <c r="W849" s="28"/>
      <c r="X849" s="24"/>
    </row>
    <row r="850" spans="2:24">
      <c r="B850" s="24"/>
      <c r="C850" s="47"/>
      <c r="D850" s="26"/>
      <c r="E850" s="27"/>
      <c r="F850" s="25"/>
      <c r="G850" s="25"/>
      <c r="H850" s="25"/>
      <c r="I850" s="25"/>
      <c r="J850" s="25"/>
      <c r="K850" s="25"/>
      <c r="L850" s="25"/>
      <c r="M850" s="25"/>
      <c r="N850" s="25"/>
      <c r="O850" s="25"/>
      <c r="P850" s="25"/>
      <c r="Q850" s="25"/>
      <c r="R850" s="25"/>
      <c r="S850" s="151"/>
      <c r="T850" s="151"/>
      <c r="U850" s="151"/>
      <c r="V850" s="73"/>
      <c r="W850" s="28"/>
      <c r="X850" s="24"/>
    </row>
    <row r="851" spans="2:24">
      <c r="B851" s="24"/>
      <c r="C851" s="47"/>
      <c r="D851" s="26"/>
      <c r="E851" s="27"/>
      <c r="F851" s="25"/>
      <c r="G851" s="25"/>
      <c r="H851" s="25"/>
      <c r="I851" s="25"/>
      <c r="J851" s="25"/>
      <c r="K851" s="25"/>
      <c r="L851" s="25"/>
      <c r="M851" s="25"/>
      <c r="N851" s="25"/>
      <c r="O851" s="25"/>
      <c r="P851" s="25"/>
      <c r="Q851" s="25"/>
      <c r="R851" s="25"/>
      <c r="S851" s="151"/>
      <c r="T851" s="151"/>
      <c r="U851" s="151"/>
      <c r="V851" s="73"/>
      <c r="W851" s="28"/>
      <c r="X851" s="24"/>
    </row>
    <row r="852" spans="2:24">
      <c r="B852" s="24"/>
      <c r="C852" s="47"/>
      <c r="D852" s="26"/>
      <c r="E852" s="27"/>
      <c r="F852" s="25"/>
      <c r="G852" s="25"/>
      <c r="H852" s="25"/>
      <c r="I852" s="25"/>
      <c r="J852" s="25"/>
      <c r="K852" s="25"/>
      <c r="L852" s="25"/>
      <c r="M852" s="25"/>
      <c r="N852" s="25"/>
      <c r="O852" s="25"/>
      <c r="P852" s="25"/>
      <c r="Q852" s="25"/>
      <c r="R852" s="25"/>
      <c r="S852" s="151"/>
      <c r="T852" s="151"/>
      <c r="U852" s="151"/>
      <c r="V852" s="73"/>
      <c r="W852" s="28"/>
      <c r="X852" s="24"/>
    </row>
    <row r="853" spans="2:24">
      <c r="B853" s="24"/>
      <c r="C853" s="47"/>
      <c r="D853" s="26"/>
      <c r="E853" s="27"/>
      <c r="F853" s="25"/>
      <c r="G853" s="25"/>
      <c r="H853" s="25"/>
      <c r="I853" s="25"/>
      <c r="J853" s="25"/>
      <c r="K853" s="25"/>
      <c r="L853" s="25"/>
      <c r="M853" s="25"/>
      <c r="N853" s="25"/>
      <c r="O853" s="25"/>
      <c r="P853" s="25"/>
      <c r="Q853" s="25"/>
      <c r="R853" s="25"/>
      <c r="S853" s="151"/>
      <c r="T853" s="151"/>
      <c r="U853" s="151"/>
      <c r="V853" s="73"/>
      <c r="W853" s="28"/>
      <c r="X853" s="24"/>
    </row>
    <row r="854" spans="2:24">
      <c r="B854" s="24"/>
      <c r="C854" s="47"/>
      <c r="D854" s="26"/>
      <c r="E854" s="27"/>
      <c r="F854" s="25"/>
      <c r="G854" s="25"/>
      <c r="H854" s="25"/>
      <c r="I854" s="25"/>
      <c r="J854" s="25"/>
      <c r="K854" s="25"/>
      <c r="L854" s="25"/>
      <c r="M854" s="25"/>
      <c r="N854" s="25"/>
      <c r="O854" s="25"/>
      <c r="P854" s="25"/>
      <c r="Q854" s="25"/>
      <c r="R854" s="25"/>
      <c r="S854" s="151"/>
      <c r="T854" s="151"/>
      <c r="U854" s="151"/>
      <c r="V854" s="73"/>
      <c r="W854" s="28"/>
      <c r="X854" s="24"/>
    </row>
    <row r="855" spans="2:24">
      <c r="B855" s="24"/>
      <c r="C855" s="47"/>
      <c r="D855" s="26"/>
      <c r="E855" s="27"/>
      <c r="F855" s="25"/>
      <c r="G855" s="25"/>
      <c r="H855" s="25"/>
      <c r="I855" s="25"/>
      <c r="J855" s="25"/>
      <c r="K855" s="25"/>
      <c r="L855" s="25"/>
      <c r="M855" s="25"/>
      <c r="N855" s="25"/>
      <c r="O855" s="25"/>
      <c r="P855" s="25"/>
      <c r="Q855" s="25"/>
      <c r="R855" s="25"/>
      <c r="S855" s="151"/>
      <c r="T855" s="151"/>
      <c r="U855" s="151"/>
      <c r="V855" s="73"/>
      <c r="W855" s="28"/>
      <c r="X855" s="24"/>
    </row>
    <row r="856" spans="2:24">
      <c r="B856" s="24"/>
      <c r="C856" s="47"/>
      <c r="D856" s="26"/>
      <c r="E856" s="27"/>
      <c r="F856" s="25"/>
      <c r="G856" s="25"/>
      <c r="H856" s="25"/>
      <c r="I856" s="25"/>
      <c r="J856" s="25"/>
      <c r="K856" s="25"/>
      <c r="L856" s="25"/>
      <c r="M856" s="25"/>
      <c r="N856" s="25"/>
      <c r="O856" s="25"/>
      <c r="P856" s="25"/>
      <c r="Q856" s="25"/>
      <c r="R856" s="25"/>
      <c r="S856" s="151"/>
      <c r="T856" s="151"/>
      <c r="U856" s="151"/>
      <c r="V856" s="73"/>
      <c r="W856" s="28"/>
      <c r="X856" s="24"/>
    </row>
    <row r="857" spans="2:24">
      <c r="B857" s="24"/>
      <c r="C857" s="47"/>
      <c r="D857" s="26"/>
      <c r="E857" s="27"/>
      <c r="F857" s="25"/>
      <c r="G857" s="25"/>
      <c r="H857" s="25"/>
      <c r="I857" s="25"/>
      <c r="J857" s="25"/>
      <c r="K857" s="25"/>
      <c r="L857" s="25"/>
      <c r="M857" s="25"/>
      <c r="N857" s="25"/>
      <c r="O857" s="25"/>
      <c r="P857" s="25"/>
      <c r="Q857" s="25"/>
      <c r="R857" s="25"/>
      <c r="S857" s="151"/>
      <c r="T857" s="151"/>
      <c r="U857" s="151"/>
      <c r="V857" s="73"/>
      <c r="W857" s="28"/>
      <c r="X857" s="24"/>
    </row>
    <row r="858" spans="2:24">
      <c r="B858" s="24"/>
      <c r="C858" s="47"/>
      <c r="D858" s="26"/>
      <c r="E858" s="27"/>
      <c r="F858" s="25"/>
      <c r="G858" s="25"/>
      <c r="H858" s="25"/>
      <c r="I858" s="25"/>
      <c r="J858" s="25"/>
      <c r="K858" s="25"/>
      <c r="L858" s="25"/>
      <c r="M858" s="25"/>
      <c r="N858" s="25"/>
      <c r="O858" s="25"/>
      <c r="P858" s="25"/>
      <c r="Q858" s="25"/>
      <c r="R858" s="25"/>
      <c r="S858" s="151"/>
      <c r="T858" s="151"/>
      <c r="U858" s="151"/>
      <c r="V858" s="73"/>
      <c r="W858" s="28"/>
      <c r="X858" s="24"/>
    </row>
    <row r="859" spans="2:24">
      <c r="B859" s="24"/>
      <c r="C859" s="47"/>
      <c r="D859" s="26"/>
      <c r="E859" s="27"/>
      <c r="F859" s="25"/>
      <c r="G859" s="25"/>
      <c r="H859" s="25"/>
      <c r="I859" s="25"/>
      <c r="J859" s="25"/>
      <c r="K859" s="25"/>
      <c r="L859" s="25"/>
      <c r="M859" s="25"/>
      <c r="N859" s="25"/>
      <c r="O859" s="25"/>
      <c r="P859" s="25"/>
      <c r="Q859" s="25"/>
      <c r="R859" s="25"/>
      <c r="S859" s="151"/>
      <c r="T859" s="151"/>
      <c r="U859" s="151"/>
      <c r="V859" s="73"/>
      <c r="W859" s="28"/>
      <c r="X859" s="24"/>
    </row>
    <row r="860" spans="2:24">
      <c r="B860" s="24"/>
      <c r="C860" s="47"/>
      <c r="D860" s="26"/>
      <c r="E860" s="27"/>
      <c r="F860" s="25"/>
      <c r="G860" s="25"/>
      <c r="H860" s="25"/>
      <c r="I860" s="25"/>
      <c r="J860" s="25"/>
      <c r="K860" s="25"/>
      <c r="L860" s="25"/>
      <c r="M860" s="25"/>
      <c r="N860" s="25"/>
      <c r="O860" s="25"/>
      <c r="P860" s="25"/>
      <c r="Q860" s="25"/>
      <c r="R860" s="25"/>
      <c r="S860" s="151"/>
      <c r="T860" s="151"/>
      <c r="U860" s="151"/>
      <c r="V860" s="73"/>
      <c r="W860" s="28"/>
      <c r="X860" s="24"/>
    </row>
    <row r="861" spans="2:24">
      <c r="B861" s="24"/>
      <c r="C861" s="47"/>
      <c r="D861" s="26"/>
      <c r="E861" s="27"/>
      <c r="F861" s="25"/>
      <c r="G861" s="25"/>
      <c r="H861" s="25"/>
      <c r="I861" s="25"/>
      <c r="J861" s="25"/>
      <c r="K861" s="25"/>
      <c r="L861" s="25"/>
      <c r="M861" s="25"/>
      <c r="N861" s="25"/>
      <c r="O861" s="25"/>
      <c r="P861" s="25"/>
      <c r="Q861" s="25"/>
      <c r="R861" s="25"/>
      <c r="S861" s="151"/>
      <c r="T861" s="151"/>
      <c r="U861" s="151"/>
      <c r="V861" s="73"/>
      <c r="W861" s="28"/>
      <c r="X861" s="24"/>
    </row>
    <row r="862" spans="2:24">
      <c r="B862" s="24"/>
      <c r="C862" s="47"/>
      <c r="D862" s="26"/>
      <c r="E862" s="27"/>
      <c r="F862" s="25"/>
      <c r="G862" s="25"/>
      <c r="H862" s="25"/>
      <c r="I862" s="25"/>
      <c r="J862" s="25"/>
      <c r="K862" s="25"/>
      <c r="L862" s="25"/>
      <c r="M862" s="25"/>
      <c r="N862" s="25"/>
      <c r="O862" s="25"/>
      <c r="P862" s="25"/>
      <c r="Q862" s="25"/>
      <c r="R862" s="25"/>
      <c r="S862" s="151"/>
      <c r="T862" s="151"/>
      <c r="U862" s="151"/>
      <c r="V862" s="73"/>
      <c r="W862" s="28"/>
      <c r="X862" s="24"/>
    </row>
    <row r="863" spans="2:24">
      <c r="B863" s="24"/>
      <c r="C863" s="47"/>
      <c r="D863" s="26"/>
      <c r="E863" s="27"/>
      <c r="F863" s="25"/>
      <c r="G863" s="25"/>
      <c r="H863" s="25"/>
      <c r="I863" s="25"/>
      <c r="J863" s="25"/>
      <c r="K863" s="25"/>
      <c r="L863" s="25"/>
      <c r="M863" s="25"/>
      <c r="N863" s="25"/>
      <c r="O863" s="25"/>
      <c r="P863" s="25"/>
      <c r="Q863" s="25"/>
      <c r="R863" s="25"/>
      <c r="S863" s="151"/>
      <c r="T863" s="151"/>
      <c r="U863" s="151"/>
      <c r="V863" s="73"/>
      <c r="W863" s="28"/>
      <c r="X863" s="24"/>
    </row>
    <row r="864" spans="2:24">
      <c r="B864" s="24"/>
      <c r="C864" s="47"/>
      <c r="D864" s="26"/>
      <c r="E864" s="27"/>
      <c r="F864" s="25"/>
      <c r="G864" s="25"/>
      <c r="H864" s="25"/>
      <c r="I864" s="25"/>
      <c r="J864" s="25"/>
      <c r="K864" s="25"/>
      <c r="L864" s="25"/>
      <c r="M864" s="25"/>
      <c r="N864" s="25"/>
      <c r="O864" s="25"/>
      <c r="P864" s="25"/>
      <c r="Q864" s="25"/>
      <c r="R864" s="25"/>
      <c r="S864" s="151"/>
      <c r="T864" s="151"/>
      <c r="U864" s="151"/>
      <c r="V864" s="73"/>
      <c r="W864" s="28"/>
      <c r="X864" s="24"/>
    </row>
    <row r="865" spans="2:24">
      <c r="B865" s="24"/>
      <c r="C865" s="47"/>
      <c r="D865" s="26"/>
      <c r="E865" s="27"/>
      <c r="F865" s="25"/>
      <c r="G865" s="25"/>
      <c r="H865" s="25"/>
      <c r="I865" s="25"/>
      <c r="J865" s="25"/>
      <c r="K865" s="25"/>
      <c r="L865" s="25"/>
      <c r="M865" s="25"/>
      <c r="N865" s="25"/>
      <c r="O865" s="25"/>
      <c r="P865" s="25"/>
      <c r="Q865" s="25"/>
      <c r="R865" s="25"/>
      <c r="S865" s="151"/>
      <c r="T865" s="151"/>
      <c r="U865" s="151"/>
      <c r="V865" s="73"/>
      <c r="W865" s="28"/>
      <c r="X865" s="24"/>
    </row>
    <row r="866" spans="2:24">
      <c r="B866" s="24"/>
      <c r="C866" s="47"/>
      <c r="D866" s="26"/>
      <c r="E866" s="27"/>
      <c r="F866" s="25"/>
      <c r="G866" s="25"/>
      <c r="H866" s="25"/>
      <c r="I866" s="25"/>
      <c r="J866" s="25"/>
      <c r="K866" s="25"/>
      <c r="L866" s="25"/>
      <c r="M866" s="25"/>
      <c r="N866" s="25"/>
      <c r="O866" s="25"/>
      <c r="P866" s="25"/>
      <c r="Q866" s="25"/>
      <c r="R866" s="25"/>
      <c r="S866" s="151"/>
      <c r="T866" s="151"/>
      <c r="U866" s="151"/>
      <c r="V866" s="73"/>
      <c r="W866" s="28"/>
      <c r="X866" s="24"/>
    </row>
    <row r="867" spans="2:24">
      <c r="B867" s="24"/>
      <c r="C867" s="47"/>
      <c r="D867" s="26"/>
      <c r="E867" s="27"/>
      <c r="F867" s="25"/>
      <c r="G867" s="25"/>
      <c r="H867" s="25"/>
      <c r="I867" s="58"/>
      <c r="J867" s="25"/>
      <c r="K867" s="25"/>
      <c r="L867" s="25"/>
      <c r="M867" s="25"/>
      <c r="N867" s="25"/>
      <c r="O867" s="25"/>
      <c r="P867" s="25"/>
      <c r="Q867" s="25"/>
      <c r="R867" s="25"/>
      <c r="S867" s="151"/>
      <c r="T867" s="151"/>
      <c r="U867" s="151"/>
      <c r="V867" s="73"/>
      <c r="W867" s="28"/>
      <c r="X867" s="24"/>
    </row>
    <row r="868" spans="2:24">
      <c r="B868" s="24"/>
      <c r="C868" s="47"/>
      <c r="D868" s="26"/>
      <c r="E868" s="27"/>
      <c r="F868" s="25"/>
      <c r="G868" s="25"/>
      <c r="H868" s="25"/>
      <c r="I868" s="25"/>
      <c r="J868" s="25"/>
      <c r="K868" s="25"/>
      <c r="L868" s="25"/>
      <c r="M868" s="25"/>
      <c r="N868" s="25"/>
      <c r="O868" s="25"/>
      <c r="P868" s="25"/>
      <c r="Q868" s="25"/>
      <c r="R868" s="25"/>
      <c r="S868" s="151"/>
      <c r="T868" s="151"/>
      <c r="U868" s="151"/>
      <c r="V868" s="73"/>
      <c r="W868" s="28"/>
      <c r="X868" s="24"/>
    </row>
    <row r="869" spans="2:24">
      <c r="B869" s="24"/>
      <c r="C869" s="47"/>
      <c r="D869" s="26"/>
      <c r="E869" s="27"/>
      <c r="F869" s="25"/>
      <c r="G869" s="25"/>
      <c r="H869" s="25"/>
      <c r="I869" s="25"/>
      <c r="J869" s="25"/>
      <c r="K869" s="25"/>
      <c r="L869" s="25"/>
      <c r="M869" s="25"/>
      <c r="N869" s="25"/>
      <c r="O869" s="25"/>
      <c r="P869" s="25"/>
      <c r="Q869" s="25"/>
      <c r="R869" s="25"/>
      <c r="S869" s="151"/>
      <c r="T869" s="151"/>
      <c r="U869" s="151"/>
      <c r="V869" s="73"/>
      <c r="W869" s="28"/>
      <c r="X869" s="24"/>
    </row>
    <row r="870" spans="2:24">
      <c r="B870" s="24"/>
      <c r="C870" s="47"/>
      <c r="D870" s="26"/>
      <c r="E870" s="27"/>
      <c r="F870" s="25"/>
      <c r="G870" s="25"/>
      <c r="H870" s="25"/>
      <c r="I870" s="25"/>
      <c r="J870" s="25"/>
      <c r="K870" s="25"/>
      <c r="L870" s="25"/>
      <c r="M870" s="25"/>
      <c r="N870" s="25"/>
      <c r="O870" s="25"/>
      <c r="P870" s="25"/>
      <c r="Q870" s="25"/>
      <c r="R870" s="25"/>
      <c r="S870" s="151"/>
      <c r="T870" s="151"/>
      <c r="U870" s="151"/>
      <c r="V870" s="73"/>
      <c r="W870" s="28"/>
      <c r="X870" s="24"/>
    </row>
    <row r="871" spans="2:24">
      <c r="B871" s="24"/>
      <c r="C871" s="47"/>
      <c r="D871" s="26"/>
      <c r="E871" s="27"/>
      <c r="F871" s="25"/>
      <c r="G871" s="25"/>
      <c r="H871" s="25"/>
      <c r="I871" s="25"/>
      <c r="J871" s="25"/>
      <c r="K871" s="25"/>
      <c r="L871" s="25"/>
      <c r="M871" s="25"/>
      <c r="N871" s="25"/>
      <c r="O871" s="25"/>
      <c r="P871" s="25"/>
      <c r="Q871" s="25"/>
      <c r="R871" s="25"/>
      <c r="S871" s="151"/>
      <c r="T871" s="151"/>
      <c r="U871" s="151"/>
      <c r="V871" s="73"/>
      <c r="W871" s="28"/>
      <c r="X871" s="24"/>
    </row>
    <row r="872" spans="2:24">
      <c r="B872" s="24"/>
      <c r="C872" s="47"/>
      <c r="D872" s="26"/>
      <c r="E872" s="27"/>
      <c r="F872" s="25"/>
      <c r="G872" s="25"/>
      <c r="H872" s="25"/>
      <c r="I872" s="25"/>
      <c r="J872" s="25"/>
      <c r="K872" s="25"/>
      <c r="L872" s="25"/>
      <c r="M872" s="25"/>
      <c r="N872" s="25"/>
      <c r="O872" s="25"/>
      <c r="P872" s="25"/>
      <c r="Q872" s="25"/>
      <c r="R872" s="25"/>
      <c r="S872" s="151"/>
      <c r="T872" s="151"/>
      <c r="U872" s="151"/>
      <c r="V872" s="73"/>
      <c r="W872" s="28"/>
      <c r="X872" s="24"/>
    </row>
    <row r="873" spans="2:24">
      <c r="B873" s="24"/>
      <c r="C873" s="47"/>
      <c r="D873" s="26"/>
      <c r="E873" s="27"/>
      <c r="F873" s="25"/>
      <c r="G873" s="25"/>
      <c r="H873" s="25"/>
      <c r="I873" s="25"/>
      <c r="J873" s="25"/>
      <c r="K873" s="25"/>
      <c r="L873" s="25"/>
      <c r="M873" s="25"/>
      <c r="N873" s="25"/>
      <c r="O873" s="25"/>
      <c r="P873" s="25"/>
      <c r="Q873" s="25"/>
      <c r="R873" s="25"/>
      <c r="S873" s="151"/>
      <c r="T873" s="151"/>
      <c r="U873" s="151"/>
      <c r="V873" s="73"/>
      <c r="W873" s="28"/>
      <c r="X873" s="24"/>
    </row>
    <row r="874" spans="2:24">
      <c r="B874" s="24"/>
      <c r="C874" s="47"/>
      <c r="D874" s="26"/>
      <c r="E874" s="27"/>
      <c r="F874" s="25"/>
      <c r="G874" s="25"/>
      <c r="H874" s="25"/>
      <c r="I874" s="25"/>
      <c r="J874" s="25"/>
      <c r="K874" s="25"/>
      <c r="L874" s="25"/>
      <c r="M874" s="25"/>
      <c r="N874" s="25"/>
      <c r="O874" s="25"/>
      <c r="P874" s="25"/>
      <c r="Q874" s="25"/>
      <c r="R874" s="25"/>
      <c r="S874" s="151"/>
      <c r="T874" s="151"/>
      <c r="U874" s="151"/>
      <c r="V874" s="73"/>
      <c r="W874" s="28"/>
      <c r="X874" s="24"/>
    </row>
    <row r="875" spans="2:24">
      <c r="B875" s="24"/>
      <c r="C875" s="47"/>
      <c r="D875" s="26"/>
      <c r="E875" s="27"/>
      <c r="F875" s="25"/>
      <c r="G875" s="25"/>
      <c r="H875" s="25"/>
      <c r="I875" s="25"/>
      <c r="J875" s="25"/>
      <c r="K875" s="25"/>
      <c r="L875" s="25"/>
      <c r="M875" s="25"/>
      <c r="N875" s="25"/>
      <c r="O875" s="25"/>
      <c r="P875" s="25"/>
      <c r="Q875" s="25"/>
      <c r="R875" s="25"/>
      <c r="S875" s="151"/>
      <c r="T875" s="151"/>
      <c r="U875" s="151"/>
      <c r="V875" s="73"/>
      <c r="W875" s="28"/>
      <c r="X875" s="24"/>
    </row>
    <row r="876" spans="2:24">
      <c r="B876" s="24"/>
      <c r="C876" s="47"/>
      <c r="D876" s="26"/>
      <c r="E876" s="27"/>
      <c r="F876" s="25"/>
      <c r="G876" s="25"/>
      <c r="H876" s="25"/>
      <c r="I876" s="25"/>
      <c r="J876" s="25"/>
      <c r="K876" s="25"/>
      <c r="L876" s="25"/>
      <c r="M876" s="25"/>
      <c r="N876" s="25"/>
      <c r="O876" s="25"/>
      <c r="P876" s="25"/>
      <c r="Q876" s="25"/>
      <c r="R876" s="25"/>
      <c r="S876" s="151"/>
      <c r="T876" s="151"/>
      <c r="U876" s="151"/>
      <c r="V876" s="73"/>
      <c r="W876" s="28"/>
      <c r="X876" s="24"/>
    </row>
    <row r="877" spans="2:24">
      <c r="B877" s="24"/>
      <c r="C877" s="47"/>
      <c r="D877" s="26"/>
      <c r="E877" s="27"/>
      <c r="F877" s="25"/>
      <c r="G877" s="25"/>
      <c r="H877" s="25"/>
      <c r="I877" s="25"/>
      <c r="J877" s="25"/>
      <c r="K877" s="25"/>
      <c r="L877" s="25"/>
      <c r="M877" s="25"/>
      <c r="N877" s="25"/>
      <c r="O877" s="25"/>
      <c r="P877" s="25"/>
      <c r="Q877" s="25"/>
      <c r="R877" s="25"/>
      <c r="S877" s="151"/>
      <c r="T877" s="151"/>
      <c r="U877" s="151"/>
      <c r="V877" s="73"/>
      <c r="W877" s="28"/>
      <c r="X877" s="24"/>
    </row>
    <row r="878" spans="2:24">
      <c r="B878" s="24"/>
      <c r="C878" s="47"/>
      <c r="D878" s="26"/>
      <c r="E878" s="27"/>
      <c r="F878" s="25"/>
      <c r="G878" s="25"/>
      <c r="H878" s="25"/>
      <c r="I878" s="25"/>
      <c r="J878" s="25"/>
      <c r="K878" s="25"/>
      <c r="L878" s="25"/>
      <c r="M878" s="25"/>
      <c r="N878" s="25"/>
      <c r="O878" s="25"/>
      <c r="P878" s="25"/>
      <c r="Q878" s="25"/>
      <c r="R878" s="25"/>
      <c r="S878" s="151"/>
      <c r="T878" s="151"/>
      <c r="U878" s="151"/>
      <c r="V878" s="73"/>
      <c r="W878" s="28"/>
      <c r="X878" s="24"/>
    </row>
    <row r="879" spans="2:24">
      <c r="B879" s="24"/>
      <c r="C879" s="47"/>
      <c r="D879" s="26"/>
      <c r="E879" s="27"/>
      <c r="F879" s="25"/>
      <c r="G879" s="25"/>
      <c r="H879" s="25"/>
      <c r="I879" s="25"/>
      <c r="J879" s="25"/>
      <c r="K879" s="25"/>
      <c r="L879" s="25"/>
      <c r="M879" s="25"/>
      <c r="N879" s="25"/>
      <c r="O879" s="25"/>
      <c r="P879" s="25"/>
      <c r="Q879" s="25"/>
      <c r="R879" s="25"/>
      <c r="S879" s="151"/>
      <c r="T879" s="151"/>
      <c r="U879" s="151"/>
      <c r="V879" s="73"/>
      <c r="W879" s="28"/>
      <c r="X879" s="24"/>
    </row>
    <row r="880" spans="2:24">
      <c r="B880" s="24"/>
      <c r="C880" s="47"/>
      <c r="D880" s="26"/>
      <c r="E880" s="27"/>
      <c r="F880" s="25"/>
      <c r="G880" s="25"/>
      <c r="H880" s="25"/>
      <c r="I880" s="25"/>
      <c r="J880" s="25"/>
      <c r="K880" s="25"/>
      <c r="L880" s="25"/>
      <c r="M880" s="25"/>
      <c r="N880" s="25"/>
      <c r="O880" s="25"/>
      <c r="P880" s="25"/>
      <c r="Q880" s="25"/>
      <c r="R880" s="25"/>
      <c r="S880" s="151"/>
      <c r="T880" s="151"/>
      <c r="U880" s="151"/>
      <c r="V880" s="73"/>
      <c r="W880" s="28"/>
      <c r="X880" s="24"/>
    </row>
    <row r="881" spans="2:24">
      <c r="B881" s="24"/>
      <c r="C881" s="47"/>
      <c r="D881" s="26"/>
      <c r="E881" s="27"/>
      <c r="F881" s="25"/>
      <c r="G881" s="25"/>
      <c r="H881" s="25"/>
      <c r="I881" s="25"/>
      <c r="J881" s="25"/>
      <c r="K881" s="25"/>
      <c r="L881" s="25"/>
      <c r="M881" s="25"/>
      <c r="N881" s="25"/>
      <c r="O881" s="25"/>
      <c r="P881" s="25"/>
      <c r="Q881" s="25"/>
      <c r="R881" s="25"/>
      <c r="S881" s="151"/>
      <c r="T881" s="151"/>
      <c r="U881" s="151"/>
      <c r="V881" s="73"/>
      <c r="W881" s="28"/>
      <c r="X881" s="24"/>
    </row>
    <row r="882" spans="2:24">
      <c r="B882" s="24"/>
      <c r="C882" s="47"/>
      <c r="D882" s="26"/>
      <c r="E882" s="27"/>
      <c r="F882" s="25"/>
      <c r="G882" s="25"/>
      <c r="H882" s="25"/>
      <c r="I882" s="25"/>
      <c r="J882" s="25"/>
      <c r="K882" s="25"/>
      <c r="L882" s="25"/>
      <c r="M882" s="25"/>
      <c r="N882" s="25"/>
      <c r="O882" s="25"/>
      <c r="P882" s="25"/>
      <c r="Q882" s="25"/>
      <c r="R882" s="25"/>
      <c r="S882" s="151"/>
      <c r="T882" s="151"/>
      <c r="U882" s="151"/>
      <c r="V882" s="73"/>
      <c r="W882" s="28"/>
      <c r="X882" s="24"/>
    </row>
    <row r="883" spans="2:24">
      <c r="B883" s="24"/>
      <c r="C883" s="47"/>
      <c r="D883" s="26"/>
      <c r="E883" s="27"/>
      <c r="F883" s="25"/>
      <c r="G883" s="25"/>
      <c r="H883" s="25"/>
      <c r="I883" s="25"/>
      <c r="J883" s="25"/>
      <c r="K883" s="25"/>
      <c r="L883" s="25"/>
      <c r="M883" s="25"/>
      <c r="N883" s="25"/>
      <c r="O883" s="25"/>
      <c r="P883" s="25"/>
      <c r="Q883" s="25"/>
      <c r="R883" s="25"/>
      <c r="S883" s="151"/>
      <c r="T883" s="151"/>
      <c r="U883" s="151"/>
      <c r="V883" s="73"/>
      <c r="W883" s="28"/>
      <c r="X883" s="24"/>
    </row>
    <row r="884" spans="2:24">
      <c r="B884" s="24"/>
      <c r="C884" s="47"/>
      <c r="D884" s="26"/>
      <c r="E884" s="27"/>
      <c r="F884" s="25"/>
      <c r="G884" s="25"/>
      <c r="H884" s="25"/>
      <c r="I884" s="25"/>
      <c r="J884" s="25"/>
      <c r="K884" s="25"/>
      <c r="L884" s="25"/>
      <c r="M884" s="25"/>
      <c r="N884" s="25"/>
      <c r="O884" s="25"/>
      <c r="P884" s="25"/>
      <c r="Q884" s="25"/>
      <c r="R884" s="25"/>
      <c r="S884" s="151"/>
      <c r="T884" s="151"/>
      <c r="U884" s="151"/>
      <c r="V884" s="73"/>
      <c r="W884" s="28"/>
      <c r="X884" s="24"/>
    </row>
    <row r="885" spans="2:24">
      <c r="B885" s="24"/>
      <c r="C885" s="47"/>
      <c r="D885" s="26"/>
      <c r="E885" s="27"/>
      <c r="F885" s="25"/>
      <c r="G885" s="25"/>
      <c r="H885" s="25"/>
      <c r="I885" s="25"/>
      <c r="J885" s="25"/>
      <c r="K885" s="25"/>
      <c r="L885" s="25"/>
      <c r="M885" s="25"/>
      <c r="N885" s="25"/>
      <c r="O885" s="25"/>
      <c r="P885" s="25"/>
      <c r="Q885" s="25"/>
      <c r="R885" s="25"/>
      <c r="S885" s="151"/>
      <c r="T885" s="151"/>
      <c r="U885" s="151"/>
      <c r="V885" s="73"/>
      <c r="W885" s="28"/>
      <c r="X885" s="24"/>
    </row>
    <row r="886" spans="2:24">
      <c r="B886" s="24"/>
      <c r="C886" s="47"/>
      <c r="D886" s="26"/>
      <c r="E886" s="27"/>
      <c r="F886" s="25"/>
      <c r="G886" s="25"/>
      <c r="H886" s="25"/>
      <c r="I886" s="25"/>
      <c r="J886" s="25"/>
      <c r="K886" s="25"/>
      <c r="L886" s="25"/>
      <c r="M886" s="25"/>
      <c r="N886" s="25"/>
      <c r="O886" s="25"/>
      <c r="P886" s="25"/>
      <c r="Q886" s="25"/>
      <c r="R886" s="25"/>
      <c r="S886" s="151"/>
      <c r="T886" s="151"/>
      <c r="U886" s="151"/>
      <c r="V886" s="73"/>
      <c r="W886" s="28"/>
      <c r="X886" s="24"/>
    </row>
    <row r="887" spans="2:24">
      <c r="B887" s="24"/>
      <c r="C887" s="47"/>
      <c r="D887" s="26"/>
      <c r="E887" s="27"/>
      <c r="F887" s="25"/>
      <c r="G887" s="25"/>
      <c r="H887" s="25"/>
      <c r="I887" s="25"/>
      <c r="J887" s="25"/>
      <c r="K887" s="25"/>
      <c r="L887" s="25"/>
      <c r="M887" s="25"/>
      <c r="N887" s="25"/>
      <c r="O887" s="25"/>
      <c r="P887" s="25"/>
      <c r="Q887" s="25"/>
      <c r="R887" s="25"/>
      <c r="S887" s="151"/>
      <c r="T887" s="151"/>
      <c r="U887" s="151"/>
      <c r="V887" s="73"/>
      <c r="W887" s="28"/>
      <c r="X887" s="24"/>
    </row>
    <row r="888" spans="2:24">
      <c r="B888" s="24"/>
      <c r="C888" s="47"/>
      <c r="D888" s="26"/>
      <c r="E888" s="27"/>
      <c r="F888" s="25"/>
      <c r="G888" s="25"/>
      <c r="H888" s="25"/>
      <c r="I888" s="25"/>
      <c r="J888" s="25"/>
      <c r="K888" s="25"/>
      <c r="L888" s="25"/>
      <c r="M888" s="25"/>
      <c r="N888" s="25"/>
      <c r="O888" s="25"/>
      <c r="P888" s="25"/>
      <c r="Q888" s="25"/>
      <c r="R888" s="25"/>
      <c r="S888" s="151"/>
      <c r="T888" s="151"/>
      <c r="U888" s="151"/>
      <c r="V888" s="73"/>
      <c r="W888" s="28"/>
      <c r="X888" s="24"/>
    </row>
    <row r="889" spans="2:24">
      <c r="B889" s="24"/>
      <c r="C889" s="47"/>
      <c r="D889" s="26"/>
      <c r="E889" s="27"/>
      <c r="F889" s="25"/>
      <c r="G889" s="25"/>
      <c r="H889" s="25"/>
      <c r="I889" s="58"/>
      <c r="J889" s="25"/>
      <c r="K889" s="25"/>
      <c r="L889" s="25"/>
      <c r="M889" s="25"/>
      <c r="N889" s="25"/>
      <c r="O889" s="25"/>
      <c r="P889" s="25"/>
      <c r="Q889" s="25"/>
      <c r="R889" s="25"/>
      <c r="S889" s="151"/>
      <c r="T889" s="151"/>
      <c r="U889" s="151"/>
      <c r="V889" s="73"/>
      <c r="W889" s="28"/>
      <c r="X889" s="24"/>
    </row>
    <row r="890" spans="2:24">
      <c r="B890" s="24"/>
      <c r="C890" s="47"/>
      <c r="D890" s="26"/>
      <c r="E890" s="27"/>
      <c r="F890" s="25"/>
      <c r="G890" s="25"/>
      <c r="H890" s="25"/>
      <c r="I890" s="58"/>
      <c r="J890" s="25"/>
      <c r="K890" s="25"/>
      <c r="L890" s="25"/>
      <c r="M890" s="25"/>
      <c r="N890" s="25"/>
      <c r="O890" s="25"/>
      <c r="P890" s="25"/>
      <c r="Q890" s="25"/>
      <c r="R890" s="25"/>
      <c r="S890" s="151"/>
      <c r="T890" s="151"/>
      <c r="U890" s="151"/>
      <c r="V890" s="73"/>
      <c r="W890" s="28"/>
      <c r="X890" s="24"/>
    </row>
    <row r="891" spans="2:24">
      <c r="B891" s="24"/>
      <c r="C891" s="47"/>
      <c r="D891" s="26"/>
      <c r="E891" s="27"/>
      <c r="F891" s="25"/>
      <c r="G891" s="25"/>
      <c r="H891" s="25"/>
      <c r="I891" s="25"/>
      <c r="J891" s="25"/>
      <c r="K891" s="25"/>
      <c r="L891" s="25"/>
      <c r="M891" s="25"/>
      <c r="N891" s="25"/>
      <c r="O891" s="25"/>
      <c r="P891" s="25"/>
      <c r="Q891" s="25"/>
      <c r="R891" s="25"/>
      <c r="S891" s="151"/>
      <c r="T891" s="151"/>
      <c r="U891" s="151"/>
      <c r="V891" s="73"/>
      <c r="W891" s="28"/>
      <c r="X891" s="24"/>
    </row>
    <row r="892" spans="2:24">
      <c r="B892" s="24"/>
      <c r="C892" s="47"/>
      <c r="D892" s="26"/>
      <c r="E892" s="27"/>
      <c r="F892" s="25"/>
      <c r="G892" s="25"/>
      <c r="H892" s="25"/>
      <c r="I892" s="25"/>
      <c r="J892" s="25"/>
      <c r="K892" s="25"/>
      <c r="L892" s="25"/>
      <c r="M892" s="25"/>
      <c r="N892" s="25"/>
      <c r="O892" s="25"/>
      <c r="P892" s="25"/>
      <c r="Q892" s="25"/>
      <c r="R892" s="25"/>
      <c r="S892" s="151"/>
      <c r="T892" s="151"/>
      <c r="U892" s="151"/>
      <c r="V892" s="73"/>
      <c r="W892" s="28"/>
      <c r="X892" s="24"/>
    </row>
    <row r="893" spans="2:24">
      <c r="B893" s="24"/>
      <c r="C893" s="47"/>
      <c r="D893" s="26"/>
      <c r="E893" s="27"/>
      <c r="F893" s="25"/>
      <c r="G893" s="25"/>
      <c r="H893" s="25"/>
      <c r="I893" s="25"/>
      <c r="J893" s="25"/>
      <c r="K893" s="25"/>
      <c r="L893" s="25"/>
      <c r="M893" s="25"/>
      <c r="N893" s="25"/>
      <c r="O893" s="25"/>
      <c r="P893" s="25"/>
      <c r="Q893" s="25"/>
      <c r="R893" s="25"/>
      <c r="S893" s="151"/>
      <c r="T893" s="151"/>
      <c r="U893" s="151"/>
      <c r="V893" s="73"/>
      <c r="W893" s="28"/>
      <c r="X893" s="24"/>
    </row>
    <row r="894" spans="2:24">
      <c r="B894" s="24"/>
      <c r="C894" s="47"/>
      <c r="D894" s="26"/>
      <c r="E894" s="27"/>
      <c r="F894" s="25"/>
      <c r="G894" s="25"/>
      <c r="H894" s="25"/>
      <c r="I894" s="25"/>
      <c r="J894" s="25"/>
      <c r="K894" s="25"/>
      <c r="L894" s="25"/>
      <c r="M894" s="25"/>
      <c r="N894" s="25"/>
      <c r="O894" s="25"/>
      <c r="P894" s="25"/>
      <c r="Q894" s="25"/>
      <c r="R894" s="25"/>
      <c r="S894" s="151"/>
      <c r="T894" s="151"/>
      <c r="U894" s="151"/>
      <c r="V894" s="73"/>
      <c r="W894" s="28"/>
      <c r="X894" s="24"/>
    </row>
    <row r="895" spans="2:24">
      <c r="B895" s="24"/>
      <c r="C895" s="47"/>
      <c r="D895" s="26"/>
      <c r="E895" s="27"/>
      <c r="F895" s="25"/>
      <c r="G895" s="25"/>
      <c r="H895" s="25"/>
      <c r="I895" s="25"/>
      <c r="J895" s="25"/>
      <c r="K895" s="25"/>
      <c r="L895" s="25"/>
      <c r="M895" s="25"/>
      <c r="N895" s="25"/>
      <c r="O895" s="25"/>
      <c r="P895" s="25"/>
      <c r="Q895" s="25"/>
      <c r="R895" s="25"/>
      <c r="S895" s="151"/>
      <c r="T895" s="151"/>
      <c r="U895" s="151"/>
      <c r="V895" s="73"/>
      <c r="W895" s="28"/>
      <c r="X895" s="24"/>
    </row>
    <row r="896" spans="2:24">
      <c r="B896" s="24"/>
      <c r="C896" s="47"/>
      <c r="D896" s="26"/>
      <c r="E896" s="27"/>
      <c r="F896" s="25"/>
      <c r="G896" s="25"/>
      <c r="H896" s="25"/>
      <c r="I896" s="25"/>
      <c r="J896" s="25"/>
      <c r="K896" s="25"/>
      <c r="L896" s="25"/>
      <c r="M896" s="25"/>
      <c r="N896" s="25"/>
      <c r="O896" s="25"/>
      <c r="P896" s="25"/>
      <c r="Q896" s="25"/>
      <c r="R896" s="25"/>
      <c r="S896" s="151"/>
      <c r="T896" s="151"/>
      <c r="U896" s="151"/>
      <c r="V896" s="73"/>
      <c r="W896" s="28"/>
      <c r="X896" s="24"/>
    </row>
    <row r="897" spans="2:24">
      <c r="B897" s="24"/>
      <c r="C897" s="47"/>
      <c r="D897" s="26"/>
      <c r="E897" s="27"/>
      <c r="F897" s="25"/>
      <c r="G897" s="25"/>
      <c r="H897" s="25"/>
      <c r="I897" s="25"/>
      <c r="J897" s="25"/>
      <c r="K897" s="25"/>
      <c r="L897" s="25"/>
      <c r="M897" s="25"/>
      <c r="N897" s="25"/>
      <c r="O897" s="25"/>
      <c r="P897" s="25"/>
      <c r="Q897" s="25"/>
      <c r="R897" s="25"/>
      <c r="S897" s="151"/>
      <c r="T897" s="151"/>
      <c r="U897" s="151"/>
      <c r="V897" s="73"/>
      <c r="W897" s="28"/>
      <c r="X897" s="24"/>
    </row>
    <row r="898" spans="2:24">
      <c r="B898" s="24"/>
      <c r="C898" s="47"/>
      <c r="D898" s="26"/>
      <c r="E898" s="27"/>
      <c r="F898" s="25"/>
      <c r="G898" s="25"/>
      <c r="H898" s="25"/>
      <c r="I898" s="25"/>
      <c r="J898" s="25"/>
      <c r="K898" s="25"/>
      <c r="L898" s="25"/>
      <c r="M898" s="25"/>
      <c r="N898" s="25"/>
      <c r="O898" s="25"/>
      <c r="P898" s="25"/>
      <c r="Q898" s="25"/>
      <c r="R898" s="25"/>
      <c r="S898" s="151"/>
      <c r="T898" s="151"/>
      <c r="U898" s="151"/>
      <c r="V898" s="73"/>
      <c r="W898" s="28"/>
      <c r="X898" s="24"/>
    </row>
    <row r="899" spans="2:24">
      <c r="B899" s="24"/>
      <c r="C899" s="47"/>
      <c r="D899" s="26"/>
      <c r="E899" s="27"/>
      <c r="F899" s="25"/>
      <c r="G899" s="25"/>
      <c r="H899" s="25"/>
      <c r="I899" s="25"/>
      <c r="J899" s="25"/>
      <c r="K899" s="25"/>
      <c r="L899" s="25"/>
      <c r="M899" s="25"/>
      <c r="N899" s="25"/>
      <c r="O899" s="25"/>
      <c r="P899" s="25"/>
      <c r="Q899" s="25"/>
      <c r="R899" s="25"/>
      <c r="S899" s="151"/>
      <c r="T899" s="151"/>
      <c r="U899" s="151"/>
      <c r="V899" s="73"/>
      <c r="W899" s="28"/>
      <c r="X899" s="24"/>
    </row>
    <row r="900" spans="2:24">
      <c r="B900" s="24"/>
      <c r="C900" s="47"/>
      <c r="D900" s="26"/>
      <c r="E900" s="27"/>
      <c r="F900" s="25"/>
      <c r="G900" s="25"/>
      <c r="H900" s="25"/>
      <c r="I900" s="25"/>
      <c r="J900" s="25"/>
      <c r="K900" s="25"/>
      <c r="L900" s="25"/>
      <c r="M900" s="25"/>
      <c r="N900" s="25"/>
      <c r="O900" s="25"/>
      <c r="P900" s="25"/>
      <c r="Q900" s="25"/>
      <c r="R900" s="25"/>
      <c r="S900" s="151"/>
      <c r="T900" s="151"/>
      <c r="U900" s="151"/>
      <c r="V900" s="73"/>
      <c r="W900" s="28"/>
      <c r="X900" s="24"/>
    </row>
    <row r="901" spans="2:24">
      <c r="B901" s="24"/>
      <c r="C901" s="47"/>
      <c r="D901" s="26"/>
      <c r="E901" s="27"/>
      <c r="F901" s="25"/>
      <c r="G901" s="25"/>
      <c r="H901" s="25"/>
      <c r="I901" s="25"/>
      <c r="J901" s="25"/>
      <c r="K901" s="25"/>
      <c r="L901" s="25"/>
      <c r="M901" s="25"/>
      <c r="N901" s="25"/>
      <c r="O901" s="25"/>
      <c r="P901" s="25"/>
      <c r="Q901" s="25"/>
      <c r="R901" s="25"/>
      <c r="S901" s="151"/>
      <c r="T901" s="151"/>
      <c r="U901" s="151"/>
      <c r="V901" s="73"/>
      <c r="W901" s="28"/>
      <c r="X901" s="24"/>
    </row>
    <row r="902" spans="2:24">
      <c r="B902" s="24"/>
      <c r="C902" s="47"/>
      <c r="D902" s="26"/>
      <c r="E902" s="27"/>
      <c r="F902" s="25"/>
      <c r="G902" s="25"/>
      <c r="H902" s="25"/>
      <c r="I902" s="25"/>
      <c r="J902" s="25"/>
      <c r="K902" s="25"/>
      <c r="L902" s="25"/>
      <c r="M902" s="25"/>
      <c r="N902" s="25"/>
      <c r="O902" s="25"/>
      <c r="P902" s="25"/>
      <c r="Q902" s="25"/>
      <c r="R902" s="25"/>
      <c r="S902" s="151"/>
      <c r="T902" s="151"/>
      <c r="U902" s="151"/>
      <c r="V902" s="73"/>
      <c r="W902" s="28"/>
      <c r="X902" s="24"/>
    </row>
    <row r="903" spans="2:24">
      <c r="B903" s="24"/>
      <c r="C903" s="47"/>
      <c r="D903" s="26"/>
      <c r="E903" s="27"/>
      <c r="F903" s="25"/>
      <c r="G903" s="25"/>
      <c r="H903" s="25"/>
      <c r="I903" s="25"/>
      <c r="J903" s="25"/>
      <c r="K903" s="25"/>
      <c r="L903" s="25"/>
      <c r="M903" s="25"/>
      <c r="N903" s="25"/>
      <c r="O903" s="25"/>
      <c r="P903" s="25"/>
      <c r="Q903" s="25"/>
      <c r="R903" s="25"/>
      <c r="S903" s="151"/>
      <c r="T903" s="151"/>
      <c r="U903" s="151"/>
      <c r="V903" s="73"/>
      <c r="W903" s="28"/>
      <c r="X903" s="24"/>
    </row>
    <row r="904" spans="2:24">
      <c r="B904" s="24"/>
      <c r="C904" s="47"/>
      <c r="D904" s="26"/>
      <c r="E904" s="27"/>
      <c r="F904" s="25"/>
      <c r="G904" s="25"/>
      <c r="H904" s="25"/>
      <c r="I904" s="25"/>
      <c r="J904" s="25"/>
      <c r="K904" s="25"/>
      <c r="L904" s="25"/>
      <c r="M904" s="25"/>
      <c r="N904" s="25"/>
      <c r="O904" s="25"/>
      <c r="P904" s="25"/>
      <c r="Q904" s="25"/>
      <c r="R904" s="25"/>
      <c r="S904" s="151"/>
      <c r="T904" s="151"/>
      <c r="U904" s="151"/>
      <c r="V904" s="73"/>
      <c r="W904" s="28"/>
      <c r="X904" s="24"/>
    </row>
    <row r="905" spans="2:24">
      <c r="B905" s="24"/>
      <c r="C905" s="47"/>
      <c r="D905" s="26"/>
      <c r="E905" s="27"/>
      <c r="F905" s="25"/>
      <c r="G905" s="25"/>
      <c r="H905" s="25"/>
      <c r="I905" s="25"/>
      <c r="J905" s="25"/>
      <c r="K905" s="25"/>
      <c r="L905" s="25"/>
      <c r="M905" s="25"/>
      <c r="N905" s="25"/>
      <c r="O905" s="25"/>
      <c r="P905" s="25"/>
      <c r="Q905" s="25"/>
      <c r="R905" s="25"/>
      <c r="S905" s="151"/>
      <c r="T905" s="151"/>
      <c r="U905" s="151"/>
      <c r="V905" s="73"/>
      <c r="W905" s="28"/>
      <c r="X905" s="24"/>
    </row>
    <row r="906" spans="2:24">
      <c r="B906" s="24"/>
      <c r="C906" s="47"/>
      <c r="D906" s="26"/>
      <c r="E906" s="27"/>
      <c r="F906" s="25"/>
      <c r="G906" s="25"/>
      <c r="H906" s="25"/>
      <c r="I906" s="25"/>
      <c r="J906" s="25"/>
      <c r="K906" s="25"/>
      <c r="L906" s="25"/>
      <c r="M906" s="25"/>
      <c r="N906" s="25"/>
      <c r="O906" s="25"/>
      <c r="P906" s="25"/>
      <c r="Q906" s="25"/>
      <c r="R906" s="25"/>
      <c r="S906" s="151"/>
      <c r="T906" s="151"/>
      <c r="U906" s="151"/>
      <c r="V906" s="73"/>
      <c r="W906" s="28"/>
      <c r="X906" s="24"/>
    </row>
    <row r="907" spans="2:24">
      <c r="B907" s="24"/>
      <c r="C907" s="47"/>
      <c r="D907" s="26"/>
      <c r="E907" s="27"/>
      <c r="F907" s="25"/>
      <c r="G907" s="25"/>
      <c r="H907" s="25"/>
      <c r="I907" s="25"/>
      <c r="J907" s="25"/>
      <c r="K907" s="25"/>
      <c r="L907" s="25"/>
      <c r="M907" s="25"/>
      <c r="N907" s="25"/>
      <c r="O907" s="25"/>
      <c r="P907" s="25"/>
      <c r="Q907" s="25"/>
      <c r="R907" s="25"/>
      <c r="S907" s="151"/>
      <c r="T907" s="151"/>
      <c r="U907" s="151"/>
      <c r="V907" s="73"/>
      <c r="W907" s="28"/>
      <c r="X907" s="24"/>
    </row>
    <row r="908" spans="2:24">
      <c r="B908" s="24"/>
      <c r="C908" s="47"/>
      <c r="D908" s="26"/>
      <c r="E908" s="27"/>
      <c r="F908" s="25"/>
      <c r="G908" s="25"/>
      <c r="H908" s="25"/>
      <c r="I908" s="25"/>
      <c r="J908" s="25"/>
      <c r="K908" s="25"/>
      <c r="L908" s="25"/>
      <c r="M908" s="25"/>
      <c r="N908" s="25"/>
      <c r="O908" s="25"/>
      <c r="P908" s="25"/>
      <c r="Q908" s="25"/>
      <c r="R908" s="25"/>
      <c r="S908" s="151"/>
      <c r="T908" s="151"/>
      <c r="U908" s="151"/>
      <c r="V908" s="73"/>
      <c r="W908" s="28"/>
      <c r="X908" s="24"/>
    </row>
    <row r="909" spans="2:24">
      <c r="B909" s="24"/>
      <c r="C909" s="47"/>
      <c r="D909" s="26"/>
      <c r="E909" s="27"/>
      <c r="F909" s="25"/>
      <c r="G909" s="25"/>
      <c r="H909" s="25"/>
      <c r="I909" s="25"/>
      <c r="J909" s="25"/>
      <c r="K909" s="25"/>
      <c r="L909" s="25"/>
      <c r="M909" s="25"/>
      <c r="N909" s="25"/>
      <c r="O909" s="25"/>
      <c r="P909" s="25"/>
      <c r="Q909" s="25"/>
      <c r="R909" s="25"/>
      <c r="S909" s="151"/>
      <c r="T909" s="151"/>
      <c r="U909" s="151"/>
      <c r="V909" s="73"/>
      <c r="W909" s="28"/>
      <c r="X909" s="24"/>
    </row>
    <row r="910" spans="2:24">
      <c r="B910" s="24"/>
      <c r="C910" s="47"/>
      <c r="D910" s="26"/>
      <c r="E910" s="27"/>
      <c r="F910" s="25"/>
      <c r="G910" s="25"/>
      <c r="H910" s="25"/>
      <c r="I910" s="25"/>
      <c r="J910" s="25"/>
      <c r="K910" s="25"/>
      <c r="L910" s="25"/>
      <c r="M910" s="25"/>
      <c r="N910" s="25"/>
      <c r="O910" s="25"/>
      <c r="P910" s="25"/>
      <c r="Q910" s="25"/>
      <c r="R910" s="25"/>
      <c r="S910" s="151"/>
      <c r="T910" s="151"/>
      <c r="U910" s="151"/>
      <c r="V910" s="73"/>
      <c r="W910" s="28"/>
      <c r="X910" s="24"/>
    </row>
    <row r="911" spans="2:24">
      <c r="B911" s="24"/>
      <c r="C911" s="47"/>
      <c r="D911" s="26"/>
      <c r="E911" s="27"/>
      <c r="F911" s="25"/>
      <c r="G911" s="25"/>
      <c r="H911" s="25"/>
      <c r="I911" s="25"/>
      <c r="J911" s="25"/>
      <c r="K911" s="25"/>
      <c r="L911" s="25"/>
      <c r="M911" s="25"/>
      <c r="N911" s="25"/>
      <c r="O911" s="25"/>
      <c r="P911" s="25"/>
      <c r="Q911" s="25"/>
      <c r="R911" s="25"/>
      <c r="S911" s="151"/>
      <c r="T911" s="151"/>
      <c r="U911" s="151"/>
      <c r="V911" s="73"/>
      <c r="W911" s="28"/>
      <c r="X911" s="24"/>
    </row>
    <row r="912" spans="2:24">
      <c r="B912" s="24"/>
      <c r="C912" s="47"/>
      <c r="D912" s="26"/>
      <c r="E912" s="27"/>
      <c r="F912" s="25"/>
      <c r="G912" s="25"/>
      <c r="H912" s="25"/>
      <c r="I912" s="25"/>
      <c r="J912" s="25"/>
      <c r="K912" s="25"/>
      <c r="L912" s="25"/>
      <c r="M912" s="25"/>
      <c r="N912" s="25"/>
      <c r="O912" s="25"/>
      <c r="P912" s="25"/>
      <c r="Q912" s="25"/>
      <c r="R912" s="25"/>
      <c r="S912" s="151"/>
      <c r="T912" s="151"/>
      <c r="U912" s="151"/>
      <c r="V912" s="73"/>
      <c r="W912" s="28"/>
      <c r="X912" s="24"/>
    </row>
    <row r="913" spans="2:24">
      <c r="B913" s="24"/>
      <c r="C913" s="47"/>
      <c r="D913" s="26"/>
      <c r="E913" s="27"/>
      <c r="F913" s="25"/>
      <c r="G913" s="25"/>
      <c r="H913" s="25"/>
      <c r="I913" s="25"/>
      <c r="J913" s="25"/>
      <c r="K913" s="25"/>
      <c r="L913" s="25"/>
      <c r="M913" s="25"/>
      <c r="N913" s="25"/>
      <c r="O913" s="25"/>
      <c r="P913" s="25"/>
      <c r="Q913" s="25"/>
      <c r="R913" s="25"/>
      <c r="S913" s="151"/>
      <c r="T913" s="151"/>
      <c r="U913" s="151"/>
      <c r="V913" s="73"/>
      <c r="W913" s="28"/>
      <c r="X913" s="24"/>
    </row>
    <row r="914" spans="2:24">
      <c r="B914" s="24"/>
      <c r="C914" s="47"/>
      <c r="D914" s="26"/>
      <c r="E914" s="27"/>
      <c r="F914" s="25"/>
      <c r="G914" s="25"/>
      <c r="H914" s="25"/>
      <c r="I914" s="25"/>
      <c r="J914" s="25"/>
      <c r="K914" s="25"/>
      <c r="L914" s="25"/>
      <c r="M914" s="25"/>
      <c r="N914" s="25"/>
      <c r="O914" s="25"/>
      <c r="P914" s="25"/>
      <c r="Q914" s="25"/>
      <c r="R914" s="25"/>
      <c r="S914" s="151"/>
      <c r="T914" s="151"/>
      <c r="U914" s="151"/>
      <c r="V914" s="73"/>
      <c r="W914" s="28"/>
      <c r="X914" s="24"/>
    </row>
    <row r="915" spans="2:24">
      <c r="B915" s="24"/>
      <c r="C915" s="47"/>
      <c r="D915" s="26"/>
      <c r="E915" s="27"/>
      <c r="F915" s="25"/>
      <c r="G915" s="25"/>
      <c r="H915" s="25"/>
      <c r="I915" s="25"/>
      <c r="J915" s="25"/>
      <c r="K915" s="25"/>
      <c r="L915" s="25"/>
      <c r="M915" s="25"/>
      <c r="N915" s="25"/>
      <c r="O915" s="25"/>
      <c r="P915" s="25"/>
      <c r="Q915" s="25"/>
      <c r="R915" s="25"/>
      <c r="S915" s="151"/>
      <c r="T915" s="151"/>
      <c r="U915" s="151"/>
      <c r="V915" s="73"/>
      <c r="W915" s="28"/>
      <c r="X915" s="24"/>
    </row>
    <row r="916" spans="2:24">
      <c r="B916" s="24"/>
      <c r="C916" s="47"/>
      <c r="D916" s="26"/>
      <c r="E916" s="27"/>
      <c r="F916" s="25"/>
      <c r="G916" s="25"/>
      <c r="H916" s="25"/>
      <c r="I916" s="25"/>
      <c r="J916" s="25"/>
      <c r="K916" s="25"/>
      <c r="L916" s="25"/>
      <c r="M916" s="25"/>
      <c r="N916" s="25"/>
      <c r="O916" s="25"/>
      <c r="P916" s="25"/>
      <c r="Q916" s="25"/>
      <c r="R916" s="25"/>
      <c r="S916" s="151"/>
      <c r="T916" s="151"/>
      <c r="U916" s="151"/>
      <c r="V916" s="73"/>
      <c r="W916" s="28"/>
      <c r="X916" s="24"/>
    </row>
    <row r="917" spans="2:24">
      <c r="B917" s="24"/>
      <c r="C917" s="47"/>
      <c r="D917" s="26"/>
      <c r="E917" s="27"/>
      <c r="F917" s="25"/>
      <c r="G917" s="25"/>
      <c r="H917" s="25"/>
      <c r="I917" s="25"/>
      <c r="J917" s="25"/>
      <c r="K917" s="25"/>
      <c r="L917" s="25"/>
      <c r="M917" s="25"/>
      <c r="N917" s="25"/>
      <c r="O917" s="25"/>
      <c r="P917" s="25"/>
      <c r="Q917" s="25"/>
      <c r="R917" s="25"/>
      <c r="S917" s="151"/>
      <c r="T917" s="151"/>
      <c r="U917" s="151"/>
      <c r="V917" s="73"/>
      <c r="W917" s="28"/>
      <c r="X917" s="24"/>
    </row>
    <row r="918" spans="2:24">
      <c r="B918" s="24"/>
      <c r="C918" s="47"/>
      <c r="D918" s="26"/>
      <c r="E918" s="27"/>
      <c r="F918" s="25"/>
      <c r="G918" s="25"/>
      <c r="H918" s="25"/>
      <c r="I918" s="25"/>
      <c r="J918" s="25"/>
      <c r="K918" s="25"/>
      <c r="L918" s="25"/>
      <c r="M918" s="25"/>
      <c r="N918" s="25"/>
      <c r="O918" s="25"/>
      <c r="P918" s="25"/>
      <c r="Q918" s="25"/>
      <c r="R918" s="25"/>
      <c r="S918" s="151"/>
      <c r="T918" s="151"/>
      <c r="U918" s="151"/>
      <c r="V918" s="73"/>
      <c r="W918" s="28"/>
      <c r="X918" s="24"/>
    </row>
    <row r="919" spans="2:24">
      <c r="B919" s="24"/>
      <c r="C919" s="47"/>
      <c r="D919" s="26"/>
      <c r="E919" s="27"/>
      <c r="F919" s="25"/>
      <c r="G919" s="25"/>
      <c r="H919" s="25"/>
      <c r="I919" s="25"/>
      <c r="J919" s="25"/>
      <c r="K919" s="25"/>
      <c r="L919" s="25"/>
      <c r="M919" s="25"/>
      <c r="N919" s="25"/>
      <c r="O919" s="25"/>
      <c r="P919" s="25"/>
      <c r="Q919" s="25"/>
      <c r="R919" s="25"/>
      <c r="S919" s="151"/>
      <c r="T919" s="151"/>
      <c r="U919" s="151"/>
      <c r="V919" s="73"/>
      <c r="W919" s="28"/>
      <c r="X919" s="24"/>
    </row>
    <row r="920" spans="2:24">
      <c r="B920" s="24"/>
      <c r="C920" s="47"/>
      <c r="D920" s="26"/>
      <c r="E920" s="27"/>
      <c r="F920" s="25"/>
      <c r="G920" s="25"/>
      <c r="H920" s="25"/>
      <c r="I920" s="25"/>
      <c r="J920" s="25"/>
      <c r="K920" s="25"/>
      <c r="L920" s="25"/>
      <c r="M920" s="25"/>
      <c r="N920" s="25"/>
      <c r="O920" s="25"/>
      <c r="P920" s="25"/>
      <c r="Q920" s="25"/>
      <c r="R920" s="25"/>
      <c r="S920" s="151"/>
      <c r="T920" s="151"/>
      <c r="U920" s="151"/>
      <c r="V920" s="73"/>
      <c r="W920" s="28"/>
      <c r="X920" s="24"/>
    </row>
    <row r="921" spans="2:24">
      <c r="B921" s="24"/>
      <c r="C921" s="47"/>
      <c r="D921" s="26"/>
      <c r="E921" s="27"/>
      <c r="F921" s="25"/>
      <c r="G921" s="25"/>
      <c r="H921" s="25"/>
      <c r="I921" s="25"/>
      <c r="J921" s="25"/>
      <c r="K921" s="25"/>
      <c r="L921" s="25"/>
      <c r="M921" s="25"/>
      <c r="N921" s="25"/>
      <c r="O921" s="25"/>
      <c r="P921" s="25"/>
      <c r="Q921" s="25"/>
      <c r="R921" s="25"/>
      <c r="S921" s="151"/>
      <c r="T921" s="151"/>
      <c r="U921" s="151"/>
      <c r="V921" s="73"/>
      <c r="W921" s="28"/>
      <c r="X921" s="24"/>
    </row>
    <row r="922" spans="2:24">
      <c r="B922" s="24"/>
      <c r="C922" s="47"/>
      <c r="D922" s="26"/>
      <c r="E922" s="27"/>
      <c r="F922" s="25"/>
      <c r="G922" s="25"/>
      <c r="H922" s="25"/>
      <c r="I922" s="25"/>
      <c r="J922" s="25"/>
      <c r="K922" s="25"/>
      <c r="L922" s="25"/>
      <c r="M922" s="25"/>
      <c r="N922" s="25"/>
      <c r="O922" s="25"/>
      <c r="P922" s="25"/>
      <c r="Q922" s="25"/>
      <c r="R922" s="25"/>
      <c r="S922" s="151"/>
      <c r="T922" s="151"/>
      <c r="U922" s="151"/>
      <c r="V922" s="73"/>
      <c r="W922" s="28"/>
      <c r="X922" s="24"/>
    </row>
    <row r="923" spans="2:24">
      <c r="B923" s="24"/>
      <c r="C923" s="47"/>
      <c r="D923" s="26"/>
      <c r="E923" s="27"/>
      <c r="F923" s="25"/>
      <c r="G923" s="25"/>
      <c r="H923" s="25"/>
      <c r="I923" s="25"/>
      <c r="J923" s="25"/>
      <c r="K923" s="25"/>
      <c r="L923" s="25"/>
      <c r="M923" s="25"/>
      <c r="N923" s="25"/>
      <c r="O923" s="25"/>
      <c r="P923" s="25"/>
      <c r="Q923" s="25"/>
      <c r="R923" s="25"/>
      <c r="S923" s="151"/>
      <c r="T923" s="151"/>
      <c r="U923" s="151"/>
      <c r="V923" s="73"/>
      <c r="W923" s="28"/>
      <c r="X923" s="24"/>
    </row>
    <row r="924" spans="2:24">
      <c r="B924" s="24"/>
      <c r="C924" s="47"/>
      <c r="D924" s="26"/>
      <c r="E924" s="27"/>
      <c r="F924" s="25"/>
      <c r="G924" s="25"/>
      <c r="H924" s="25"/>
      <c r="I924" s="25"/>
      <c r="J924" s="25"/>
      <c r="K924" s="25"/>
      <c r="L924" s="25"/>
      <c r="M924" s="25"/>
      <c r="N924" s="25"/>
      <c r="O924" s="25"/>
      <c r="P924" s="25"/>
      <c r="Q924" s="25"/>
      <c r="R924" s="25"/>
      <c r="S924" s="151"/>
      <c r="T924" s="151"/>
      <c r="U924" s="151"/>
      <c r="V924" s="73"/>
      <c r="W924" s="28"/>
      <c r="X924" s="24"/>
    </row>
    <row r="925" spans="2:24">
      <c r="B925" s="24"/>
      <c r="C925" s="47"/>
      <c r="D925" s="26"/>
      <c r="E925" s="27"/>
      <c r="F925" s="25"/>
      <c r="G925" s="25"/>
      <c r="H925" s="25"/>
      <c r="I925" s="25"/>
      <c r="J925" s="25"/>
      <c r="K925" s="25"/>
      <c r="L925" s="25"/>
      <c r="M925" s="25"/>
      <c r="N925" s="25"/>
      <c r="O925" s="25"/>
      <c r="P925" s="25"/>
      <c r="Q925" s="25"/>
      <c r="R925" s="25"/>
      <c r="S925" s="151"/>
      <c r="T925" s="151"/>
      <c r="U925" s="151"/>
      <c r="V925" s="73"/>
      <c r="W925" s="28"/>
      <c r="X925" s="24"/>
    </row>
    <row r="926" spans="2:24">
      <c r="B926" s="24"/>
      <c r="C926" s="47"/>
      <c r="D926" s="26"/>
      <c r="E926" s="27"/>
      <c r="F926" s="25"/>
      <c r="G926" s="25"/>
      <c r="H926" s="25"/>
      <c r="I926" s="25"/>
      <c r="J926" s="25"/>
      <c r="K926" s="25"/>
      <c r="L926" s="25"/>
      <c r="M926" s="25"/>
      <c r="N926" s="25"/>
      <c r="O926" s="25"/>
      <c r="P926" s="25"/>
      <c r="Q926" s="25"/>
      <c r="R926" s="25"/>
      <c r="S926" s="151"/>
      <c r="T926" s="151"/>
      <c r="U926" s="151"/>
      <c r="V926" s="73"/>
      <c r="W926" s="28"/>
      <c r="X926" s="24"/>
    </row>
    <row r="927" spans="2:24">
      <c r="B927" s="24"/>
      <c r="C927" s="47"/>
      <c r="D927" s="26"/>
      <c r="E927" s="27"/>
      <c r="F927" s="25"/>
      <c r="G927" s="25"/>
      <c r="H927" s="25"/>
      <c r="I927" s="25"/>
      <c r="J927" s="25"/>
      <c r="K927" s="25"/>
      <c r="L927" s="25"/>
      <c r="M927" s="25"/>
      <c r="N927" s="25"/>
      <c r="O927" s="25"/>
      <c r="P927" s="25"/>
      <c r="Q927" s="25"/>
      <c r="R927" s="25"/>
      <c r="S927" s="151"/>
      <c r="T927" s="151"/>
      <c r="U927" s="151"/>
      <c r="V927" s="73"/>
      <c r="W927" s="28"/>
      <c r="X927" s="24"/>
    </row>
    <row r="928" spans="2:24">
      <c r="B928" s="24"/>
      <c r="C928" s="47"/>
      <c r="D928" s="26"/>
      <c r="E928" s="27"/>
      <c r="F928" s="25"/>
      <c r="G928" s="25"/>
      <c r="H928" s="25"/>
      <c r="I928" s="25"/>
      <c r="J928" s="25"/>
      <c r="K928" s="25"/>
      <c r="L928" s="25"/>
      <c r="M928" s="25"/>
      <c r="N928" s="25"/>
      <c r="O928" s="25"/>
      <c r="P928" s="25"/>
      <c r="Q928" s="25"/>
      <c r="R928" s="25"/>
      <c r="S928" s="151"/>
      <c r="T928" s="151"/>
      <c r="U928" s="151"/>
      <c r="V928" s="73"/>
      <c r="W928" s="28"/>
      <c r="X928" s="24"/>
    </row>
    <row r="929" spans="2:24">
      <c r="B929" s="24"/>
      <c r="C929" s="47"/>
      <c r="D929" s="26"/>
      <c r="E929" s="27"/>
      <c r="F929" s="25"/>
      <c r="G929" s="25"/>
      <c r="H929" s="25"/>
      <c r="I929" s="25"/>
      <c r="J929" s="25"/>
      <c r="K929" s="25"/>
      <c r="L929" s="25"/>
      <c r="M929" s="25"/>
      <c r="N929" s="25"/>
      <c r="O929" s="25"/>
      <c r="P929" s="25"/>
      <c r="Q929" s="25"/>
      <c r="R929" s="25"/>
      <c r="S929" s="151"/>
      <c r="T929" s="151"/>
      <c r="U929" s="151"/>
      <c r="V929" s="73"/>
      <c r="W929" s="28"/>
      <c r="X929" s="24"/>
    </row>
    <row r="930" spans="2:24">
      <c r="B930" s="24"/>
      <c r="C930" s="47"/>
      <c r="D930" s="26"/>
      <c r="E930" s="27"/>
      <c r="F930" s="25"/>
      <c r="G930" s="25"/>
      <c r="H930" s="25"/>
      <c r="I930" s="25"/>
      <c r="J930" s="25"/>
      <c r="K930" s="25"/>
      <c r="L930" s="25"/>
      <c r="M930" s="25"/>
      <c r="N930" s="25"/>
      <c r="O930" s="25"/>
      <c r="P930" s="25"/>
      <c r="Q930" s="25"/>
      <c r="R930" s="25"/>
      <c r="S930" s="151"/>
      <c r="T930" s="151"/>
      <c r="U930" s="151"/>
      <c r="V930" s="73"/>
      <c r="W930" s="28"/>
      <c r="X930" s="24"/>
    </row>
    <row r="931" spans="2:24">
      <c r="B931" s="24"/>
      <c r="C931" s="47"/>
      <c r="D931" s="26"/>
      <c r="E931" s="27"/>
      <c r="F931" s="25"/>
      <c r="G931" s="25"/>
      <c r="H931" s="25"/>
      <c r="I931" s="25"/>
      <c r="J931" s="25"/>
      <c r="K931" s="25"/>
      <c r="L931" s="25"/>
      <c r="M931" s="25"/>
      <c r="N931" s="25"/>
      <c r="O931" s="25"/>
      <c r="P931" s="25"/>
      <c r="Q931" s="25"/>
      <c r="R931" s="25"/>
      <c r="S931" s="151"/>
      <c r="T931" s="151"/>
      <c r="U931" s="151"/>
      <c r="V931" s="73"/>
      <c r="W931" s="28"/>
      <c r="X931" s="24"/>
    </row>
    <row r="932" spans="2:24">
      <c r="B932" s="24"/>
      <c r="C932" s="47"/>
      <c r="D932" s="26"/>
      <c r="E932" s="27"/>
      <c r="F932" s="25"/>
      <c r="G932" s="25"/>
      <c r="H932" s="25"/>
      <c r="I932" s="25"/>
      <c r="J932" s="25"/>
      <c r="K932" s="25"/>
      <c r="L932" s="25"/>
      <c r="M932" s="25"/>
      <c r="N932" s="25"/>
      <c r="O932" s="25"/>
      <c r="P932" s="25"/>
      <c r="Q932" s="25"/>
      <c r="R932" s="25"/>
      <c r="S932" s="151"/>
      <c r="T932" s="151"/>
      <c r="U932" s="151"/>
      <c r="V932" s="73"/>
      <c r="W932" s="28"/>
      <c r="X932" s="24"/>
    </row>
    <row r="933" spans="2:24">
      <c r="B933" s="24"/>
      <c r="C933" s="47"/>
      <c r="D933" s="26"/>
      <c r="E933" s="27"/>
      <c r="F933" s="25"/>
      <c r="G933" s="25"/>
      <c r="H933" s="25"/>
      <c r="I933" s="25"/>
      <c r="J933" s="25"/>
      <c r="K933" s="25"/>
      <c r="L933" s="25"/>
      <c r="M933" s="25"/>
      <c r="N933" s="25"/>
      <c r="O933" s="25"/>
      <c r="P933" s="25"/>
      <c r="Q933" s="25"/>
      <c r="R933" s="25"/>
      <c r="S933" s="151"/>
      <c r="T933" s="151"/>
      <c r="U933" s="151"/>
      <c r="V933" s="73"/>
      <c r="W933" s="28"/>
      <c r="X933" s="24"/>
    </row>
    <row r="934" spans="2:24">
      <c r="B934" s="24"/>
      <c r="C934" s="47"/>
      <c r="D934" s="26"/>
      <c r="E934" s="27"/>
      <c r="F934" s="25"/>
      <c r="G934" s="25"/>
      <c r="H934" s="25"/>
      <c r="I934" s="25"/>
      <c r="J934" s="25"/>
      <c r="K934" s="25"/>
      <c r="L934" s="25"/>
      <c r="M934" s="25"/>
      <c r="N934" s="25"/>
      <c r="O934" s="25"/>
      <c r="P934" s="25"/>
      <c r="Q934" s="25"/>
      <c r="R934" s="25"/>
      <c r="S934" s="151"/>
      <c r="T934" s="151"/>
      <c r="U934" s="151"/>
      <c r="V934" s="73"/>
      <c r="W934" s="28"/>
      <c r="X934" s="24"/>
    </row>
    <row r="935" spans="2:24">
      <c r="B935" s="24"/>
      <c r="C935" s="47"/>
      <c r="D935" s="26"/>
      <c r="E935" s="27"/>
      <c r="F935" s="25"/>
      <c r="G935" s="25"/>
      <c r="H935" s="25"/>
      <c r="I935" s="25"/>
      <c r="J935" s="25"/>
      <c r="K935" s="25"/>
      <c r="L935" s="25"/>
      <c r="M935" s="25"/>
      <c r="N935" s="25"/>
      <c r="O935" s="25"/>
      <c r="P935" s="25"/>
      <c r="Q935" s="25"/>
      <c r="R935" s="25"/>
      <c r="S935" s="151"/>
      <c r="T935" s="151"/>
      <c r="U935" s="151"/>
      <c r="V935" s="73"/>
      <c r="W935" s="28"/>
      <c r="X935" s="24"/>
    </row>
    <row r="936" spans="2:24">
      <c r="B936" s="24"/>
      <c r="C936" s="47"/>
      <c r="D936" s="26"/>
      <c r="E936" s="27"/>
      <c r="F936" s="25"/>
      <c r="G936" s="25"/>
      <c r="H936" s="25"/>
      <c r="I936" s="25"/>
      <c r="J936" s="25"/>
      <c r="K936" s="25"/>
      <c r="L936" s="25"/>
      <c r="M936" s="25"/>
      <c r="N936" s="25"/>
      <c r="O936" s="25"/>
      <c r="P936" s="25"/>
      <c r="Q936" s="25"/>
      <c r="R936" s="25"/>
      <c r="S936" s="151"/>
      <c r="T936" s="151"/>
      <c r="U936" s="151"/>
      <c r="V936" s="73"/>
      <c r="W936" s="28"/>
      <c r="X936" s="24"/>
    </row>
    <row r="937" spans="2:24">
      <c r="B937" s="24"/>
      <c r="C937" s="47"/>
      <c r="D937" s="26"/>
      <c r="E937" s="27"/>
      <c r="F937" s="25"/>
      <c r="G937" s="25"/>
      <c r="H937" s="25"/>
      <c r="I937" s="25"/>
      <c r="J937" s="25"/>
      <c r="K937" s="25"/>
      <c r="L937" s="25"/>
      <c r="M937" s="25"/>
      <c r="N937" s="25"/>
      <c r="O937" s="25"/>
      <c r="P937" s="25"/>
      <c r="Q937" s="25"/>
      <c r="R937" s="25"/>
      <c r="S937" s="151"/>
      <c r="T937" s="151"/>
      <c r="U937" s="151"/>
      <c r="V937" s="73"/>
      <c r="W937" s="28"/>
      <c r="X937" s="24"/>
    </row>
    <row r="938" spans="2:24">
      <c r="B938" s="24"/>
      <c r="C938" s="47"/>
      <c r="D938" s="26"/>
      <c r="E938" s="27"/>
      <c r="F938" s="25"/>
      <c r="G938" s="25"/>
      <c r="H938" s="25"/>
      <c r="I938" s="25"/>
      <c r="J938" s="25"/>
      <c r="K938" s="25"/>
      <c r="L938" s="25"/>
      <c r="M938" s="25"/>
      <c r="N938" s="25"/>
      <c r="O938" s="25"/>
      <c r="P938" s="25"/>
      <c r="Q938" s="25"/>
      <c r="R938" s="25"/>
      <c r="S938" s="151"/>
      <c r="T938" s="151"/>
      <c r="U938" s="151"/>
      <c r="V938" s="73"/>
      <c r="W938" s="28"/>
      <c r="X938" s="24"/>
    </row>
    <row r="939" spans="2:24">
      <c r="B939" s="24"/>
      <c r="C939" s="47"/>
      <c r="D939" s="26"/>
      <c r="E939" s="27"/>
      <c r="F939" s="25"/>
      <c r="G939" s="25"/>
      <c r="H939" s="25"/>
      <c r="I939" s="25"/>
      <c r="J939" s="25"/>
      <c r="K939" s="25"/>
      <c r="L939" s="25"/>
      <c r="M939" s="25"/>
      <c r="N939" s="25"/>
      <c r="O939" s="25"/>
      <c r="P939" s="25"/>
      <c r="Q939" s="25"/>
      <c r="R939" s="25"/>
      <c r="S939" s="151"/>
      <c r="T939" s="151"/>
      <c r="U939" s="151"/>
      <c r="V939" s="73"/>
      <c r="W939" s="28"/>
      <c r="X939" s="24"/>
    </row>
    <row r="940" spans="2:24">
      <c r="B940" s="24"/>
      <c r="C940" s="47"/>
      <c r="D940" s="26"/>
      <c r="E940" s="27"/>
      <c r="F940" s="25"/>
      <c r="G940" s="25"/>
      <c r="H940" s="25"/>
      <c r="I940" s="25"/>
      <c r="J940" s="25"/>
      <c r="K940" s="25"/>
      <c r="L940" s="25"/>
      <c r="M940" s="25"/>
      <c r="N940" s="25"/>
      <c r="O940" s="25"/>
      <c r="P940" s="25"/>
      <c r="Q940" s="25"/>
      <c r="R940" s="25"/>
      <c r="S940" s="151"/>
      <c r="T940" s="151"/>
      <c r="U940" s="151"/>
      <c r="V940" s="73"/>
      <c r="W940" s="28"/>
      <c r="X940" s="24"/>
    </row>
    <row r="941" spans="2:24">
      <c r="B941" s="24"/>
      <c r="C941" s="47"/>
      <c r="D941" s="26"/>
      <c r="E941" s="27"/>
      <c r="F941" s="25"/>
      <c r="G941" s="25"/>
      <c r="H941" s="25"/>
      <c r="I941" s="58"/>
      <c r="J941" s="25"/>
      <c r="K941" s="25"/>
      <c r="L941" s="25"/>
      <c r="M941" s="25"/>
      <c r="N941" s="25"/>
      <c r="O941" s="25"/>
      <c r="P941" s="25"/>
      <c r="Q941" s="25"/>
      <c r="R941" s="25"/>
      <c r="S941" s="151"/>
      <c r="T941" s="151"/>
      <c r="U941" s="151"/>
      <c r="V941" s="73"/>
      <c r="W941" s="28"/>
      <c r="X941" s="24"/>
    </row>
    <row r="942" spans="2:24">
      <c r="B942" s="24"/>
      <c r="C942" s="47"/>
      <c r="D942" s="26"/>
      <c r="E942" s="27"/>
      <c r="F942" s="25"/>
      <c r="G942" s="25"/>
      <c r="H942" s="25"/>
      <c r="I942" s="25"/>
      <c r="J942" s="25"/>
      <c r="K942" s="25"/>
      <c r="L942" s="25"/>
      <c r="M942" s="25"/>
      <c r="N942" s="25"/>
      <c r="O942" s="25"/>
      <c r="P942" s="25"/>
      <c r="Q942" s="25"/>
      <c r="R942" s="25"/>
      <c r="S942" s="151"/>
      <c r="T942" s="151"/>
      <c r="U942" s="151"/>
      <c r="V942" s="73"/>
      <c r="W942" s="28"/>
      <c r="X942" s="24"/>
    </row>
    <row r="943" spans="2:24">
      <c r="B943" s="24"/>
      <c r="C943" s="47"/>
      <c r="D943" s="26"/>
      <c r="E943" s="27"/>
      <c r="F943" s="25"/>
      <c r="G943" s="25"/>
      <c r="H943" s="25"/>
      <c r="I943" s="25"/>
      <c r="J943" s="25"/>
      <c r="K943" s="25"/>
      <c r="L943" s="25"/>
      <c r="M943" s="25"/>
      <c r="N943" s="25"/>
      <c r="O943" s="25"/>
      <c r="P943" s="25"/>
      <c r="Q943" s="25"/>
      <c r="R943" s="25"/>
      <c r="S943" s="151"/>
      <c r="T943" s="151"/>
      <c r="U943" s="151"/>
      <c r="V943" s="73"/>
      <c r="W943" s="28"/>
      <c r="X943" s="24"/>
    </row>
    <row r="944" spans="2:24">
      <c r="B944" s="24"/>
      <c r="C944" s="47"/>
      <c r="D944" s="26"/>
      <c r="E944" s="27"/>
      <c r="F944" s="25"/>
      <c r="G944" s="25"/>
      <c r="H944" s="25"/>
      <c r="I944" s="25"/>
      <c r="J944" s="25"/>
      <c r="K944" s="25"/>
      <c r="L944" s="25"/>
      <c r="M944" s="25"/>
      <c r="N944" s="25"/>
      <c r="O944" s="25"/>
      <c r="P944" s="25"/>
      <c r="Q944" s="25"/>
      <c r="R944" s="25"/>
      <c r="S944" s="151"/>
      <c r="T944" s="151"/>
      <c r="U944" s="151"/>
      <c r="V944" s="73"/>
      <c r="W944" s="28"/>
      <c r="X944" s="24"/>
    </row>
    <row r="945" spans="2:24">
      <c r="B945" s="24"/>
      <c r="C945" s="47"/>
      <c r="D945" s="26"/>
      <c r="E945" s="27"/>
      <c r="F945" s="25"/>
      <c r="G945" s="25"/>
      <c r="H945" s="25"/>
      <c r="I945" s="58"/>
      <c r="J945" s="25"/>
      <c r="K945" s="25"/>
      <c r="L945" s="25"/>
      <c r="M945" s="25"/>
      <c r="N945" s="25"/>
      <c r="O945" s="25"/>
      <c r="P945" s="25"/>
      <c r="Q945" s="25"/>
      <c r="R945" s="25"/>
      <c r="S945" s="151"/>
      <c r="T945" s="151"/>
      <c r="U945" s="151"/>
      <c r="V945" s="73"/>
      <c r="W945" s="28"/>
      <c r="X945" s="24"/>
    </row>
    <row r="946" spans="2:24">
      <c r="B946" s="24"/>
      <c r="C946" s="47"/>
      <c r="D946" s="26"/>
      <c r="E946" s="27"/>
      <c r="F946" s="25"/>
      <c r="G946" s="25"/>
      <c r="H946" s="25"/>
      <c r="I946" s="25"/>
      <c r="J946" s="25"/>
      <c r="K946" s="25"/>
      <c r="L946" s="25"/>
      <c r="M946" s="25"/>
      <c r="N946" s="25"/>
      <c r="O946" s="25"/>
      <c r="P946" s="25"/>
      <c r="Q946" s="25"/>
      <c r="R946" s="25"/>
      <c r="S946" s="151"/>
      <c r="T946" s="151"/>
      <c r="U946" s="151"/>
      <c r="V946" s="73"/>
      <c r="W946" s="28"/>
      <c r="X946" s="24"/>
    </row>
    <row r="947" spans="2:24">
      <c r="B947" s="24"/>
      <c r="C947" s="47"/>
      <c r="D947" s="26"/>
      <c r="E947" s="27"/>
      <c r="F947" s="25"/>
      <c r="G947" s="25"/>
      <c r="H947" s="25"/>
      <c r="I947" s="25"/>
      <c r="J947" s="25"/>
      <c r="K947" s="25"/>
      <c r="L947" s="25"/>
      <c r="M947" s="25"/>
      <c r="N947" s="25"/>
      <c r="O947" s="25"/>
      <c r="P947" s="25"/>
      <c r="Q947" s="25"/>
      <c r="R947" s="25"/>
      <c r="S947" s="151"/>
      <c r="T947" s="151"/>
      <c r="U947" s="151"/>
      <c r="V947" s="73"/>
      <c r="W947" s="28"/>
      <c r="X947" s="24"/>
    </row>
    <row r="948" spans="2:24">
      <c r="B948" s="24"/>
      <c r="C948" s="47"/>
      <c r="D948" s="26"/>
      <c r="E948" s="27"/>
      <c r="F948" s="25"/>
      <c r="G948" s="25"/>
      <c r="H948" s="25"/>
      <c r="I948" s="25"/>
      <c r="J948" s="25"/>
      <c r="K948" s="25"/>
      <c r="L948" s="25"/>
      <c r="M948" s="25"/>
      <c r="N948" s="25"/>
      <c r="O948" s="25"/>
      <c r="P948" s="25"/>
      <c r="Q948" s="25"/>
      <c r="R948" s="25"/>
      <c r="S948" s="151"/>
      <c r="T948" s="151"/>
      <c r="U948" s="151"/>
      <c r="V948" s="73"/>
      <c r="W948" s="28"/>
      <c r="X948" s="24"/>
    </row>
    <row r="949" spans="2:24">
      <c r="B949" s="24"/>
      <c r="C949" s="47"/>
      <c r="D949" s="26"/>
      <c r="E949" s="27"/>
      <c r="F949" s="25"/>
      <c r="G949" s="25"/>
      <c r="H949" s="25"/>
      <c r="I949" s="25"/>
      <c r="J949" s="25"/>
      <c r="K949" s="25"/>
      <c r="L949" s="25"/>
      <c r="M949" s="25"/>
      <c r="N949" s="25"/>
      <c r="O949" s="25"/>
      <c r="P949" s="25"/>
      <c r="Q949" s="25"/>
      <c r="R949" s="25"/>
      <c r="S949" s="151"/>
      <c r="T949" s="151"/>
      <c r="U949" s="151"/>
      <c r="V949" s="73"/>
      <c r="W949" s="28"/>
      <c r="X949" s="24"/>
    </row>
    <row r="950" spans="2:24">
      <c r="B950" s="24"/>
      <c r="C950" s="47"/>
      <c r="D950" s="26"/>
      <c r="E950" s="27"/>
      <c r="F950" s="25"/>
      <c r="G950" s="25"/>
      <c r="H950" s="25"/>
      <c r="I950" s="25"/>
      <c r="J950" s="25"/>
      <c r="K950" s="25"/>
      <c r="L950" s="25"/>
      <c r="M950" s="25"/>
      <c r="N950" s="25"/>
      <c r="O950" s="25"/>
      <c r="P950" s="25"/>
      <c r="Q950" s="25"/>
      <c r="R950" s="25"/>
      <c r="S950" s="151"/>
      <c r="T950" s="151"/>
      <c r="U950" s="151"/>
      <c r="V950" s="73"/>
      <c r="W950" s="28"/>
      <c r="X950" s="24"/>
    </row>
    <row r="951" spans="2:24">
      <c r="B951" s="24"/>
      <c r="C951" s="47"/>
      <c r="D951" s="26"/>
      <c r="E951" s="27"/>
      <c r="F951" s="25"/>
      <c r="G951" s="25"/>
      <c r="H951" s="25"/>
      <c r="I951" s="25"/>
      <c r="J951" s="25"/>
      <c r="K951" s="25"/>
      <c r="L951" s="25"/>
      <c r="M951" s="25"/>
      <c r="N951" s="25"/>
      <c r="O951" s="25"/>
      <c r="P951" s="25"/>
      <c r="Q951" s="25"/>
      <c r="R951" s="25"/>
      <c r="S951" s="151"/>
      <c r="T951" s="151"/>
      <c r="U951" s="151"/>
      <c r="V951" s="73"/>
      <c r="W951" s="28"/>
      <c r="X951" s="24"/>
    </row>
    <row r="952" spans="2:24">
      <c r="B952" s="24"/>
      <c r="C952" s="47"/>
      <c r="D952" s="26"/>
      <c r="E952" s="27"/>
      <c r="F952" s="25"/>
      <c r="G952" s="25"/>
      <c r="H952" s="25"/>
      <c r="I952" s="25"/>
      <c r="J952" s="25"/>
      <c r="K952" s="25"/>
      <c r="L952" s="25"/>
      <c r="M952" s="25"/>
      <c r="N952" s="25"/>
      <c r="O952" s="25"/>
      <c r="P952" s="25"/>
      <c r="Q952" s="25"/>
      <c r="R952" s="25"/>
      <c r="S952" s="151"/>
      <c r="T952" s="151"/>
      <c r="U952" s="151"/>
      <c r="V952" s="73"/>
      <c r="W952" s="28"/>
      <c r="X952" s="24"/>
    </row>
    <row r="953" spans="2:24">
      <c r="B953" s="24"/>
      <c r="C953" s="47"/>
      <c r="D953" s="26"/>
      <c r="E953" s="27"/>
      <c r="F953" s="25"/>
      <c r="G953" s="25"/>
      <c r="H953" s="25"/>
      <c r="I953" s="25"/>
      <c r="J953" s="25"/>
      <c r="K953" s="25"/>
      <c r="L953" s="25"/>
      <c r="M953" s="25"/>
      <c r="N953" s="25"/>
      <c r="O953" s="25"/>
      <c r="P953" s="25"/>
      <c r="Q953" s="25"/>
      <c r="R953" s="25"/>
      <c r="S953" s="151"/>
      <c r="T953" s="151"/>
      <c r="U953" s="151"/>
      <c r="V953" s="73"/>
      <c r="W953" s="28"/>
      <c r="X953" s="24"/>
    </row>
    <row r="954" spans="2:24">
      <c r="B954" s="24"/>
      <c r="C954" s="47"/>
      <c r="D954" s="26"/>
      <c r="E954" s="27"/>
      <c r="F954" s="25"/>
      <c r="G954" s="25"/>
      <c r="H954" s="25"/>
      <c r="I954" s="58"/>
      <c r="J954" s="25"/>
      <c r="K954" s="25"/>
      <c r="L954" s="25"/>
      <c r="M954" s="25"/>
      <c r="N954" s="25"/>
      <c r="O954" s="25"/>
      <c r="P954" s="25"/>
      <c r="Q954" s="25"/>
      <c r="R954" s="25"/>
      <c r="S954" s="151"/>
      <c r="T954" s="151"/>
      <c r="U954" s="151"/>
      <c r="V954" s="73"/>
      <c r="W954" s="28"/>
      <c r="X954" s="24"/>
    </row>
    <row r="955" spans="2:24">
      <c r="B955" s="24"/>
      <c r="C955" s="47"/>
      <c r="D955" s="26"/>
      <c r="E955" s="27"/>
      <c r="F955" s="25"/>
      <c r="G955" s="25"/>
      <c r="H955" s="25"/>
      <c r="I955" s="58"/>
      <c r="J955" s="25"/>
      <c r="K955" s="25"/>
      <c r="L955" s="25"/>
      <c r="M955" s="25"/>
      <c r="N955" s="25"/>
      <c r="O955" s="25"/>
      <c r="P955" s="25"/>
      <c r="Q955" s="25"/>
      <c r="R955" s="25"/>
      <c r="S955" s="151"/>
      <c r="T955" s="151"/>
      <c r="U955" s="151"/>
      <c r="V955" s="73"/>
      <c r="W955" s="28"/>
      <c r="X955" s="24"/>
    </row>
    <row r="956" spans="2:24">
      <c r="B956" s="24"/>
      <c r="C956" s="47"/>
      <c r="D956" s="26"/>
      <c r="E956" s="27"/>
      <c r="F956" s="25"/>
      <c r="G956" s="25"/>
      <c r="H956" s="25"/>
      <c r="I956" s="25"/>
      <c r="J956" s="25"/>
      <c r="K956" s="25"/>
      <c r="L956" s="25"/>
      <c r="M956" s="25"/>
      <c r="N956" s="25"/>
      <c r="O956" s="25"/>
      <c r="P956" s="25"/>
      <c r="Q956" s="25"/>
      <c r="R956" s="25"/>
      <c r="S956" s="151"/>
      <c r="T956" s="151"/>
      <c r="U956" s="151"/>
      <c r="V956" s="73"/>
      <c r="W956" s="28"/>
      <c r="X956" s="24"/>
    </row>
    <row r="957" spans="2:24">
      <c r="B957" s="24"/>
      <c r="C957" s="47"/>
      <c r="D957" s="26"/>
      <c r="E957" s="27"/>
      <c r="F957" s="25"/>
      <c r="G957" s="25"/>
      <c r="H957" s="25"/>
      <c r="I957" s="25"/>
      <c r="J957" s="25"/>
      <c r="K957" s="25"/>
      <c r="L957" s="25"/>
      <c r="M957" s="25"/>
      <c r="N957" s="25"/>
      <c r="O957" s="25"/>
      <c r="P957" s="25"/>
      <c r="Q957" s="25"/>
      <c r="R957" s="25"/>
      <c r="S957" s="151"/>
      <c r="T957" s="151"/>
      <c r="U957" s="151"/>
      <c r="V957" s="73"/>
      <c r="W957" s="28"/>
      <c r="X957" s="24"/>
    </row>
    <row r="958" spans="2:24">
      <c r="B958" s="24"/>
      <c r="C958" s="47"/>
      <c r="D958" s="26"/>
      <c r="E958" s="27"/>
      <c r="F958" s="25"/>
      <c r="G958" s="25"/>
      <c r="H958" s="25"/>
      <c r="I958" s="25"/>
      <c r="J958" s="25"/>
      <c r="K958" s="25"/>
      <c r="L958" s="25"/>
      <c r="M958" s="25"/>
      <c r="N958" s="25"/>
      <c r="O958" s="25"/>
      <c r="P958" s="25"/>
      <c r="Q958" s="25"/>
      <c r="R958" s="25"/>
      <c r="S958" s="151"/>
      <c r="T958" s="151"/>
      <c r="U958" s="151"/>
      <c r="V958" s="73"/>
      <c r="W958" s="28"/>
      <c r="X958" s="24"/>
    </row>
    <row r="959" spans="2:24">
      <c r="B959" s="24"/>
      <c r="C959" s="47"/>
      <c r="D959" s="26"/>
      <c r="E959" s="27"/>
      <c r="F959" s="25"/>
      <c r="G959" s="25"/>
      <c r="H959" s="25"/>
      <c r="I959" s="25"/>
      <c r="J959" s="25"/>
      <c r="K959" s="25"/>
      <c r="L959" s="25"/>
      <c r="M959" s="25"/>
      <c r="N959" s="25"/>
      <c r="O959" s="25"/>
      <c r="P959" s="25"/>
      <c r="Q959" s="25"/>
      <c r="R959" s="25"/>
      <c r="S959" s="151"/>
      <c r="T959" s="151"/>
      <c r="U959" s="151"/>
      <c r="V959" s="73"/>
      <c r="W959" s="28"/>
      <c r="X959" s="24"/>
    </row>
    <row r="960" spans="2:24">
      <c r="B960" s="24"/>
      <c r="C960" s="47"/>
      <c r="D960" s="26"/>
      <c r="E960" s="27"/>
      <c r="F960" s="25"/>
      <c r="G960" s="25"/>
      <c r="H960" s="25"/>
      <c r="I960" s="25"/>
      <c r="J960" s="25"/>
      <c r="K960" s="25"/>
      <c r="L960" s="25"/>
      <c r="M960" s="25"/>
      <c r="N960" s="25"/>
      <c r="O960" s="25"/>
      <c r="P960" s="25"/>
      <c r="Q960" s="25"/>
      <c r="R960" s="25"/>
      <c r="S960" s="151"/>
      <c r="T960" s="151"/>
      <c r="U960" s="151"/>
      <c r="V960" s="73"/>
      <c r="W960" s="28"/>
      <c r="X960" s="24"/>
    </row>
    <row r="961" spans="2:24">
      <c r="B961" s="24"/>
      <c r="C961" s="47"/>
      <c r="D961" s="26"/>
      <c r="E961" s="27"/>
      <c r="F961" s="25"/>
      <c r="G961" s="25"/>
      <c r="H961" s="25"/>
      <c r="I961" s="25"/>
      <c r="J961" s="25"/>
      <c r="K961" s="25"/>
      <c r="L961" s="25"/>
      <c r="M961" s="25"/>
      <c r="N961" s="25"/>
      <c r="O961" s="25"/>
      <c r="P961" s="25"/>
      <c r="Q961" s="25"/>
      <c r="R961" s="25"/>
      <c r="S961" s="151"/>
      <c r="T961" s="151"/>
      <c r="U961" s="151"/>
      <c r="V961" s="73"/>
      <c r="W961" s="28"/>
      <c r="X961" s="24"/>
    </row>
    <row r="962" spans="2:24">
      <c r="B962" s="24"/>
      <c r="C962" s="47"/>
      <c r="D962" s="26"/>
      <c r="E962" s="27"/>
      <c r="F962" s="25"/>
      <c r="G962" s="25"/>
      <c r="H962" s="25"/>
      <c r="I962" s="25"/>
      <c r="J962" s="25"/>
      <c r="K962" s="25"/>
      <c r="L962" s="25"/>
      <c r="M962" s="25"/>
      <c r="N962" s="25"/>
      <c r="O962" s="25"/>
      <c r="P962" s="25"/>
      <c r="Q962" s="25"/>
      <c r="R962" s="25"/>
      <c r="S962" s="151"/>
      <c r="T962" s="151"/>
      <c r="U962" s="151"/>
      <c r="V962" s="73"/>
      <c r="W962" s="28"/>
      <c r="X962" s="24"/>
    </row>
    <row r="963" spans="2:24">
      <c r="B963" s="24"/>
      <c r="C963" s="47"/>
      <c r="D963" s="26"/>
      <c r="E963" s="27"/>
      <c r="F963" s="25"/>
      <c r="G963" s="25"/>
      <c r="H963" s="25"/>
      <c r="I963" s="25"/>
      <c r="J963" s="25"/>
      <c r="K963" s="25"/>
      <c r="L963" s="25"/>
      <c r="M963" s="25"/>
      <c r="N963" s="25"/>
      <c r="O963" s="25"/>
      <c r="P963" s="25"/>
      <c r="Q963" s="25"/>
      <c r="R963" s="25"/>
      <c r="S963" s="151"/>
      <c r="T963" s="151"/>
      <c r="U963" s="151"/>
      <c r="V963" s="73"/>
      <c r="W963" s="28"/>
      <c r="X963" s="24"/>
    </row>
    <row r="964" spans="2:24">
      <c r="B964" s="24"/>
      <c r="C964" s="47"/>
      <c r="D964" s="26"/>
      <c r="E964" s="27"/>
      <c r="F964" s="25"/>
      <c r="G964" s="25"/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151"/>
      <c r="T964" s="151"/>
      <c r="U964" s="151"/>
      <c r="V964" s="73"/>
      <c r="W964" s="28"/>
      <c r="X964" s="24"/>
    </row>
    <row r="965" spans="2:24">
      <c r="B965" s="24"/>
      <c r="C965" s="47"/>
      <c r="D965" s="26"/>
      <c r="E965" s="27"/>
      <c r="F965" s="25"/>
      <c r="G965" s="25"/>
      <c r="H965" s="25"/>
      <c r="I965" s="25"/>
      <c r="J965" s="25"/>
      <c r="K965" s="25"/>
      <c r="L965" s="25"/>
      <c r="M965" s="25"/>
      <c r="N965" s="25"/>
      <c r="O965" s="25"/>
      <c r="P965" s="25"/>
      <c r="Q965" s="25"/>
      <c r="R965" s="25"/>
      <c r="S965" s="151"/>
      <c r="T965" s="151"/>
      <c r="U965" s="151"/>
      <c r="V965" s="73"/>
      <c r="W965" s="28"/>
      <c r="X965" s="24"/>
    </row>
    <row r="966" spans="2:24">
      <c r="B966" s="24"/>
      <c r="C966" s="47"/>
      <c r="D966" s="26"/>
      <c r="E966" s="27"/>
      <c r="F966" s="25"/>
      <c r="G966" s="25"/>
      <c r="H966" s="25"/>
      <c r="I966" s="25"/>
      <c r="J966" s="25"/>
      <c r="K966" s="25"/>
      <c r="L966" s="25"/>
      <c r="M966" s="25"/>
      <c r="N966" s="25"/>
      <c r="O966" s="25"/>
      <c r="P966" s="25"/>
      <c r="Q966" s="25"/>
      <c r="R966" s="25"/>
      <c r="S966" s="151"/>
      <c r="T966" s="151"/>
      <c r="U966" s="151"/>
      <c r="V966" s="73"/>
      <c r="W966" s="28"/>
      <c r="X966" s="24"/>
    </row>
    <row r="967" spans="2:24">
      <c r="B967" s="24"/>
      <c r="C967" s="47"/>
      <c r="D967" s="26"/>
      <c r="E967" s="27"/>
      <c r="F967" s="25"/>
      <c r="G967" s="25"/>
      <c r="H967" s="25"/>
      <c r="I967" s="25"/>
      <c r="J967" s="25"/>
      <c r="K967" s="25"/>
      <c r="L967" s="25"/>
      <c r="M967" s="25"/>
      <c r="N967" s="25"/>
      <c r="O967" s="25"/>
      <c r="P967" s="25"/>
      <c r="Q967" s="25"/>
      <c r="R967" s="25"/>
      <c r="S967" s="151"/>
      <c r="T967" s="151"/>
      <c r="U967" s="151"/>
      <c r="V967" s="73"/>
      <c r="W967" s="28"/>
      <c r="X967" s="24"/>
    </row>
    <row r="968" spans="2:24">
      <c r="B968" s="24"/>
      <c r="C968" s="47"/>
      <c r="D968" s="26"/>
      <c r="E968" s="27"/>
      <c r="F968" s="25"/>
      <c r="G968" s="25"/>
      <c r="H968" s="25"/>
      <c r="I968" s="25"/>
      <c r="J968" s="25"/>
      <c r="K968" s="25"/>
      <c r="L968" s="25"/>
      <c r="M968" s="25"/>
      <c r="N968" s="25"/>
      <c r="O968" s="25"/>
      <c r="P968" s="25"/>
      <c r="Q968" s="25"/>
      <c r="R968" s="25"/>
      <c r="S968" s="151"/>
      <c r="T968" s="151"/>
      <c r="U968" s="151"/>
      <c r="V968" s="73"/>
      <c r="W968" s="28"/>
      <c r="X968" s="24"/>
    </row>
    <row r="969" spans="2:24">
      <c r="B969" s="24"/>
      <c r="C969" s="47"/>
      <c r="D969" s="26"/>
      <c r="E969" s="27"/>
      <c r="F969" s="25"/>
      <c r="G969" s="25"/>
      <c r="H969" s="25"/>
      <c r="I969" s="25"/>
      <c r="J969" s="25"/>
      <c r="K969" s="25"/>
      <c r="L969" s="25"/>
      <c r="M969" s="25"/>
      <c r="N969" s="25"/>
      <c r="O969" s="25"/>
      <c r="P969" s="25"/>
      <c r="Q969" s="25"/>
      <c r="R969" s="25"/>
      <c r="S969" s="151"/>
      <c r="T969" s="151"/>
      <c r="U969" s="151"/>
      <c r="V969" s="73"/>
      <c r="W969" s="28"/>
      <c r="X969" s="24"/>
    </row>
    <row r="970" spans="2:24">
      <c r="B970" s="24"/>
      <c r="C970" s="47"/>
      <c r="D970" s="26"/>
      <c r="E970" s="27"/>
      <c r="F970" s="25"/>
      <c r="G970" s="25"/>
      <c r="H970" s="25"/>
      <c r="I970" s="25"/>
      <c r="J970" s="25"/>
      <c r="K970" s="25"/>
      <c r="L970" s="25"/>
      <c r="M970" s="25"/>
      <c r="N970" s="25"/>
      <c r="O970" s="25"/>
      <c r="P970" s="25"/>
      <c r="Q970" s="25"/>
      <c r="R970" s="25"/>
      <c r="S970" s="151"/>
      <c r="T970" s="151"/>
      <c r="U970" s="151"/>
      <c r="V970" s="73"/>
      <c r="W970" s="28"/>
      <c r="X970" s="24"/>
    </row>
    <row r="971" spans="2:24">
      <c r="B971" s="24"/>
      <c r="C971" s="47"/>
      <c r="D971" s="26"/>
      <c r="E971" s="27"/>
      <c r="F971" s="25"/>
      <c r="G971" s="25"/>
      <c r="H971" s="25"/>
      <c r="I971" s="25"/>
      <c r="J971" s="25"/>
      <c r="K971" s="25"/>
      <c r="L971" s="25"/>
      <c r="M971" s="25"/>
      <c r="N971" s="25"/>
      <c r="O971" s="25"/>
      <c r="P971" s="25"/>
      <c r="Q971" s="25"/>
      <c r="R971" s="25"/>
      <c r="S971" s="151"/>
      <c r="T971" s="151"/>
      <c r="U971" s="151"/>
      <c r="V971" s="73"/>
      <c r="W971" s="28"/>
      <c r="X971" s="24"/>
    </row>
    <row r="972" spans="2:24">
      <c r="B972" s="24"/>
      <c r="C972" s="47"/>
      <c r="D972" s="26"/>
      <c r="E972" s="27"/>
      <c r="F972" s="25"/>
      <c r="G972" s="25"/>
      <c r="H972" s="25"/>
      <c r="I972" s="25"/>
      <c r="J972" s="25"/>
      <c r="K972" s="25"/>
      <c r="L972" s="25"/>
      <c r="M972" s="25"/>
      <c r="N972" s="25"/>
      <c r="O972" s="25"/>
      <c r="P972" s="25"/>
      <c r="Q972" s="25"/>
      <c r="R972" s="25"/>
      <c r="S972" s="151"/>
      <c r="T972" s="151"/>
      <c r="U972" s="151"/>
      <c r="V972" s="73"/>
      <c r="W972" s="28"/>
      <c r="X972" s="24"/>
    </row>
    <row r="973" spans="2:24">
      <c r="B973" s="24"/>
      <c r="C973" s="47"/>
      <c r="D973" s="26"/>
      <c r="E973" s="27"/>
      <c r="F973" s="25"/>
      <c r="G973" s="25"/>
      <c r="H973" s="25"/>
      <c r="I973" s="25"/>
      <c r="J973" s="25"/>
      <c r="K973" s="25"/>
      <c r="L973" s="25"/>
      <c r="M973" s="25"/>
      <c r="N973" s="25"/>
      <c r="O973" s="25"/>
      <c r="P973" s="25"/>
      <c r="Q973" s="25"/>
      <c r="R973" s="25"/>
      <c r="S973" s="151"/>
      <c r="T973" s="151"/>
      <c r="U973" s="151"/>
      <c r="V973" s="73"/>
      <c r="W973" s="28"/>
      <c r="X973" s="24"/>
    </row>
    <row r="974" spans="2:24">
      <c r="B974" s="24"/>
      <c r="C974" s="47"/>
      <c r="D974" s="26"/>
      <c r="E974" s="27"/>
      <c r="F974" s="25"/>
      <c r="G974" s="25"/>
      <c r="H974" s="25"/>
      <c r="I974" s="25"/>
      <c r="J974" s="25"/>
      <c r="K974" s="25"/>
      <c r="L974" s="25"/>
      <c r="M974" s="25"/>
      <c r="N974" s="25"/>
      <c r="O974" s="25"/>
      <c r="P974" s="25"/>
      <c r="Q974" s="25"/>
      <c r="R974" s="25"/>
      <c r="S974" s="151"/>
      <c r="T974" s="151"/>
      <c r="U974" s="151"/>
      <c r="V974" s="73"/>
      <c r="W974" s="28"/>
      <c r="X974" s="24"/>
    </row>
    <row r="975" spans="2:24">
      <c r="B975" s="24"/>
      <c r="C975" s="47"/>
      <c r="D975" s="26"/>
      <c r="E975" s="27"/>
      <c r="F975" s="25"/>
      <c r="G975" s="25"/>
      <c r="H975" s="25"/>
      <c r="I975" s="25"/>
      <c r="J975" s="25"/>
      <c r="K975" s="25"/>
      <c r="L975" s="25"/>
      <c r="M975" s="25"/>
      <c r="N975" s="25"/>
      <c r="O975" s="25"/>
      <c r="P975" s="25"/>
      <c r="Q975" s="25"/>
      <c r="R975" s="25"/>
      <c r="S975" s="151"/>
      <c r="T975" s="151"/>
      <c r="U975" s="151"/>
      <c r="V975" s="73"/>
      <c r="W975" s="28"/>
      <c r="X975" s="24"/>
    </row>
    <row r="976" spans="2:24">
      <c r="B976" s="24"/>
      <c r="C976" s="47"/>
      <c r="D976" s="26"/>
      <c r="E976" s="27"/>
      <c r="F976" s="25"/>
      <c r="G976" s="25"/>
      <c r="H976" s="25"/>
      <c r="I976" s="25"/>
      <c r="J976" s="25"/>
      <c r="K976" s="25"/>
      <c r="L976" s="25"/>
      <c r="M976" s="25"/>
      <c r="N976" s="25"/>
      <c r="O976" s="25"/>
      <c r="P976" s="25"/>
      <c r="Q976" s="25"/>
      <c r="R976" s="25"/>
      <c r="S976" s="151"/>
      <c r="T976" s="151"/>
      <c r="U976" s="151"/>
      <c r="V976" s="73"/>
      <c r="W976" s="28"/>
      <c r="X976" s="24"/>
    </row>
    <row r="977" spans="2:24">
      <c r="B977" s="24"/>
      <c r="C977" s="47"/>
      <c r="D977" s="26"/>
      <c r="E977" s="27"/>
      <c r="F977" s="25"/>
      <c r="G977" s="25"/>
      <c r="H977" s="25"/>
      <c r="I977" s="25"/>
      <c r="J977" s="25"/>
      <c r="K977" s="25"/>
      <c r="L977" s="25"/>
      <c r="M977" s="25"/>
      <c r="N977" s="25"/>
      <c r="O977" s="25"/>
      <c r="P977" s="25"/>
      <c r="Q977" s="25"/>
      <c r="R977" s="25"/>
      <c r="S977" s="151"/>
      <c r="T977" s="151"/>
      <c r="U977" s="151"/>
      <c r="V977" s="73"/>
      <c r="W977" s="28"/>
      <c r="X977" s="24"/>
    </row>
    <row r="978" spans="2:24">
      <c r="B978" s="24"/>
      <c r="C978" s="47"/>
      <c r="D978" s="26"/>
      <c r="E978" s="27"/>
      <c r="F978" s="25"/>
      <c r="G978" s="25"/>
      <c r="H978" s="25"/>
      <c r="I978" s="25"/>
      <c r="J978" s="25"/>
      <c r="K978" s="25"/>
      <c r="L978" s="25"/>
      <c r="M978" s="25"/>
      <c r="N978" s="25"/>
      <c r="O978" s="25"/>
      <c r="P978" s="25"/>
      <c r="Q978" s="25"/>
      <c r="R978" s="25"/>
      <c r="S978" s="151"/>
      <c r="T978" s="151"/>
      <c r="U978" s="151"/>
      <c r="V978" s="73"/>
      <c r="W978" s="28"/>
      <c r="X978" s="24"/>
    </row>
    <row r="979" spans="2:24">
      <c r="B979" s="24"/>
      <c r="C979" s="47"/>
      <c r="D979" s="26"/>
      <c r="E979" s="27"/>
      <c r="F979" s="25"/>
      <c r="G979" s="25"/>
      <c r="H979" s="25"/>
      <c r="I979" s="25"/>
      <c r="J979" s="25"/>
      <c r="K979" s="25"/>
      <c r="L979" s="25"/>
      <c r="M979" s="25"/>
      <c r="N979" s="25"/>
      <c r="O979" s="25"/>
      <c r="P979" s="25"/>
      <c r="Q979" s="25"/>
      <c r="R979" s="25"/>
      <c r="S979" s="151"/>
      <c r="T979" s="151"/>
      <c r="U979" s="151"/>
      <c r="V979" s="73"/>
      <c r="W979" s="28"/>
      <c r="X979" s="24"/>
    </row>
    <row r="980" spans="2:24">
      <c r="B980" s="24"/>
      <c r="C980" s="47"/>
      <c r="D980" s="26"/>
      <c r="E980" s="27"/>
      <c r="F980" s="25"/>
      <c r="G980" s="25"/>
      <c r="H980" s="25"/>
      <c r="I980" s="25"/>
      <c r="J980" s="25"/>
      <c r="K980" s="25"/>
      <c r="L980" s="25"/>
      <c r="M980" s="25"/>
      <c r="N980" s="25"/>
      <c r="O980" s="25"/>
      <c r="P980" s="25"/>
      <c r="Q980" s="25"/>
      <c r="R980" s="25"/>
      <c r="S980" s="151"/>
      <c r="T980" s="151"/>
      <c r="U980" s="151"/>
      <c r="V980" s="73"/>
      <c r="W980" s="28"/>
      <c r="X980" s="24"/>
    </row>
    <row r="981" spans="2:24">
      <c r="B981" s="24"/>
      <c r="C981" s="47"/>
      <c r="D981" s="26"/>
      <c r="E981" s="27"/>
      <c r="F981" s="25"/>
      <c r="G981" s="25"/>
      <c r="H981" s="25"/>
      <c r="I981" s="25"/>
      <c r="J981" s="25"/>
      <c r="K981" s="25"/>
      <c r="L981" s="25"/>
      <c r="M981" s="25"/>
      <c r="N981" s="25"/>
      <c r="O981" s="25"/>
      <c r="P981" s="25"/>
      <c r="Q981" s="25"/>
      <c r="R981" s="25"/>
      <c r="S981" s="151"/>
      <c r="T981" s="151"/>
      <c r="U981" s="151"/>
      <c r="V981" s="73"/>
      <c r="W981" s="28"/>
      <c r="X981" s="24"/>
    </row>
    <row r="982" spans="2:24">
      <c r="B982" s="24"/>
      <c r="C982" s="47"/>
      <c r="D982" s="26"/>
      <c r="E982" s="27"/>
      <c r="F982" s="25"/>
      <c r="G982" s="25"/>
      <c r="H982" s="25"/>
      <c r="I982" s="25"/>
      <c r="J982" s="25"/>
      <c r="K982" s="25"/>
      <c r="L982" s="25"/>
      <c r="M982" s="25"/>
      <c r="N982" s="25"/>
      <c r="O982" s="25"/>
      <c r="P982" s="25"/>
      <c r="Q982" s="25"/>
      <c r="R982" s="25"/>
      <c r="S982" s="151"/>
      <c r="T982" s="151"/>
      <c r="U982" s="151"/>
      <c r="V982" s="73"/>
      <c r="W982" s="28"/>
      <c r="X982" s="24"/>
    </row>
    <row r="983" spans="2:24">
      <c r="B983" s="24"/>
      <c r="C983" s="47"/>
      <c r="D983" s="26"/>
      <c r="E983" s="27"/>
      <c r="F983" s="25"/>
      <c r="G983" s="25"/>
      <c r="H983" s="25"/>
      <c r="I983" s="25"/>
      <c r="J983" s="25"/>
      <c r="K983" s="25"/>
      <c r="L983" s="25"/>
      <c r="M983" s="25"/>
      <c r="N983" s="25"/>
      <c r="O983" s="25"/>
      <c r="P983" s="25"/>
      <c r="Q983" s="25"/>
      <c r="R983" s="25"/>
      <c r="S983" s="151"/>
      <c r="T983" s="151"/>
      <c r="U983" s="151"/>
      <c r="V983" s="73"/>
      <c r="W983" s="28"/>
      <c r="X983" s="24"/>
    </row>
    <row r="984" spans="2:24">
      <c r="B984" s="24"/>
      <c r="C984" s="47"/>
      <c r="D984" s="26"/>
      <c r="E984" s="27"/>
      <c r="F984" s="25"/>
      <c r="G984" s="25"/>
      <c r="H984" s="25"/>
      <c r="I984" s="25"/>
      <c r="J984" s="25"/>
      <c r="K984" s="25"/>
      <c r="L984" s="25"/>
      <c r="M984" s="25"/>
      <c r="N984" s="25"/>
      <c r="O984" s="25"/>
      <c r="P984" s="25"/>
      <c r="Q984" s="25"/>
      <c r="R984" s="25"/>
      <c r="S984" s="151"/>
      <c r="T984" s="151"/>
      <c r="U984" s="151"/>
      <c r="V984" s="73"/>
      <c r="W984" s="28"/>
      <c r="X984" s="24"/>
    </row>
    <row r="985" spans="2:24">
      <c r="B985" s="24"/>
      <c r="C985" s="47"/>
      <c r="D985" s="26"/>
      <c r="E985" s="27"/>
      <c r="F985" s="25"/>
      <c r="G985" s="25"/>
      <c r="H985" s="25"/>
      <c r="I985" s="25"/>
      <c r="J985" s="25"/>
      <c r="K985" s="25"/>
      <c r="L985" s="25"/>
      <c r="M985" s="25"/>
      <c r="N985" s="25"/>
      <c r="O985" s="25"/>
      <c r="P985" s="25"/>
      <c r="Q985" s="25"/>
      <c r="R985" s="25"/>
      <c r="S985" s="151"/>
      <c r="T985" s="151"/>
      <c r="U985" s="151"/>
      <c r="V985" s="73"/>
      <c r="W985" s="28"/>
      <c r="X985" s="24"/>
    </row>
    <row r="986" spans="2:24">
      <c r="B986" s="24"/>
      <c r="C986" s="47"/>
      <c r="D986" s="26"/>
      <c r="E986" s="27"/>
      <c r="F986" s="25"/>
      <c r="G986" s="25"/>
      <c r="H986" s="25"/>
      <c r="I986" s="25"/>
      <c r="J986" s="25"/>
      <c r="K986" s="25"/>
      <c r="L986" s="25"/>
      <c r="M986" s="25"/>
      <c r="N986" s="25"/>
      <c r="O986" s="25"/>
      <c r="P986" s="25"/>
      <c r="Q986" s="25"/>
      <c r="R986" s="25"/>
      <c r="S986" s="151"/>
      <c r="T986" s="151"/>
      <c r="U986" s="151"/>
      <c r="V986" s="73"/>
      <c r="W986" s="28"/>
      <c r="X986" s="24"/>
    </row>
    <row r="987" spans="2:24">
      <c r="B987" s="24"/>
      <c r="C987" s="47"/>
      <c r="D987" s="26"/>
      <c r="E987" s="27"/>
      <c r="F987" s="25"/>
      <c r="G987" s="25"/>
      <c r="H987" s="25"/>
      <c r="I987" s="25"/>
      <c r="J987" s="25"/>
      <c r="K987" s="25"/>
      <c r="L987" s="25"/>
      <c r="M987" s="25"/>
      <c r="N987" s="25"/>
      <c r="O987" s="25"/>
      <c r="P987" s="25"/>
      <c r="Q987" s="25"/>
      <c r="R987" s="25"/>
      <c r="S987" s="151"/>
      <c r="T987" s="151"/>
      <c r="U987" s="151"/>
      <c r="V987" s="73"/>
      <c r="W987" s="28"/>
      <c r="X987" s="24"/>
    </row>
    <row r="988" spans="2:24">
      <c r="B988" s="24"/>
      <c r="C988" s="47"/>
      <c r="D988" s="26"/>
      <c r="E988" s="27"/>
      <c r="F988" s="25"/>
      <c r="G988" s="25"/>
      <c r="H988" s="25"/>
      <c r="I988" s="25"/>
      <c r="J988" s="25"/>
      <c r="K988" s="25"/>
      <c r="L988" s="25"/>
      <c r="M988" s="25"/>
      <c r="N988" s="25"/>
      <c r="O988" s="25"/>
      <c r="P988" s="25"/>
      <c r="Q988" s="25"/>
      <c r="R988" s="25"/>
      <c r="S988" s="151"/>
      <c r="T988" s="151"/>
      <c r="U988" s="151"/>
      <c r="V988" s="73"/>
      <c r="W988" s="28"/>
      <c r="X988" s="24"/>
    </row>
    <row r="989" spans="2:24">
      <c r="B989" s="24"/>
      <c r="C989" s="47"/>
      <c r="D989" s="26"/>
      <c r="E989" s="27"/>
      <c r="F989" s="25"/>
      <c r="G989" s="25"/>
      <c r="H989" s="25"/>
      <c r="I989" s="25"/>
      <c r="J989" s="25"/>
      <c r="K989" s="25"/>
      <c r="L989" s="25"/>
      <c r="M989" s="25"/>
      <c r="N989" s="25"/>
      <c r="O989" s="25"/>
      <c r="P989" s="25"/>
      <c r="Q989" s="25"/>
      <c r="R989" s="25"/>
      <c r="S989" s="151"/>
      <c r="T989" s="151"/>
      <c r="U989" s="151"/>
      <c r="V989" s="73"/>
      <c r="W989" s="28"/>
      <c r="X989" s="24"/>
    </row>
    <row r="990" spans="2:24">
      <c r="B990" s="24"/>
      <c r="C990" s="47"/>
      <c r="D990" s="26"/>
      <c r="E990" s="27"/>
      <c r="F990" s="25"/>
      <c r="G990" s="25"/>
      <c r="H990" s="25"/>
      <c r="I990" s="25"/>
      <c r="J990" s="25"/>
      <c r="K990" s="25"/>
      <c r="L990" s="25"/>
      <c r="M990" s="25"/>
      <c r="N990" s="25"/>
      <c r="O990" s="25"/>
      <c r="P990" s="25"/>
      <c r="Q990" s="25"/>
      <c r="R990" s="25"/>
      <c r="S990" s="151"/>
      <c r="T990" s="151"/>
      <c r="U990" s="151"/>
      <c r="V990" s="73"/>
      <c r="W990" s="28"/>
      <c r="X990" s="24"/>
    </row>
    <row r="991" spans="2:24">
      <c r="B991" s="24"/>
      <c r="C991" s="47"/>
      <c r="D991" s="26"/>
      <c r="E991" s="27"/>
      <c r="F991" s="25"/>
      <c r="G991" s="25"/>
      <c r="H991" s="25"/>
      <c r="I991" s="25"/>
      <c r="J991" s="25"/>
      <c r="K991" s="25"/>
      <c r="L991" s="25"/>
      <c r="M991" s="25"/>
      <c r="N991" s="25"/>
      <c r="O991" s="25"/>
      <c r="P991" s="25"/>
      <c r="Q991" s="25"/>
      <c r="R991" s="25"/>
      <c r="S991" s="151"/>
      <c r="T991" s="151"/>
      <c r="U991" s="151"/>
      <c r="V991" s="73"/>
      <c r="W991" s="28"/>
      <c r="X991" s="24"/>
    </row>
    <row r="992" spans="2:24">
      <c r="B992" s="24"/>
      <c r="C992" s="47"/>
      <c r="D992" s="26"/>
      <c r="E992" s="27"/>
      <c r="F992" s="25"/>
      <c r="G992" s="25"/>
      <c r="H992" s="25"/>
      <c r="I992" s="25"/>
      <c r="J992" s="25"/>
      <c r="K992" s="25"/>
      <c r="L992" s="25"/>
      <c r="M992" s="25"/>
      <c r="N992" s="25"/>
      <c r="O992" s="25"/>
      <c r="P992" s="25"/>
      <c r="Q992" s="25"/>
      <c r="R992" s="25"/>
      <c r="S992" s="151"/>
      <c r="T992" s="151"/>
      <c r="U992" s="151"/>
      <c r="V992" s="73"/>
      <c r="W992" s="28"/>
      <c r="X992" s="24"/>
    </row>
    <row r="993" spans="2:24">
      <c r="B993" s="24"/>
      <c r="C993" s="47"/>
      <c r="D993" s="26"/>
      <c r="E993" s="27"/>
      <c r="F993" s="25"/>
      <c r="G993" s="25"/>
      <c r="H993" s="25"/>
      <c r="I993" s="25"/>
      <c r="J993" s="25"/>
      <c r="K993" s="25"/>
      <c r="L993" s="25"/>
      <c r="M993" s="25"/>
      <c r="N993" s="25"/>
      <c r="O993" s="25"/>
      <c r="P993" s="25"/>
      <c r="Q993" s="25"/>
      <c r="R993" s="25"/>
      <c r="S993" s="151"/>
      <c r="T993" s="151"/>
      <c r="U993" s="151"/>
      <c r="V993" s="73"/>
      <c r="W993" s="28"/>
      <c r="X993" s="24"/>
    </row>
    <row r="994" spans="2:24">
      <c r="B994" s="24"/>
      <c r="C994" s="47"/>
      <c r="D994" s="26"/>
      <c r="E994" s="27"/>
      <c r="F994" s="25"/>
      <c r="G994" s="25"/>
      <c r="H994" s="25"/>
      <c r="I994" s="25"/>
      <c r="J994" s="25"/>
      <c r="K994" s="25"/>
      <c r="L994" s="25"/>
      <c r="M994" s="25"/>
      <c r="N994" s="25"/>
      <c r="O994" s="25"/>
      <c r="P994" s="25"/>
      <c r="Q994" s="25"/>
      <c r="R994" s="25"/>
      <c r="S994" s="151"/>
      <c r="T994" s="151"/>
      <c r="U994" s="151"/>
      <c r="V994" s="73"/>
      <c r="W994" s="28"/>
      <c r="X994" s="24"/>
    </row>
    <row r="995" spans="2:24">
      <c r="B995" s="24"/>
      <c r="C995" s="47"/>
      <c r="D995" s="26"/>
      <c r="E995" s="27"/>
      <c r="F995" s="25"/>
      <c r="G995" s="25"/>
      <c r="H995" s="25"/>
      <c r="I995" s="25"/>
      <c r="J995" s="25"/>
      <c r="K995" s="25"/>
      <c r="L995" s="25"/>
      <c r="M995" s="25"/>
      <c r="N995" s="25"/>
      <c r="O995" s="25"/>
      <c r="P995" s="25"/>
      <c r="Q995" s="25"/>
      <c r="R995" s="25"/>
      <c r="S995" s="151"/>
      <c r="T995" s="151"/>
      <c r="U995" s="151"/>
      <c r="V995" s="73"/>
      <c r="W995" s="28"/>
      <c r="X995" s="24"/>
    </row>
    <row r="996" spans="2:24">
      <c r="B996" s="24"/>
      <c r="C996" s="47"/>
      <c r="D996" s="26"/>
      <c r="E996" s="27"/>
      <c r="F996" s="25"/>
      <c r="G996" s="25"/>
      <c r="H996" s="25"/>
      <c r="I996" s="25"/>
      <c r="J996" s="25"/>
      <c r="K996" s="25"/>
      <c r="L996" s="25"/>
      <c r="M996" s="25"/>
      <c r="N996" s="25"/>
      <c r="O996" s="25"/>
      <c r="P996" s="25"/>
      <c r="Q996" s="25"/>
      <c r="R996" s="25"/>
      <c r="S996" s="151"/>
      <c r="T996" s="151"/>
      <c r="U996" s="151"/>
      <c r="V996" s="73"/>
      <c r="W996" s="28"/>
      <c r="X996" s="24"/>
    </row>
    <row r="997" spans="2:24">
      <c r="B997" s="24"/>
      <c r="C997" s="47"/>
      <c r="D997" s="26"/>
      <c r="E997" s="27"/>
      <c r="F997" s="25"/>
      <c r="G997" s="25"/>
      <c r="H997" s="25"/>
      <c r="I997" s="25"/>
      <c r="J997" s="25"/>
      <c r="K997" s="25"/>
      <c r="L997" s="25"/>
      <c r="M997" s="25"/>
      <c r="N997" s="25"/>
      <c r="O997" s="25"/>
      <c r="P997" s="25"/>
      <c r="Q997" s="25"/>
      <c r="R997" s="25"/>
      <c r="S997" s="151"/>
      <c r="T997" s="151"/>
      <c r="U997" s="151"/>
      <c r="V997" s="73"/>
      <c r="W997" s="28"/>
      <c r="X997" s="24"/>
    </row>
    <row r="998" spans="2:24">
      <c r="B998" s="24"/>
      <c r="C998" s="47"/>
      <c r="D998" s="26"/>
      <c r="E998" s="27"/>
      <c r="F998" s="25"/>
      <c r="G998" s="25"/>
      <c r="H998" s="25"/>
      <c r="I998" s="25"/>
      <c r="J998" s="25"/>
      <c r="K998" s="25"/>
      <c r="L998" s="25"/>
      <c r="M998" s="25"/>
      <c r="N998" s="25"/>
      <c r="O998" s="25"/>
      <c r="P998" s="25"/>
      <c r="Q998" s="25"/>
      <c r="R998" s="25"/>
      <c r="S998" s="151"/>
      <c r="T998" s="151"/>
      <c r="U998" s="151"/>
      <c r="V998" s="73"/>
      <c r="W998" s="28"/>
      <c r="X998" s="24"/>
    </row>
    <row r="999" spans="2:24">
      <c r="B999" s="24"/>
      <c r="C999" s="47"/>
      <c r="D999" s="26"/>
      <c r="E999" s="27"/>
      <c r="F999" s="25"/>
      <c r="G999" s="25"/>
      <c r="H999" s="25"/>
      <c r="I999" s="25"/>
      <c r="J999" s="25"/>
      <c r="K999" s="25"/>
      <c r="L999" s="25"/>
      <c r="M999" s="25"/>
      <c r="N999" s="25"/>
      <c r="O999" s="25"/>
      <c r="P999" s="25"/>
      <c r="Q999" s="25"/>
      <c r="R999" s="25"/>
      <c r="S999" s="151"/>
      <c r="T999" s="151"/>
      <c r="U999" s="151"/>
      <c r="V999" s="73"/>
      <c r="W999" s="28"/>
      <c r="X999" s="24"/>
    </row>
    <row r="1000" spans="2:24">
      <c r="B1000" s="24"/>
      <c r="C1000" s="47"/>
      <c r="D1000" s="26"/>
      <c r="E1000" s="27"/>
      <c r="F1000" s="25"/>
      <c r="G1000" s="25"/>
      <c r="H1000" s="25"/>
      <c r="I1000" s="25"/>
      <c r="J1000" s="25"/>
      <c r="K1000" s="25"/>
      <c r="L1000" s="25"/>
      <c r="M1000" s="25"/>
      <c r="N1000" s="25"/>
      <c r="O1000" s="25"/>
      <c r="P1000" s="25"/>
      <c r="Q1000" s="25"/>
      <c r="R1000" s="25"/>
      <c r="S1000" s="151"/>
      <c r="T1000" s="151"/>
      <c r="U1000" s="151"/>
      <c r="V1000" s="73"/>
      <c r="W1000" s="28"/>
      <c r="X1000" s="24"/>
    </row>
    <row r="1001" spans="2:24">
      <c r="B1001" s="24"/>
      <c r="C1001" s="47"/>
      <c r="D1001" s="26"/>
      <c r="E1001" s="27"/>
      <c r="F1001" s="25"/>
      <c r="G1001" s="25"/>
      <c r="H1001" s="25"/>
      <c r="I1001" s="25"/>
      <c r="J1001" s="25"/>
      <c r="K1001" s="25"/>
      <c r="L1001" s="25"/>
      <c r="M1001" s="25"/>
      <c r="N1001" s="25"/>
      <c r="O1001" s="25"/>
      <c r="P1001" s="25"/>
      <c r="Q1001" s="25"/>
      <c r="R1001" s="25"/>
      <c r="S1001" s="151"/>
      <c r="T1001" s="151"/>
      <c r="U1001" s="151"/>
      <c r="V1001" s="73"/>
      <c r="W1001" s="28"/>
      <c r="X1001" s="24"/>
    </row>
    <row r="1002" spans="2:24">
      <c r="B1002" s="24"/>
      <c r="C1002" s="47"/>
      <c r="D1002" s="26"/>
      <c r="E1002" s="27"/>
      <c r="F1002" s="25"/>
      <c r="G1002" s="25"/>
      <c r="H1002" s="25"/>
      <c r="I1002" s="25"/>
      <c r="J1002" s="25"/>
      <c r="K1002" s="25"/>
      <c r="L1002" s="25"/>
      <c r="M1002" s="25"/>
      <c r="N1002" s="25"/>
      <c r="O1002" s="25"/>
      <c r="P1002" s="25"/>
      <c r="Q1002" s="25"/>
      <c r="R1002" s="25"/>
      <c r="S1002" s="151"/>
      <c r="T1002" s="151"/>
      <c r="U1002" s="151"/>
      <c r="V1002" s="73"/>
      <c r="W1002" s="28"/>
      <c r="X1002" s="24"/>
    </row>
    <row r="1003" spans="2:24">
      <c r="B1003" s="24"/>
      <c r="C1003" s="47"/>
      <c r="D1003" s="26"/>
      <c r="E1003" s="27"/>
      <c r="F1003" s="25"/>
      <c r="G1003" s="25"/>
      <c r="H1003" s="25"/>
      <c r="I1003" s="25"/>
      <c r="J1003" s="25"/>
      <c r="K1003" s="25"/>
      <c r="L1003" s="25"/>
      <c r="M1003" s="25"/>
      <c r="N1003" s="25"/>
      <c r="O1003" s="25"/>
      <c r="P1003" s="25"/>
      <c r="Q1003" s="25"/>
      <c r="R1003" s="25"/>
      <c r="S1003" s="151"/>
      <c r="T1003" s="151"/>
      <c r="U1003" s="151"/>
      <c r="V1003" s="73"/>
      <c r="W1003" s="28"/>
      <c r="X1003" s="24"/>
    </row>
    <row r="1004" spans="2:24">
      <c r="B1004" s="24"/>
      <c r="C1004" s="47"/>
      <c r="D1004" s="26"/>
      <c r="E1004" s="27"/>
      <c r="F1004" s="25"/>
      <c r="G1004" s="25"/>
      <c r="H1004" s="25"/>
      <c r="I1004" s="25"/>
      <c r="J1004" s="25"/>
      <c r="K1004" s="25"/>
      <c r="L1004" s="25"/>
      <c r="M1004" s="25"/>
      <c r="N1004" s="25"/>
      <c r="O1004" s="25"/>
      <c r="P1004" s="25"/>
      <c r="Q1004" s="25"/>
      <c r="R1004" s="25"/>
      <c r="S1004" s="151"/>
      <c r="T1004" s="151"/>
      <c r="U1004" s="151"/>
      <c r="V1004" s="73"/>
      <c r="W1004" s="28"/>
      <c r="X1004" s="24"/>
    </row>
    <row r="1005" spans="2:24">
      <c r="B1005" s="24"/>
      <c r="C1005" s="47"/>
      <c r="D1005" s="26"/>
      <c r="E1005" s="27"/>
      <c r="F1005" s="25"/>
      <c r="G1005" s="25"/>
      <c r="H1005" s="25"/>
      <c r="I1005" s="25"/>
      <c r="J1005" s="25"/>
      <c r="K1005" s="25"/>
      <c r="L1005" s="25"/>
      <c r="M1005" s="25"/>
      <c r="N1005" s="25"/>
      <c r="O1005" s="25"/>
      <c r="P1005" s="25"/>
      <c r="Q1005" s="25"/>
      <c r="R1005" s="25"/>
      <c r="S1005" s="151"/>
      <c r="T1005" s="151"/>
      <c r="U1005" s="151"/>
      <c r="V1005" s="73"/>
      <c r="W1005" s="28"/>
      <c r="X1005" s="24"/>
    </row>
    <row r="1006" spans="2:24">
      <c r="B1006" s="24"/>
      <c r="C1006" s="47"/>
      <c r="D1006" s="26"/>
      <c r="E1006" s="27"/>
      <c r="F1006" s="25"/>
      <c r="G1006" s="25"/>
      <c r="H1006" s="25"/>
      <c r="I1006" s="25"/>
      <c r="J1006" s="25"/>
      <c r="K1006" s="25"/>
      <c r="L1006" s="25"/>
      <c r="M1006" s="25"/>
      <c r="N1006" s="25"/>
      <c r="O1006" s="25"/>
      <c r="P1006" s="25"/>
      <c r="Q1006" s="25"/>
      <c r="R1006" s="25"/>
      <c r="S1006" s="151"/>
      <c r="T1006" s="151"/>
      <c r="U1006" s="151"/>
      <c r="V1006" s="73"/>
      <c r="W1006" s="28"/>
      <c r="X1006" s="24"/>
    </row>
    <row r="1007" spans="2:24">
      <c r="B1007" s="24"/>
      <c r="C1007" s="47"/>
      <c r="D1007" s="26"/>
      <c r="E1007" s="27"/>
      <c r="F1007" s="25"/>
      <c r="G1007" s="25"/>
      <c r="H1007" s="25"/>
      <c r="I1007" s="25"/>
      <c r="J1007" s="25"/>
      <c r="K1007" s="25"/>
      <c r="L1007" s="25"/>
      <c r="M1007" s="25"/>
      <c r="N1007" s="25"/>
      <c r="O1007" s="25"/>
      <c r="P1007" s="25"/>
      <c r="Q1007" s="25"/>
      <c r="R1007" s="25"/>
      <c r="S1007" s="151"/>
      <c r="T1007" s="151"/>
      <c r="U1007" s="151"/>
      <c r="V1007" s="73"/>
      <c r="W1007" s="28"/>
      <c r="X1007" s="24"/>
    </row>
    <row r="1008" spans="2:24">
      <c r="B1008" s="24"/>
      <c r="C1008" s="47"/>
      <c r="D1008" s="26"/>
      <c r="E1008" s="27"/>
      <c r="F1008" s="25"/>
      <c r="G1008" s="25"/>
      <c r="H1008" s="25"/>
      <c r="I1008" s="25"/>
      <c r="J1008" s="25"/>
      <c r="K1008" s="25"/>
      <c r="L1008" s="25"/>
      <c r="M1008" s="25"/>
      <c r="N1008" s="25"/>
      <c r="O1008" s="25"/>
      <c r="P1008" s="25"/>
      <c r="Q1008" s="25"/>
      <c r="R1008" s="25"/>
      <c r="S1008" s="151"/>
      <c r="T1008" s="151"/>
      <c r="U1008" s="151"/>
      <c r="V1008" s="73"/>
      <c r="W1008" s="28"/>
      <c r="X1008" s="24"/>
    </row>
    <row r="1009" spans="2:24">
      <c r="B1009" s="24"/>
      <c r="C1009" s="47"/>
      <c r="D1009" s="26"/>
      <c r="E1009" s="27"/>
      <c r="F1009" s="25"/>
      <c r="G1009" s="25"/>
      <c r="H1009" s="25"/>
      <c r="I1009" s="25"/>
      <c r="J1009" s="25"/>
      <c r="K1009" s="25"/>
      <c r="L1009" s="25"/>
      <c r="M1009" s="25"/>
      <c r="N1009" s="25"/>
      <c r="O1009" s="25"/>
      <c r="P1009" s="25"/>
      <c r="Q1009" s="25"/>
      <c r="R1009" s="25"/>
      <c r="S1009" s="151"/>
      <c r="T1009" s="151"/>
      <c r="U1009" s="151"/>
      <c r="V1009" s="73"/>
      <c r="W1009" s="28"/>
      <c r="X1009" s="24"/>
    </row>
    <row r="1010" spans="2:24">
      <c r="B1010" s="24"/>
      <c r="C1010" s="47"/>
      <c r="D1010" s="26"/>
      <c r="E1010" s="27"/>
      <c r="F1010" s="25"/>
      <c r="G1010" s="25"/>
      <c r="H1010" s="25"/>
      <c r="I1010" s="25"/>
      <c r="J1010" s="25"/>
      <c r="K1010" s="25"/>
      <c r="L1010" s="25"/>
      <c r="M1010" s="25"/>
      <c r="N1010" s="25"/>
      <c r="O1010" s="25"/>
      <c r="P1010" s="25"/>
      <c r="Q1010" s="25"/>
      <c r="R1010" s="25"/>
      <c r="S1010" s="151"/>
      <c r="T1010" s="151"/>
      <c r="U1010" s="151"/>
      <c r="V1010" s="73"/>
      <c r="W1010" s="28"/>
      <c r="X1010" s="24"/>
    </row>
    <row r="1011" spans="2:24">
      <c r="B1011" s="24"/>
      <c r="C1011" s="47"/>
      <c r="D1011" s="26"/>
      <c r="E1011" s="27"/>
      <c r="F1011" s="25"/>
      <c r="G1011" s="25"/>
      <c r="H1011" s="25"/>
      <c r="I1011" s="25"/>
      <c r="J1011" s="25"/>
      <c r="K1011" s="25"/>
      <c r="L1011" s="25"/>
      <c r="M1011" s="25"/>
      <c r="N1011" s="25"/>
      <c r="O1011" s="25"/>
      <c r="P1011" s="25"/>
      <c r="Q1011" s="25"/>
      <c r="R1011" s="25"/>
      <c r="S1011" s="151"/>
      <c r="T1011" s="151"/>
      <c r="U1011" s="151"/>
      <c r="V1011" s="73"/>
      <c r="W1011" s="28"/>
      <c r="X1011" s="24"/>
    </row>
    <row r="1012" spans="2:24">
      <c r="B1012" s="24"/>
      <c r="C1012" s="47"/>
      <c r="D1012" s="26"/>
      <c r="E1012" s="27"/>
      <c r="F1012" s="25"/>
      <c r="G1012" s="25"/>
      <c r="H1012" s="25"/>
      <c r="I1012" s="25"/>
      <c r="J1012" s="25"/>
      <c r="K1012" s="25"/>
      <c r="L1012" s="25"/>
      <c r="M1012" s="25"/>
      <c r="N1012" s="25"/>
      <c r="O1012" s="25"/>
      <c r="P1012" s="25"/>
      <c r="Q1012" s="25"/>
      <c r="R1012" s="25"/>
      <c r="S1012" s="151"/>
      <c r="T1012" s="151"/>
      <c r="U1012" s="151"/>
      <c r="V1012" s="73"/>
      <c r="W1012" s="28"/>
      <c r="X1012" s="24"/>
    </row>
    <row r="1013" spans="2:24">
      <c r="B1013" s="24"/>
      <c r="C1013" s="47"/>
      <c r="D1013" s="26"/>
      <c r="E1013" s="27"/>
      <c r="F1013" s="25"/>
      <c r="G1013" s="25"/>
      <c r="H1013" s="25"/>
      <c r="I1013" s="25"/>
      <c r="J1013" s="25"/>
      <c r="K1013" s="25"/>
      <c r="L1013" s="25"/>
      <c r="M1013" s="25"/>
      <c r="N1013" s="25"/>
      <c r="O1013" s="25"/>
      <c r="P1013" s="25"/>
      <c r="Q1013" s="25"/>
      <c r="R1013" s="25"/>
      <c r="S1013" s="151"/>
      <c r="T1013" s="151"/>
      <c r="U1013" s="151"/>
      <c r="V1013" s="73"/>
      <c r="W1013" s="28"/>
      <c r="X1013" s="24"/>
    </row>
    <row r="1014" spans="2:24">
      <c r="B1014" s="24"/>
      <c r="C1014" s="47"/>
      <c r="D1014" s="26"/>
      <c r="E1014" s="27"/>
      <c r="F1014" s="25"/>
      <c r="G1014" s="25"/>
      <c r="H1014" s="25"/>
      <c r="I1014" s="25"/>
      <c r="J1014" s="25"/>
      <c r="K1014" s="25"/>
      <c r="L1014" s="25"/>
      <c r="M1014" s="25"/>
      <c r="N1014" s="25"/>
      <c r="O1014" s="25"/>
      <c r="P1014" s="25"/>
      <c r="Q1014" s="25"/>
      <c r="R1014" s="25"/>
      <c r="S1014" s="151"/>
      <c r="T1014" s="151"/>
      <c r="U1014" s="151"/>
      <c r="V1014" s="73"/>
      <c r="W1014" s="28"/>
      <c r="X1014" s="24"/>
    </row>
    <row r="1015" spans="2:24">
      <c r="B1015" s="24"/>
      <c r="C1015" s="47"/>
      <c r="D1015" s="26"/>
      <c r="E1015" s="27"/>
      <c r="F1015" s="25"/>
      <c r="G1015" s="25"/>
      <c r="H1015" s="25"/>
      <c r="I1015" s="25"/>
      <c r="J1015" s="25"/>
      <c r="K1015" s="25"/>
      <c r="L1015" s="25"/>
      <c r="M1015" s="25"/>
      <c r="N1015" s="25"/>
      <c r="O1015" s="25"/>
      <c r="P1015" s="25"/>
      <c r="Q1015" s="25"/>
      <c r="R1015" s="25"/>
      <c r="S1015" s="151"/>
      <c r="T1015" s="151"/>
      <c r="U1015" s="151"/>
      <c r="V1015" s="73"/>
      <c r="W1015" s="28"/>
      <c r="X1015" s="24"/>
    </row>
    <row r="1016" spans="2:24">
      <c r="B1016" s="24"/>
      <c r="C1016" s="47"/>
      <c r="D1016" s="26"/>
      <c r="E1016" s="27"/>
      <c r="F1016" s="25"/>
      <c r="G1016" s="25"/>
      <c r="H1016" s="25"/>
      <c r="I1016" s="25"/>
      <c r="J1016" s="25"/>
      <c r="K1016" s="25"/>
      <c r="L1016" s="25"/>
      <c r="M1016" s="25"/>
      <c r="N1016" s="25"/>
      <c r="O1016" s="25"/>
      <c r="P1016" s="25"/>
      <c r="Q1016" s="25"/>
      <c r="R1016" s="25"/>
      <c r="S1016" s="151"/>
      <c r="T1016" s="151"/>
      <c r="U1016" s="151"/>
      <c r="V1016" s="73"/>
      <c r="W1016" s="28"/>
      <c r="X1016" s="24"/>
    </row>
    <row r="1017" spans="2:24">
      <c r="B1017" s="24"/>
      <c r="C1017" s="47"/>
      <c r="D1017" s="26"/>
      <c r="E1017" s="27"/>
      <c r="F1017" s="25"/>
      <c r="G1017" s="25"/>
      <c r="H1017" s="25"/>
      <c r="I1017" s="25"/>
      <c r="J1017" s="25"/>
      <c r="K1017" s="25"/>
      <c r="L1017" s="25"/>
      <c r="M1017" s="25"/>
      <c r="N1017" s="25"/>
      <c r="O1017" s="25"/>
      <c r="P1017" s="25"/>
      <c r="Q1017" s="25"/>
      <c r="R1017" s="25"/>
      <c r="S1017" s="151"/>
      <c r="T1017" s="151"/>
      <c r="U1017" s="151"/>
      <c r="V1017" s="73"/>
      <c r="W1017" s="28"/>
      <c r="X1017" s="24"/>
    </row>
    <row r="1018" spans="2:24">
      <c r="B1018" s="24"/>
      <c r="C1018" s="47"/>
      <c r="D1018" s="26"/>
      <c r="E1018" s="27"/>
      <c r="F1018" s="25"/>
      <c r="G1018" s="25"/>
      <c r="H1018" s="25"/>
      <c r="I1018" s="25"/>
      <c r="J1018" s="25"/>
      <c r="K1018" s="25"/>
      <c r="L1018" s="25"/>
      <c r="M1018" s="25"/>
      <c r="N1018" s="25"/>
      <c r="O1018" s="25"/>
      <c r="P1018" s="25"/>
      <c r="Q1018" s="25"/>
      <c r="R1018" s="25"/>
      <c r="S1018" s="151"/>
      <c r="T1018" s="151"/>
      <c r="U1018" s="151"/>
      <c r="V1018" s="73"/>
      <c r="W1018" s="28"/>
      <c r="X1018" s="24"/>
    </row>
    <row r="1019" spans="2:24">
      <c r="B1019" s="24"/>
      <c r="C1019" s="47"/>
      <c r="D1019" s="26"/>
      <c r="E1019" s="27"/>
      <c r="F1019" s="25"/>
      <c r="G1019" s="25"/>
      <c r="H1019" s="25"/>
      <c r="I1019" s="25"/>
      <c r="J1019" s="25"/>
      <c r="K1019" s="25"/>
      <c r="L1019" s="25"/>
      <c r="M1019" s="25"/>
      <c r="N1019" s="25"/>
      <c r="O1019" s="25"/>
      <c r="P1019" s="25"/>
      <c r="Q1019" s="25"/>
      <c r="R1019" s="25"/>
      <c r="S1019" s="151"/>
      <c r="T1019" s="151"/>
      <c r="U1019" s="151"/>
      <c r="V1019" s="73"/>
      <c r="W1019" s="28"/>
      <c r="X1019" s="24"/>
    </row>
    <row r="1020" spans="2:24">
      <c r="B1020" s="24"/>
      <c r="C1020" s="47"/>
      <c r="D1020" s="26"/>
      <c r="E1020" s="27"/>
      <c r="F1020" s="25"/>
      <c r="G1020" s="25"/>
      <c r="H1020" s="25"/>
      <c r="I1020" s="25"/>
      <c r="J1020" s="25"/>
      <c r="K1020" s="25"/>
      <c r="L1020" s="25"/>
      <c r="M1020" s="25"/>
      <c r="N1020" s="25"/>
      <c r="O1020" s="25"/>
      <c r="P1020" s="25"/>
      <c r="Q1020" s="25"/>
      <c r="R1020" s="25"/>
      <c r="S1020" s="151"/>
      <c r="T1020" s="151"/>
      <c r="U1020" s="151"/>
      <c r="V1020" s="73"/>
      <c r="W1020" s="28"/>
      <c r="X1020" s="24"/>
    </row>
    <row r="1021" spans="2:24">
      <c r="B1021" s="24"/>
      <c r="C1021" s="47"/>
      <c r="D1021" s="26"/>
      <c r="E1021" s="27"/>
      <c r="F1021" s="25"/>
      <c r="G1021" s="25"/>
      <c r="H1021" s="25"/>
      <c r="I1021" s="25"/>
      <c r="J1021" s="25"/>
      <c r="K1021" s="25"/>
      <c r="L1021" s="25"/>
      <c r="M1021" s="25"/>
      <c r="N1021" s="25"/>
      <c r="O1021" s="25"/>
      <c r="P1021" s="25"/>
      <c r="Q1021" s="25"/>
      <c r="R1021" s="25"/>
      <c r="S1021" s="151"/>
      <c r="T1021" s="151"/>
      <c r="U1021" s="151"/>
      <c r="V1021" s="73"/>
      <c r="W1021" s="28"/>
      <c r="X1021" s="24"/>
    </row>
    <row r="1022" spans="2:24">
      <c r="B1022" s="24"/>
      <c r="C1022" s="47"/>
      <c r="D1022" s="26"/>
      <c r="E1022" s="27"/>
      <c r="F1022" s="25"/>
      <c r="G1022" s="25"/>
      <c r="H1022" s="25"/>
      <c r="I1022" s="25"/>
      <c r="J1022" s="25"/>
      <c r="K1022" s="25"/>
      <c r="L1022" s="25"/>
      <c r="M1022" s="25"/>
      <c r="N1022" s="25"/>
      <c r="O1022" s="25"/>
      <c r="P1022" s="25"/>
      <c r="Q1022" s="25"/>
      <c r="R1022" s="25"/>
      <c r="S1022" s="151"/>
      <c r="T1022" s="151"/>
      <c r="U1022" s="151"/>
      <c r="V1022" s="73"/>
      <c r="W1022" s="28"/>
      <c r="X1022" s="24"/>
    </row>
    <row r="1023" spans="2:24">
      <c r="B1023" s="24"/>
      <c r="C1023" s="47"/>
      <c r="D1023" s="26"/>
      <c r="E1023" s="27"/>
      <c r="F1023" s="25"/>
      <c r="G1023" s="25"/>
      <c r="H1023" s="25"/>
      <c r="I1023" s="25"/>
      <c r="J1023" s="25"/>
      <c r="K1023" s="25"/>
      <c r="L1023" s="25"/>
      <c r="M1023" s="25"/>
      <c r="N1023" s="25"/>
      <c r="O1023" s="25"/>
      <c r="P1023" s="25"/>
      <c r="Q1023" s="25"/>
      <c r="R1023" s="25"/>
      <c r="S1023" s="151"/>
      <c r="T1023" s="151"/>
      <c r="U1023" s="151"/>
      <c r="V1023" s="73"/>
      <c r="W1023" s="28"/>
      <c r="X1023" s="24"/>
    </row>
    <row r="1024" spans="2:24">
      <c r="B1024" s="24"/>
      <c r="C1024" s="47"/>
      <c r="D1024" s="26"/>
      <c r="E1024" s="27"/>
      <c r="F1024" s="25"/>
      <c r="G1024" s="25"/>
      <c r="H1024" s="25"/>
      <c r="I1024" s="25"/>
      <c r="J1024" s="25"/>
      <c r="K1024" s="25"/>
      <c r="L1024" s="25"/>
      <c r="M1024" s="25"/>
      <c r="N1024" s="25"/>
      <c r="O1024" s="25"/>
      <c r="P1024" s="25"/>
      <c r="Q1024" s="25"/>
      <c r="R1024" s="25"/>
      <c r="S1024" s="151"/>
      <c r="T1024" s="151"/>
      <c r="U1024" s="151"/>
      <c r="V1024" s="73"/>
      <c r="W1024" s="28"/>
      <c r="X1024" s="24"/>
    </row>
    <row r="1025" spans="2:24">
      <c r="B1025" s="24"/>
      <c r="C1025" s="47"/>
      <c r="D1025" s="26"/>
      <c r="E1025" s="27"/>
      <c r="F1025" s="25"/>
      <c r="G1025" s="25"/>
      <c r="H1025" s="25"/>
      <c r="I1025" s="25"/>
      <c r="J1025" s="25"/>
      <c r="K1025" s="25"/>
      <c r="L1025" s="25"/>
      <c r="M1025" s="25"/>
      <c r="N1025" s="25"/>
      <c r="O1025" s="25"/>
      <c r="P1025" s="25"/>
      <c r="Q1025" s="25"/>
      <c r="R1025" s="25"/>
      <c r="S1025" s="151"/>
      <c r="T1025" s="151"/>
      <c r="U1025" s="151"/>
      <c r="V1025" s="73"/>
      <c r="W1025" s="28"/>
      <c r="X1025" s="24"/>
    </row>
    <row r="1026" spans="2:24">
      <c r="B1026" s="24"/>
      <c r="C1026" s="47"/>
      <c r="D1026" s="26"/>
      <c r="E1026" s="27"/>
      <c r="F1026" s="25"/>
      <c r="G1026" s="25"/>
      <c r="H1026" s="25"/>
      <c r="I1026" s="25"/>
      <c r="J1026" s="25"/>
      <c r="K1026" s="25"/>
      <c r="L1026" s="25"/>
      <c r="M1026" s="25"/>
      <c r="N1026" s="25"/>
      <c r="O1026" s="25"/>
      <c r="P1026" s="25"/>
      <c r="Q1026" s="25"/>
      <c r="R1026" s="25"/>
      <c r="S1026" s="151"/>
      <c r="T1026" s="151"/>
      <c r="U1026" s="151"/>
      <c r="V1026" s="73"/>
      <c r="W1026" s="28"/>
      <c r="X1026" s="24"/>
    </row>
    <row r="1027" spans="2:24">
      <c r="B1027" s="24"/>
      <c r="C1027" s="47"/>
      <c r="D1027" s="26"/>
      <c r="E1027" s="27"/>
      <c r="F1027" s="25"/>
      <c r="G1027" s="25"/>
      <c r="H1027" s="25"/>
      <c r="I1027" s="25"/>
      <c r="J1027" s="25"/>
      <c r="K1027" s="25"/>
      <c r="L1027" s="25"/>
      <c r="M1027" s="25"/>
      <c r="N1027" s="25"/>
      <c r="O1027" s="25"/>
      <c r="P1027" s="25"/>
      <c r="Q1027" s="25"/>
      <c r="R1027" s="25"/>
      <c r="S1027" s="151"/>
      <c r="T1027" s="151"/>
      <c r="U1027" s="151"/>
      <c r="V1027" s="73"/>
      <c r="W1027" s="28"/>
      <c r="X1027" s="24"/>
    </row>
    <row r="1028" spans="2:24">
      <c r="B1028" s="24"/>
      <c r="C1028" s="47"/>
      <c r="D1028" s="26"/>
      <c r="E1028" s="27"/>
      <c r="F1028" s="25"/>
      <c r="G1028" s="25"/>
      <c r="H1028" s="25"/>
      <c r="I1028" s="25"/>
      <c r="J1028" s="25"/>
      <c r="K1028" s="25"/>
      <c r="L1028" s="25"/>
      <c r="M1028" s="25"/>
      <c r="N1028" s="25"/>
      <c r="O1028" s="25"/>
      <c r="P1028" s="25"/>
      <c r="Q1028" s="25"/>
      <c r="R1028" s="25"/>
      <c r="S1028" s="151"/>
      <c r="T1028" s="151"/>
      <c r="U1028" s="151"/>
      <c r="V1028" s="73"/>
      <c r="W1028" s="28"/>
      <c r="X1028" s="24"/>
    </row>
    <row r="1029" spans="2:24">
      <c r="B1029" s="24"/>
      <c r="C1029" s="47"/>
      <c r="D1029" s="26"/>
      <c r="E1029" s="27"/>
      <c r="F1029" s="25"/>
      <c r="G1029" s="25"/>
      <c r="H1029" s="25"/>
      <c r="I1029" s="25"/>
      <c r="J1029" s="25"/>
      <c r="K1029" s="25"/>
      <c r="L1029" s="25"/>
      <c r="M1029" s="25"/>
      <c r="N1029" s="25"/>
      <c r="O1029" s="25"/>
      <c r="P1029" s="25"/>
      <c r="Q1029" s="25"/>
      <c r="R1029" s="25"/>
      <c r="S1029" s="151"/>
      <c r="T1029" s="151"/>
      <c r="U1029" s="151"/>
      <c r="V1029" s="73"/>
      <c r="W1029" s="28"/>
      <c r="X1029" s="24"/>
    </row>
    <row r="1030" spans="2:24">
      <c r="B1030" s="24"/>
      <c r="C1030" s="47"/>
      <c r="D1030" s="26"/>
      <c r="E1030" s="27"/>
      <c r="F1030" s="25"/>
      <c r="G1030" s="25"/>
      <c r="H1030" s="25"/>
      <c r="I1030" s="25"/>
      <c r="J1030" s="25"/>
      <c r="K1030" s="25"/>
      <c r="L1030" s="25"/>
      <c r="M1030" s="25"/>
      <c r="N1030" s="25"/>
      <c r="O1030" s="25"/>
      <c r="P1030" s="25"/>
      <c r="Q1030" s="25"/>
      <c r="R1030" s="25"/>
      <c r="S1030" s="151"/>
      <c r="T1030" s="151"/>
      <c r="U1030" s="151"/>
      <c r="V1030" s="73"/>
      <c r="W1030" s="28"/>
      <c r="X1030" s="24"/>
    </row>
    <row r="1031" spans="2:24">
      <c r="B1031" s="24"/>
      <c r="C1031" s="47"/>
      <c r="D1031" s="26"/>
      <c r="E1031" s="27"/>
      <c r="F1031" s="25"/>
      <c r="G1031" s="25"/>
      <c r="H1031" s="25"/>
      <c r="I1031" s="25"/>
      <c r="J1031" s="25"/>
      <c r="K1031" s="25"/>
      <c r="L1031" s="25"/>
      <c r="M1031" s="25"/>
      <c r="N1031" s="25"/>
      <c r="O1031" s="25"/>
      <c r="P1031" s="25"/>
      <c r="Q1031" s="25"/>
      <c r="R1031" s="25"/>
      <c r="S1031" s="151"/>
      <c r="T1031" s="151"/>
      <c r="U1031" s="151"/>
      <c r="V1031" s="73"/>
      <c r="W1031" s="28"/>
      <c r="X1031" s="24"/>
    </row>
    <row r="1032" spans="2:24">
      <c r="B1032" s="24"/>
      <c r="C1032" s="47"/>
      <c r="D1032" s="26"/>
      <c r="E1032" s="27"/>
      <c r="F1032" s="25"/>
      <c r="G1032" s="25"/>
      <c r="H1032" s="25"/>
      <c r="I1032" s="25"/>
      <c r="J1032" s="25"/>
      <c r="K1032" s="25"/>
      <c r="L1032" s="25"/>
      <c r="M1032" s="25"/>
      <c r="N1032" s="25"/>
      <c r="O1032" s="25"/>
      <c r="P1032" s="25"/>
      <c r="Q1032" s="25"/>
      <c r="R1032" s="25"/>
      <c r="S1032" s="151"/>
      <c r="T1032" s="151"/>
      <c r="U1032" s="151"/>
      <c r="V1032" s="73"/>
      <c r="W1032" s="28"/>
      <c r="X1032" s="24"/>
    </row>
    <row r="1033" spans="2:24">
      <c r="B1033" s="24"/>
      <c r="C1033" s="47"/>
      <c r="D1033" s="26"/>
      <c r="E1033" s="27"/>
      <c r="F1033" s="25"/>
      <c r="G1033" s="25"/>
      <c r="H1033" s="25"/>
      <c r="I1033" s="25"/>
      <c r="J1033" s="25"/>
      <c r="K1033" s="25"/>
      <c r="L1033" s="25"/>
      <c r="M1033" s="25"/>
      <c r="N1033" s="25"/>
      <c r="O1033" s="25"/>
      <c r="P1033" s="25"/>
      <c r="Q1033" s="25"/>
      <c r="R1033" s="25"/>
      <c r="S1033" s="151"/>
      <c r="T1033" s="151"/>
      <c r="U1033" s="151"/>
      <c r="V1033" s="73"/>
      <c r="W1033" s="28"/>
      <c r="X1033" s="24"/>
    </row>
    <row r="1034" spans="2:24">
      <c r="B1034" s="24"/>
      <c r="C1034" s="47"/>
      <c r="D1034" s="26"/>
      <c r="E1034" s="27"/>
      <c r="F1034" s="25"/>
      <c r="G1034" s="25"/>
      <c r="H1034" s="25"/>
      <c r="I1034" s="25"/>
      <c r="J1034" s="25"/>
      <c r="K1034" s="25"/>
      <c r="L1034" s="25"/>
      <c r="M1034" s="25"/>
      <c r="N1034" s="25"/>
      <c r="O1034" s="25"/>
      <c r="P1034" s="25"/>
      <c r="Q1034" s="25"/>
      <c r="R1034" s="25"/>
      <c r="S1034" s="151"/>
      <c r="T1034" s="151"/>
      <c r="U1034" s="151"/>
      <c r="V1034" s="73"/>
      <c r="W1034" s="28"/>
      <c r="X1034" s="24"/>
    </row>
    <row r="1035" spans="2:24">
      <c r="B1035" s="24"/>
      <c r="C1035" s="47"/>
      <c r="D1035" s="26"/>
      <c r="E1035" s="27"/>
      <c r="F1035" s="25"/>
      <c r="G1035" s="25"/>
      <c r="H1035" s="25"/>
      <c r="I1035" s="25"/>
      <c r="J1035" s="25"/>
      <c r="K1035" s="25"/>
      <c r="L1035" s="25"/>
      <c r="M1035" s="25"/>
      <c r="N1035" s="25"/>
      <c r="O1035" s="25"/>
      <c r="P1035" s="25"/>
      <c r="Q1035" s="25"/>
      <c r="R1035" s="25"/>
      <c r="S1035" s="151"/>
      <c r="T1035" s="151"/>
      <c r="U1035" s="151"/>
      <c r="V1035" s="73"/>
      <c r="W1035" s="28"/>
      <c r="X1035" s="24"/>
    </row>
    <row r="1036" spans="2:24">
      <c r="B1036" s="24"/>
      <c r="C1036" s="47"/>
      <c r="D1036" s="26"/>
      <c r="E1036" s="27"/>
      <c r="F1036" s="25"/>
      <c r="G1036" s="25"/>
      <c r="H1036" s="25"/>
      <c r="I1036" s="25"/>
      <c r="J1036" s="25"/>
      <c r="K1036" s="25"/>
      <c r="L1036" s="25"/>
      <c r="M1036" s="25"/>
      <c r="N1036" s="25"/>
      <c r="O1036" s="25"/>
      <c r="P1036" s="25"/>
      <c r="Q1036" s="25"/>
      <c r="R1036" s="25"/>
      <c r="S1036" s="151"/>
      <c r="T1036" s="151"/>
      <c r="U1036" s="151"/>
      <c r="V1036" s="73"/>
      <c r="W1036" s="28"/>
      <c r="X1036" s="24"/>
    </row>
    <row r="1037" spans="2:24">
      <c r="B1037" s="24"/>
      <c r="C1037" s="47"/>
      <c r="D1037" s="26"/>
      <c r="E1037" s="27"/>
      <c r="F1037" s="25"/>
      <c r="G1037" s="25"/>
      <c r="H1037" s="25"/>
      <c r="I1037" s="25"/>
      <c r="J1037" s="25"/>
      <c r="K1037" s="25"/>
      <c r="L1037" s="25"/>
      <c r="M1037" s="25"/>
      <c r="N1037" s="25"/>
      <c r="O1037" s="25"/>
      <c r="P1037" s="25"/>
      <c r="Q1037" s="25"/>
      <c r="R1037" s="25"/>
      <c r="S1037" s="151"/>
      <c r="T1037" s="151"/>
      <c r="U1037" s="151"/>
      <c r="V1037" s="73"/>
      <c r="W1037" s="28"/>
      <c r="X1037" s="24"/>
    </row>
    <row r="1038" spans="2:24">
      <c r="B1038" s="24"/>
      <c r="C1038" s="47"/>
      <c r="D1038" s="26"/>
      <c r="E1038" s="27"/>
      <c r="F1038" s="25"/>
      <c r="G1038" s="25"/>
      <c r="H1038" s="25"/>
      <c r="I1038" s="25"/>
      <c r="J1038" s="25"/>
      <c r="K1038" s="25"/>
      <c r="L1038" s="25"/>
      <c r="M1038" s="25"/>
      <c r="N1038" s="25"/>
      <c r="O1038" s="25"/>
      <c r="P1038" s="25"/>
      <c r="Q1038" s="25"/>
      <c r="R1038" s="25"/>
      <c r="S1038" s="151"/>
      <c r="T1038" s="151"/>
      <c r="U1038" s="151"/>
      <c r="V1038" s="73"/>
      <c r="W1038" s="28"/>
      <c r="X1038" s="24"/>
    </row>
    <row r="1039" spans="2:24">
      <c r="B1039" s="24"/>
      <c r="C1039" s="47"/>
      <c r="D1039" s="26"/>
      <c r="E1039" s="27"/>
      <c r="F1039" s="25"/>
      <c r="G1039" s="25"/>
      <c r="H1039" s="25"/>
      <c r="I1039" s="25"/>
      <c r="J1039" s="25"/>
      <c r="K1039" s="25"/>
      <c r="L1039" s="25"/>
      <c r="M1039" s="25"/>
      <c r="N1039" s="25"/>
      <c r="O1039" s="25"/>
      <c r="P1039" s="25"/>
      <c r="Q1039" s="25"/>
      <c r="R1039" s="25"/>
      <c r="S1039" s="151"/>
      <c r="T1039" s="151"/>
      <c r="U1039" s="151"/>
      <c r="V1039" s="73"/>
      <c r="W1039" s="28"/>
      <c r="X1039" s="24"/>
    </row>
    <row r="1040" spans="2:24">
      <c r="B1040" s="24"/>
      <c r="C1040" s="47"/>
      <c r="D1040" s="26"/>
      <c r="E1040" s="27"/>
      <c r="F1040" s="25"/>
      <c r="G1040" s="25"/>
      <c r="H1040" s="25"/>
      <c r="I1040" s="25"/>
      <c r="J1040" s="25"/>
      <c r="K1040" s="25"/>
      <c r="L1040" s="25"/>
      <c r="M1040" s="25"/>
      <c r="N1040" s="25"/>
      <c r="O1040" s="25"/>
      <c r="P1040" s="25"/>
      <c r="Q1040" s="25"/>
      <c r="R1040" s="25"/>
      <c r="S1040" s="151"/>
      <c r="T1040" s="151"/>
      <c r="U1040" s="151"/>
      <c r="V1040" s="73"/>
      <c r="W1040" s="28"/>
      <c r="X1040" s="24"/>
    </row>
    <row r="1041" spans="2:24">
      <c r="B1041" s="24"/>
      <c r="C1041" s="47"/>
      <c r="D1041" s="26"/>
      <c r="E1041" s="27"/>
      <c r="F1041" s="25"/>
      <c r="G1041" s="25"/>
      <c r="H1041" s="25"/>
      <c r="I1041" s="25"/>
      <c r="J1041" s="25"/>
      <c r="K1041" s="25"/>
      <c r="L1041" s="25"/>
      <c r="M1041" s="25"/>
      <c r="N1041" s="25"/>
      <c r="O1041" s="25"/>
      <c r="P1041" s="25"/>
      <c r="Q1041" s="25"/>
      <c r="R1041" s="25"/>
      <c r="S1041" s="151"/>
      <c r="T1041" s="151"/>
      <c r="U1041" s="151"/>
      <c r="V1041" s="73"/>
      <c r="W1041" s="28"/>
      <c r="X1041" s="24"/>
    </row>
    <row r="1042" spans="2:24">
      <c r="B1042" s="24"/>
      <c r="C1042" s="47"/>
      <c r="D1042" s="26"/>
      <c r="E1042" s="27"/>
      <c r="F1042" s="25"/>
      <c r="G1042" s="25"/>
      <c r="H1042" s="25"/>
      <c r="I1042" s="25"/>
      <c r="J1042" s="25"/>
      <c r="K1042" s="25"/>
      <c r="L1042" s="25"/>
      <c r="M1042" s="25"/>
      <c r="N1042" s="25"/>
      <c r="O1042" s="25"/>
      <c r="P1042" s="25"/>
      <c r="Q1042" s="25"/>
      <c r="R1042" s="25"/>
      <c r="S1042" s="151"/>
      <c r="T1042" s="151"/>
      <c r="U1042" s="151"/>
      <c r="V1042" s="73"/>
      <c r="W1042" s="28"/>
      <c r="X1042" s="24"/>
    </row>
    <row r="1043" spans="2:24">
      <c r="B1043" s="24"/>
      <c r="C1043" s="47"/>
      <c r="D1043" s="26"/>
      <c r="E1043" s="27"/>
      <c r="F1043" s="25"/>
      <c r="G1043" s="25"/>
      <c r="H1043" s="25"/>
      <c r="I1043" s="25"/>
      <c r="J1043" s="25"/>
      <c r="K1043" s="25"/>
      <c r="L1043" s="25"/>
      <c r="M1043" s="25"/>
      <c r="N1043" s="25"/>
      <c r="O1043" s="25"/>
      <c r="P1043" s="25"/>
      <c r="Q1043" s="25"/>
      <c r="R1043" s="25"/>
      <c r="S1043" s="151"/>
      <c r="T1043" s="151"/>
      <c r="U1043" s="151"/>
      <c r="V1043" s="73"/>
      <c r="W1043" s="28"/>
      <c r="X1043" s="24"/>
    </row>
    <row r="1044" spans="2:24">
      <c r="B1044" s="24"/>
      <c r="C1044" s="47"/>
      <c r="D1044" s="26"/>
      <c r="E1044" s="27"/>
      <c r="F1044" s="25"/>
      <c r="G1044" s="25"/>
      <c r="H1044" s="25"/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  <c r="S1044" s="151"/>
      <c r="T1044" s="151"/>
      <c r="U1044" s="151"/>
      <c r="V1044" s="73"/>
      <c r="W1044" s="28"/>
      <c r="X1044" s="24"/>
    </row>
    <row r="1045" spans="2:24">
      <c r="B1045" s="24"/>
      <c r="C1045" s="47"/>
      <c r="D1045" s="26"/>
      <c r="E1045" s="27"/>
      <c r="F1045" s="25"/>
      <c r="G1045" s="25"/>
      <c r="H1045" s="25"/>
      <c r="I1045" s="25"/>
      <c r="J1045" s="25"/>
      <c r="K1045" s="25"/>
      <c r="L1045" s="25"/>
      <c r="M1045" s="25"/>
      <c r="N1045" s="25"/>
      <c r="O1045" s="25"/>
      <c r="P1045" s="25"/>
      <c r="Q1045" s="25"/>
      <c r="R1045" s="25"/>
      <c r="S1045" s="151"/>
      <c r="T1045" s="151"/>
      <c r="U1045" s="151"/>
      <c r="V1045" s="73"/>
      <c r="W1045" s="28"/>
      <c r="X1045" s="24"/>
    </row>
    <row r="1046" spans="2:24">
      <c r="B1046" s="24"/>
      <c r="C1046" s="47"/>
      <c r="D1046" s="26"/>
      <c r="E1046" s="27"/>
      <c r="F1046" s="25"/>
      <c r="G1046" s="25"/>
      <c r="H1046" s="25"/>
      <c r="I1046" s="25"/>
      <c r="J1046" s="25"/>
      <c r="K1046" s="25"/>
      <c r="L1046" s="25"/>
      <c r="M1046" s="25"/>
      <c r="N1046" s="25"/>
      <c r="O1046" s="25"/>
      <c r="P1046" s="25"/>
      <c r="Q1046" s="25"/>
      <c r="R1046" s="25"/>
      <c r="S1046" s="151"/>
      <c r="T1046" s="151"/>
      <c r="U1046" s="151"/>
      <c r="V1046" s="73"/>
      <c r="W1046" s="28"/>
      <c r="X1046" s="24"/>
    </row>
    <row r="1047" spans="2:24">
      <c r="B1047" s="24"/>
      <c r="C1047" s="47"/>
      <c r="D1047" s="26"/>
      <c r="E1047" s="27"/>
      <c r="F1047" s="25"/>
      <c r="G1047" s="25"/>
      <c r="H1047" s="25"/>
      <c r="I1047" s="25"/>
      <c r="J1047" s="25"/>
      <c r="K1047" s="25"/>
      <c r="L1047" s="25"/>
      <c r="M1047" s="25"/>
      <c r="N1047" s="25"/>
      <c r="O1047" s="25"/>
      <c r="P1047" s="25"/>
      <c r="Q1047" s="25"/>
      <c r="R1047" s="25"/>
      <c r="S1047" s="151"/>
      <c r="T1047" s="151"/>
      <c r="U1047" s="151"/>
      <c r="V1047" s="73"/>
      <c r="W1047" s="28"/>
      <c r="X1047" s="24"/>
    </row>
    <row r="1048" spans="2:24">
      <c r="B1048" s="24"/>
      <c r="C1048" s="47"/>
      <c r="D1048" s="26"/>
      <c r="E1048" s="27"/>
      <c r="F1048" s="25"/>
      <c r="G1048" s="25"/>
      <c r="H1048" s="25"/>
      <c r="I1048" s="25"/>
      <c r="J1048" s="25"/>
      <c r="K1048" s="25"/>
      <c r="L1048" s="25"/>
      <c r="M1048" s="25"/>
      <c r="N1048" s="25"/>
      <c r="O1048" s="25"/>
      <c r="P1048" s="25"/>
      <c r="Q1048" s="25"/>
      <c r="R1048" s="25"/>
      <c r="S1048" s="151"/>
      <c r="T1048" s="151"/>
      <c r="U1048" s="151"/>
      <c r="V1048" s="73"/>
      <c r="W1048" s="28"/>
      <c r="X1048" s="24"/>
    </row>
    <row r="1049" spans="2:24">
      <c r="B1049" s="24"/>
      <c r="C1049" s="47"/>
      <c r="D1049" s="26"/>
      <c r="E1049" s="27"/>
      <c r="F1049" s="25"/>
      <c r="G1049" s="25"/>
      <c r="H1049" s="25"/>
      <c r="I1049" s="25"/>
      <c r="J1049" s="25"/>
      <c r="K1049" s="25"/>
      <c r="L1049" s="25"/>
      <c r="M1049" s="25"/>
      <c r="N1049" s="25"/>
      <c r="O1049" s="25"/>
      <c r="P1049" s="25"/>
      <c r="Q1049" s="25"/>
      <c r="R1049" s="25"/>
      <c r="S1049" s="151"/>
      <c r="T1049" s="151"/>
      <c r="U1049" s="151"/>
      <c r="V1049" s="73"/>
      <c r="W1049" s="28"/>
      <c r="X1049" s="24"/>
    </row>
    <row r="1050" spans="2:24">
      <c r="B1050" s="24"/>
      <c r="C1050" s="47"/>
      <c r="D1050" s="26"/>
      <c r="E1050" s="27"/>
      <c r="F1050" s="25"/>
      <c r="G1050" s="25"/>
      <c r="H1050" s="25"/>
      <c r="I1050" s="25"/>
      <c r="J1050" s="25"/>
      <c r="K1050" s="25"/>
      <c r="L1050" s="25"/>
      <c r="M1050" s="25"/>
      <c r="N1050" s="25"/>
      <c r="O1050" s="25"/>
      <c r="P1050" s="25"/>
      <c r="Q1050" s="25"/>
      <c r="R1050" s="25"/>
      <c r="S1050" s="151"/>
      <c r="T1050" s="151"/>
      <c r="U1050" s="151"/>
      <c r="V1050" s="73"/>
      <c r="W1050" s="28"/>
      <c r="X1050" s="24"/>
    </row>
    <row r="1051" spans="2:24">
      <c r="B1051" s="24"/>
      <c r="C1051" s="47"/>
      <c r="D1051" s="26"/>
      <c r="E1051" s="27"/>
      <c r="F1051" s="25"/>
      <c r="G1051" s="25"/>
      <c r="H1051" s="25"/>
      <c r="I1051" s="25"/>
      <c r="J1051" s="25"/>
      <c r="K1051" s="25"/>
      <c r="L1051" s="25"/>
      <c r="M1051" s="25"/>
      <c r="N1051" s="25"/>
      <c r="O1051" s="25"/>
      <c r="P1051" s="25"/>
      <c r="Q1051" s="25"/>
      <c r="R1051" s="25"/>
      <c r="S1051" s="151"/>
      <c r="T1051" s="151"/>
      <c r="U1051" s="151"/>
      <c r="V1051" s="73"/>
      <c r="W1051" s="28"/>
      <c r="X1051" s="24"/>
    </row>
    <row r="1052" spans="2:24">
      <c r="B1052" s="24"/>
      <c r="C1052" s="47"/>
      <c r="D1052" s="26"/>
      <c r="E1052" s="27"/>
      <c r="F1052" s="25"/>
      <c r="G1052" s="25"/>
      <c r="H1052" s="25"/>
      <c r="I1052" s="25"/>
      <c r="J1052" s="25"/>
      <c r="K1052" s="25"/>
      <c r="L1052" s="25"/>
      <c r="M1052" s="25"/>
      <c r="N1052" s="25"/>
      <c r="O1052" s="25"/>
      <c r="P1052" s="25"/>
      <c r="Q1052" s="25"/>
      <c r="R1052" s="25"/>
      <c r="S1052" s="151"/>
      <c r="T1052" s="151"/>
      <c r="U1052" s="151"/>
      <c r="V1052" s="73"/>
      <c r="W1052" s="28"/>
      <c r="X1052" s="24"/>
    </row>
    <row r="1053" spans="2:24">
      <c r="B1053" s="24"/>
      <c r="C1053" s="47"/>
      <c r="D1053" s="26"/>
      <c r="E1053" s="27"/>
      <c r="F1053" s="25"/>
      <c r="G1053" s="25"/>
      <c r="H1053" s="25"/>
      <c r="I1053" s="25"/>
      <c r="J1053" s="25"/>
      <c r="K1053" s="25"/>
      <c r="L1053" s="25"/>
      <c r="M1053" s="25"/>
      <c r="N1053" s="25"/>
      <c r="O1053" s="25"/>
      <c r="P1053" s="25"/>
      <c r="Q1053" s="25"/>
      <c r="R1053" s="25"/>
      <c r="S1053" s="151"/>
      <c r="T1053" s="151"/>
      <c r="U1053" s="151"/>
      <c r="V1053" s="73"/>
      <c r="W1053" s="28"/>
      <c r="X1053" s="24"/>
    </row>
    <row r="1054" spans="2:24">
      <c r="B1054" s="24"/>
      <c r="C1054" s="47"/>
      <c r="D1054" s="26"/>
      <c r="E1054" s="27"/>
      <c r="F1054" s="25"/>
      <c r="G1054" s="25"/>
      <c r="H1054" s="25"/>
      <c r="I1054" s="25"/>
      <c r="J1054" s="25"/>
      <c r="K1054" s="25"/>
      <c r="L1054" s="25"/>
      <c r="M1054" s="25"/>
      <c r="N1054" s="25"/>
      <c r="O1054" s="25"/>
      <c r="P1054" s="25"/>
      <c r="Q1054" s="25"/>
      <c r="R1054" s="25"/>
      <c r="S1054" s="151"/>
      <c r="T1054" s="151"/>
      <c r="U1054" s="151"/>
      <c r="V1054" s="73"/>
      <c r="W1054" s="28"/>
      <c r="X1054" s="24"/>
    </row>
    <row r="1055" spans="2:24">
      <c r="B1055" s="24"/>
      <c r="C1055" s="47"/>
      <c r="D1055" s="26"/>
      <c r="E1055" s="27"/>
      <c r="F1055" s="25"/>
      <c r="G1055" s="25"/>
      <c r="H1055" s="25"/>
      <c r="I1055" s="25"/>
      <c r="J1055" s="25"/>
      <c r="K1055" s="25"/>
      <c r="L1055" s="25"/>
      <c r="M1055" s="25"/>
      <c r="N1055" s="25"/>
      <c r="O1055" s="25"/>
      <c r="P1055" s="25"/>
      <c r="Q1055" s="25"/>
      <c r="R1055" s="25"/>
      <c r="S1055" s="151"/>
      <c r="T1055" s="151"/>
      <c r="U1055" s="151"/>
      <c r="V1055" s="73"/>
      <c r="W1055" s="28"/>
      <c r="X1055" s="24"/>
    </row>
    <row r="1056" spans="2:24">
      <c r="B1056" s="24"/>
      <c r="C1056" s="47"/>
      <c r="D1056" s="26"/>
      <c r="E1056" s="27"/>
      <c r="F1056" s="25"/>
      <c r="G1056" s="25"/>
      <c r="H1056" s="25"/>
      <c r="I1056" s="25"/>
      <c r="J1056" s="25"/>
      <c r="K1056" s="25"/>
      <c r="L1056" s="25"/>
      <c r="M1056" s="25"/>
      <c r="N1056" s="25"/>
      <c r="O1056" s="25"/>
      <c r="P1056" s="25"/>
      <c r="Q1056" s="25"/>
      <c r="R1056" s="25"/>
      <c r="S1056" s="151"/>
      <c r="T1056" s="151"/>
      <c r="U1056" s="151"/>
      <c r="V1056" s="73"/>
      <c r="W1056" s="28"/>
      <c r="X1056" s="24"/>
    </row>
    <row r="1057" spans="2:24">
      <c r="B1057" s="24"/>
      <c r="C1057" s="47"/>
      <c r="D1057" s="26"/>
      <c r="E1057" s="27"/>
      <c r="F1057" s="25"/>
      <c r="G1057" s="25"/>
      <c r="H1057" s="25"/>
      <c r="I1057" s="25"/>
      <c r="J1057" s="25"/>
      <c r="K1057" s="25"/>
      <c r="L1057" s="25"/>
      <c r="M1057" s="25"/>
      <c r="N1057" s="25"/>
      <c r="O1057" s="25"/>
      <c r="P1057" s="25"/>
      <c r="Q1057" s="25"/>
      <c r="R1057" s="25"/>
      <c r="S1057" s="151"/>
      <c r="T1057" s="151"/>
      <c r="U1057" s="151"/>
      <c r="V1057" s="73"/>
      <c r="W1057" s="28"/>
      <c r="X1057" s="24"/>
    </row>
    <row r="1058" spans="2:24">
      <c r="B1058" s="24"/>
      <c r="C1058" s="47"/>
      <c r="D1058" s="26"/>
      <c r="E1058" s="27"/>
      <c r="F1058" s="25"/>
      <c r="G1058" s="25"/>
      <c r="H1058" s="25"/>
      <c r="I1058" s="25"/>
      <c r="J1058" s="25"/>
      <c r="K1058" s="25"/>
      <c r="L1058" s="25"/>
      <c r="M1058" s="25"/>
      <c r="N1058" s="25"/>
      <c r="O1058" s="25"/>
      <c r="P1058" s="25"/>
      <c r="Q1058" s="25"/>
      <c r="R1058" s="25"/>
      <c r="S1058" s="151"/>
      <c r="T1058" s="151"/>
      <c r="U1058" s="151"/>
      <c r="V1058" s="73"/>
      <c r="W1058" s="28"/>
      <c r="X1058" s="24"/>
    </row>
    <row r="1059" spans="2:24">
      <c r="B1059" s="24"/>
      <c r="C1059" s="47"/>
      <c r="D1059" s="26"/>
      <c r="E1059" s="27"/>
      <c r="F1059" s="25"/>
      <c r="G1059" s="25"/>
      <c r="H1059" s="25"/>
      <c r="I1059" s="25"/>
      <c r="J1059" s="25"/>
      <c r="K1059" s="25"/>
      <c r="L1059" s="25"/>
      <c r="M1059" s="25"/>
      <c r="N1059" s="25"/>
      <c r="O1059" s="25"/>
      <c r="P1059" s="25"/>
      <c r="Q1059" s="25"/>
      <c r="R1059" s="25"/>
      <c r="S1059" s="151"/>
      <c r="T1059" s="151"/>
      <c r="U1059" s="151"/>
      <c r="V1059" s="73"/>
      <c r="W1059" s="28"/>
      <c r="X1059" s="24"/>
    </row>
    <row r="1060" spans="2:24">
      <c r="B1060" s="24"/>
      <c r="C1060" s="47"/>
      <c r="D1060" s="26"/>
      <c r="E1060" s="27"/>
      <c r="F1060" s="25"/>
      <c r="G1060" s="25"/>
      <c r="H1060" s="25"/>
      <c r="I1060" s="25"/>
      <c r="J1060" s="25"/>
      <c r="K1060" s="25"/>
      <c r="L1060" s="25"/>
      <c r="M1060" s="25"/>
      <c r="N1060" s="25"/>
      <c r="O1060" s="25"/>
      <c r="P1060" s="25"/>
      <c r="Q1060" s="25"/>
      <c r="R1060" s="25"/>
      <c r="S1060" s="151"/>
      <c r="T1060" s="151"/>
      <c r="U1060" s="151"/>
      <c r="V1060" s="73"/>
      <c r="W1060" s="28"/>
      <c r="X1060" s="24"/>
    </row>
    <row r="1061" spans="2:24">
      <c r="B1061" s="24"/>
      <c r="C1061" s="47"/>
      <c r="D1061" s="26"/>
      <c r="E1061" s="27"/>
      <c r="F1061" s="25"/>
      <c r="G1061" s="25"/>
      <c r="H1061" s="25"/>
      <c r="I1061" s="25"/>
      <c r="J1061" s="25"/>
      <c r="K1061" s="25"/>
      <c r="L1061" s="25"/>
      <c r="M1061" s="25"/>
      <c r="N1061" s="25"/>
      <c r="O1061" s="25"/>
      <c r="P1061" s="25"/>
      <c r="Q1061" s="25"/>
      <c r="R1061" s="25"/>
      <c r="S1061" s="151"/>
      <c r="T1061" s="151"/>
      <c r="U1061" s="151"/>
      <c r="V1061" s="73"/>
      <c r="W1061" s="28"/>
      <c r="X1061" s="24"/>
    </row>
    <row r="1062" spans="2:24">
      <c r="B1062" s="24"/>
      <c r="C1062" s="47"/>
      <c r="D1062" s="26"/>
      <c r="E1062" s="27"/>
      <c r="F1062" s="25"/>
      <c r="G1062" s="25"/>
      <c r="H1062" s="25"/>
      <c r="I1062" s="25"/>
      <c r="J1062" s="25"/>
      <c r="K1062" s="25"/>
      <c r="L1062" s="25"/>
      <c r="M1062" s="25"/>
      <c r="N1062" s="25"/>
      <c r="O1062" s="25"/>
      <c r="P1062" s="25"/>
      <c r="Q1062" s="25"/>
      <c r="R1062" s="25"/>
      <c r="S1062" s="151"/>
      <c r="T1062" s="151"/>
      <c r="U1062" s="151"/>
      <c r="V1062" s="73"/>
      <c r="W1062" s="28"/>
      <c r="X1062" s="24"/>
    </row>
    <row r="1063" spans="2:24">
      <c r="B1063" s="24"/>
      <c r="C1063" s="47"/>
      <c r="D1063" s="26"/>
      <c r="E1063" s="27"/>
      <c r="F1063" s="25"/>
      <c r="G1063" s="25"/>
      <c r="H1063" s="25"/>
      <c r="I1063" s="25"/>
      <c r="J1063" s="25"/>
      <c r="K1063" s="25"/>
      <c r="L1063" s="25"/>
      <c r="M1063" s="25"/>
      <c r="N1063" s="25"/>
      <c r="O1063" s="25"/>
      <c r="P1063" s="25"/>
      <c r="Q1063" s="25"/>
      <c r="R1063" s="25"/>
      <c r="S1063" s="151"/>
      <c r="T1063" s="151"/>
      <c r="U1063" s="151"/>
      <c r="V1063" s="73"/>
      <c r="W1063" s="28"/>
      <c r="X1063" s="24"/>
    </row>
    <row r="1064" spans="2:24">
      <c r="B1064" s="24"/>
      <c r="C1064" s="47"/>
      <c r="D1064" s="26"/>
      <c r="E1064" s="27"/>
      <c r="F1064" s="25"/>
      <c r="G1064" s="25"/>
      <c r="H1064" s="25"/>
      <c r="I1064" s="25"/>
      <c r="J1064" s="25"/>
      <c r="K1064" s="25"/>
      <c r="L1064" s="25"/>
      <c r="M1064" s="25"/>
      <c r="N1064" s="25"/>
      <c r="O1064" s="25"/>
      <c r="P1064" s="25"/>
      <c r="Q1064" s="25"/>
      <c r="R1064" s="25"/>
      <c r="S1064" s="151"/>
      <c r="T1064" s="151"/>
      <c r="U1064" s="151"/>
      <c r="V1064" s="73"/>
      <c r="W1064" s="28"/>
      <c r="X1064" s="24"/>
    </row>
    <row r="1065" spans="2:24">
      <c r="B1065" s="24"/>
      <c r="C1065" s="47"/>
      <c r="D1065" s="26"/>
      <c r="E1065" s="27"/>
      <c r="F1065" s="25"/>
      <c r="G1065" s="25"/>
      <c r="H1065" s="25"/>
      <c r="I1065" s="25"/>
      <c r="J1065" s="25"/>
      <c r="K1065" s="25"/>
      <c r="L1065" s="25"/>
      <c r="M1065" s="25"/>
      <c r="N1065" s="25"/>
      <c r="O1065" s="25"/>
      <c r="P1065" s="25"/>
      <c r="Q1065" s="25"/>
      <c r="R1065" s="25"/>
      <c r="S1065" s="151"/>
      <c r="T1065" s="151"/>
      <c r="U1065" s="151"/>
      <c r="V1065" s="73"/>
      <c r="W1065" s="28"/>
      <c r="X1065" s="24"/>
    </row>
    <row r="1066" spans="2:24">
      <c r="B1066" s="24"/>
      <c r="C1066" s="47"/>
      <c r="D1066" s="26"/>
      <c r="E1066" s="27"/>
      <c r="F1066" s="25"/>
      <c r="G1066" s="25"/>
      <c r="H1066" s="25"/>
      <c r="I1066" s="25"/>
      <c r="J1066" s="25"/>
      <c r="K1066" s="25"/>
      <c r="L1066" s="25"/>
      <c r="M1066" s="25"/>
      <c r="N1066" s="25"/>
      <c r="O1066" s="25"/>
      <c r="P1066" s="25"/>
      <c r="Q1066" s="25"/>
      <c r="R1066" s="25"/>
      <c r="S1066" s="151"/>
      <c r="T1066" s="151"/>
      <c r="U1066" s="151"/>
      <c r="V1066" s="73"/>
      <c r="W1066" s="28"/>
      <c r="X1066" s="24"/>
    </row>
    <row r="1067" spans="2:24">
      <c r="B1067" s="24"/>
      <c r="C1067" s="47"/>
      <c r="D1067" s="26"/>
      <c r="E1067" s="27"/>
      <c r="F1067" s="25"/>
      <c r="G1067" s="25"/>
      <c r="H1067" s="25"/>
      <c r="I1067" s="25"/>
      <c r="J1067" s="25"/>
      <c r="K1067" s="25"/>
      <c r="L1067" s="25"/>
      <c r="M1067" s="25"/>
      <c r="N1067" s="25"/>
      <c r="O1067" s="25"/>
      <c r="P1067" s="25"/>
      <c r="Q1067" s="25"/>
      <c r="R1067" s="25"/>
      <c r="S1067" s="151"/>
      <c r="T1067" s="151"/>
      <c r="U1067" s="151"/>
      <c r="V1067" s="73"/>
      <c r="W1067" s="28"/>
      <c r="X1067" s="24"/>
    </row>
    <row r="1068" spans="2:24">
      <c r="B1068" s="24"/>
      <c r="C1068" s="47"/>
      <c r="D1068" s="26"/>
      <c r="E1068" s="27"/>
      <c r="F1068" s="25"/>
      <c r="G1068" s="25"/>
      <c r="H1068" s="25"/>
      <c r="I1068" s="25"/>
      <c r="J1068" s="25"/>
      <c r="K1068" s="25"/>
      <c r="L1068" s="25"/>
      <c r="M1068" s="25"/>
      <c r="N1068" s="25"/>
      <c r="O1068" s="25"/>
      <c r="P1068" s="25"/>
      <c r="Q1068" s="25"/>
      <c r="R1068" s="25"/>
      <c r="S1068" s="151"/>
      <c r="T1068" s="151"/>
      <c r="U1068" s="151"/>
      <c r="V1068" s="73"/>
      <c r="W1068" s="28"/>
      <c r="X1068" s="24"/>
    </row>
    <row r="1069" spans="2:24">
      <c r="B1069" s="24"/>
      <c r="C1069" s="47"/>
      <c r="D1069" s="26"/>
      <c r="E1069" s="27"/>
      <c r="F1069" s="25"/>
      <c r="G1069" s="25"/>
      <c r="H1069" s="25"/>
      <c r="I1069" s="25"/>
      <c r="J1069" s="25"/>
      <c r="K1069" s="25"/>
      <c r="L1069" s="25"/>
      <c r="M1069" s="25"/>
      <c r="N1069" s="25"/>
      <c r="O1069" s="25"/>
      <c r="P1069" s="25"/>
      <c r="Q1069" s="25"/>
      <c r="R1069" s="25"/>
      <c r="S1069" s="151"/>
      <c r="T1069" s="151"/>
      <c r="U1069" s="151"/>
      <c r="V1069" s="73"/>
      <c r="W1069" s="28"/>
      <c r="X1069" s="24"/>
    </row>
    <row r="1070" spans="2:24">
      <c r="B1070" s="24"/>
      <c r="C1070" s="47"/>
      <c r="D1070" s="26"/>
      <c r="E1070" s="27"/>
      <c r="F1070" s="25"/>
      <c r="G1070" s="25"/>
      <c r="H1070" s="25"/>
      <c r="I1070" s="25"/>
      <c r="J1070" s="25"/>
      <c r="K1070" s="25"/>
      <c r="L1070" s="25"/>
      <c r="M1070" s="25"/>
      <c r="N1070" s="25"/>
      <c r="O1070" s="25"/>
      <c r="P1070" s="25"/>
      <c r="Q1070" s="25"/>
      <c r="R1070" s="25"/>
      <c r="S1070" s="151"/>
      <c r="T1070" s="151"/>
      <c r="U1070" s="151"/>
      <c r="V1070" s="73"/>
      <c r="W1070" s="28"/>
      <c r="X1070" s="24"/>
    </row>
    <row r="1071" spans="2:24">
      <c r="B1071" s="24"/>
      <c r="C1071" s="47"/>
      <c r="D1071" s="26"/>
      <c r="E1071" s="27"/>
      <c r="F1071" s="25"/>
      <c r="G1071" s="25"/>
      <c r="H1071" s="25"/>
      <c r="I1071" s="25"/>
      <c r="J1071" s="25"/>
      <c r="K1071" s="25"/>
      <c r="L1071" s="25"/>
      <c r="M1071" s="25"/>
      <c r="N1071" s="25"/>
      <c r="O1071" s="25"/>
      <c r="P1071" s="25"/>
      <c r="Q1071" s="25"/>
      <c r="R1071" s="25"/>
      <c r="S1071" s="151"/>
      <c r="T1071" s="151"/>
      <c r="U1071" s="151"/>
      <c r="V1071" s="73"/>
      <c r="W1071" s="28"/>
      <c r="X1071" s="24"/>
    </row>
    <row r="1072" spans="2:24">
      <c r="B1072" s="24"/>
      <c r="C1072" s="47"/>
      <c r="D1072" s="26"/>
      <c r="E1072" s="27"/>
      <c r="F1072" s="25"/>
      <c r="G1072" s="25"/>
      <c r="H1072" s="25"/>
      <c r="I1072" s="25"/>
      <c r="J1072" s="25"/>
      <c r="K1072" s="25"/>
      <c r="L1072" s="25"/>
      <c r="M1072" s="25"/>
      <c r="N1072" s="25"/>
      <c r="O1072" s="25"/>
      <c r="P1072" s="25"/>
      <c r="Q1072" s="25"/>
      <c r="R1072" s="25"/>
      <c r="S1072" s="151"/>
      <c r="T1072" s="151"/>
      <c r="U1072" s="151"/>
      <c r="V1072" s="73"/>
      <c r="W1072" s="28"/>
      <c r="X1072" s="24"/>
    </row>
    <row r="1073" spans="2:24">
      <c r="B1073" s="24"/>
      <c r="C1073" s="47"/>
      <c r="D1073" s="26"/>
      <c r="E1073" s="27"/>
      <c r="F1073" s="25"/>
      <c r="G1073" s="25"/>
      <c r="H1073" s="25"/>
      <c r="I1073" s="25"/>
      <c r="J1073" s="25"/>
      <c r="K1073" s="25"/>
      <c r="L1073" s="25"/>
      <c r="M1073" s="25"/>
      <c r="N1073" s="25"/>
      <c r="O1073" s="25"/>
      <c r="P1073" s="25"/>
      <c r="Q1073" s="25"/>
      <c r="R1073" s="25"/>
      <c r="S1073" s="151"/>
      <c r="T1073" s="151"/>
      <c r="U1073" s="151"/>
      <c r="V1073" s="73"/>
      <c r="W1073" s="28"/>
      <c r="X1073" s="24"/>
    </row>
    <row r="1074" spans="2:24">
      <c r="B1074" s="24"/>
      <c r="C1074" s="47"/>
      <c r="D1074" s="26"/>
      <c r="E1074" s="27"/>
      <c r="F1074" s="25"/>
      <c r="G1074" s="25"/>
      <c r="H1074" s="25"/>
      <c r="I1074" s="25"/>
      <c r="J1074" s="25"/>
      <c r="K1074" s="25"/>
      <c r="L1074" s="25"/>
      <c r="M1074" s="25"/>
      <c r="N1074" s="25"/>
      <c r="O1074" s="25"/>
      <c r="P1074" s="25"/>
      <c r="Q1074" s="25"/>
      <c r="R1074" s="25"/>
      <c r="S1074" s="151"/>
      <c r="T1074" s="151"/>
      <c r="U1074" s="151"/>
      <c r="V1074" s="73"/>
      <c r="W1074" s="28"/>
      <c r="X1074" s="24"/>
    </row>
    <row r="1075" spans="2:24">
      <c r="B1075" s="24"/>
      <c r="C1075" s="47"/>
      <c r="D1075" s="26"/>
      <c r="E1075" s="27"/>
      <c r="F1075" s="25"/>
      <c r="G1075" s="25"/>
      <c r="H1075" s="25"/>
      <c r="I1075" s="25"/>
      <c r="J1075" s="25"/>
      <c r="K1075" s="25"/>
      <c r="L1075" s="25"/>
      <c r="M1075" s="25"/>
      <c r="N1075" s="25"/>
      <c r="O1075" s="25"/>
      <c r="P1075" s="25"/>
      <c r="Q1075" s="25"/>
      <c r="R1075" s="25"/>
      <c r="S1075" s="151"/>
      <c r="T1075" s="151"/>
      <c r="U1075" s="151"/>
      <c r="V1075" s="73"/>
      <c r="W1075" s="28"/>
      <c r="X1075" s="24"/>
    </row>
    <row r="1076" spans="2:24">
      <c r="B1076" s="24"/>
      <c r="C1076" s="47"/>
      <c r="D1076" s="26"/>
      <c r="E1076" s="27"/>
      <c r="F1076" s="25"/>
      <c r="G1076" s="25"/>
      <c r="H1076" s="25"/>
      <c r="I1076" s="58"/>
      <c r="J1076" s="25"/>
      <c r="K1076" s="25"/>
      <c r="L1076" s="25"/>
      <c r="M1076" s="25"/>
      <c r="N1076" s="25"/>
      <c r="O1076" s="25"/>
      <c r="P1076" s="25"/>
      <c r="Q1076" s="25"/>
      <c r="R1076" s="25"/>
      <c r="S1076" s="151"/>
      <c r="T1076" s="151"/>
      <c r="U1076" s="151"/>
      <c r="V1076" s="73"/>
      <c r="W1076" s="28"/>
      <c r="X1076" s="24"/>
    </row>
    <row r="1077" spans="2:24">
      <c r="B1077" s="24"/>
      <c r="C1077" s="47"/>
      <c r="D1077" s="26"/>
      <c r="E1077" s="27"/>
      <c r="F1077" s="25"/>
      <c r="G1077" s="25"/>
      <c r="H1077" s="25"/>
      <c r="I1077" s="25"/>
      <c r="J1077" s="25"/>
      <c r="K1077" s="25"/>
      <c r="L1077" s="25"/>
      <c r="M1077" s="25"/>
      <c r="N1077" s="25"/>
      <c r="O1077" s="25"/>
      <c r="P1077" s="25"/>
      <c r="Q1077" s="25"/>
      <c r="R1077" s="25"/>
      <c r="S1077" s="151"/>
      <c r="T1077" s="151"/>
      <c r="U1077" s="151"/>
      <c r="V1077" s="73"/>
      <c r="W1077" s="28"/>
      <c r="X1077" s="24"/>
    </row>
    <row r="1078" spans="2:24">
      <c r="B1078" s="24"/>
      <c r="C1078" s="47"/>
      <c r="D1078" s="26"/>
      <c r="E1078" s="27"/>
      <c r="F1078" s="25"/>
      <c r="G1078" s="25"/>
      <c r="H1078" s="25"/>
      <c r="I1078" s="25"/>
      <c r="J1078" s="25"/>
      <c r="K1078" s="25"/>
      <c r="L1078" s="25"/>
      <c r="M1078" s="25"/>
      <c r="N1078" s="25"/>
      <c r="O1078" s="25"/>
      <c r="P1078" s="25"/>
      <c r="Q1078" s="25"/>
      <c r="R1078" s="25"/>
      <c r="S1078" s="151"/>
      <c r="T1078" s="151"/>
      <c r="U1078" s="151"/>
      <c r="V1078" s="73"/>
      <c r="W1078" s="28"/>
      <c r="X1078" s="24"/>
    </row>
    <row r="1079" spans="2:24">
      <c r="B1079" s="24"/>
      <c r="C1079" s="47"/>
      <c r="D1079" s="26"/>
      <c r="E1079" s="27"/>
      <c r="F1079" s="25"/>
      <c r="G1079" s="25"/>
      <c r="H1079" s="25"/>
      <c r="I1079" s="25"/>
      <c r="J1079" s="25"/>
      <c r="K1079" s="25"/>
      <c r="L1079" s="25"/>
      <c r="M1079" s="25"/>
      <c r="N1079" s="25"/>
      <c r="O1079" s="25"/>
      <c r="P1079" s="25"/>
      <c r="Q1079" s="25"/>
      <c r="R1079" s="25"/>
      <c r="S1079" s="151"/>
      <c r="T1079" s="151"/>
      <c r="U1079" s="151"/>
      <c r="V1079" s="73"/>
      <c r="W1079" s="28"/>
      <c r="X1079" s="24"/>
    </row>
    <row r="1080" spans="2:24">
      <c r="B1080" s="24"/>
      <c r="C1080" s="47"/>
      <c r="D1080" s="26"/>
      <c r="E1080" s="27"/>
      <c r="F1080" s="25"/>
      <c r="G1080" s="25"/>
      <c r="H1080" s="25"/>
      <c r="I1080" s="25"/>
      <c r="J1080" s="25"/>
      <c r="K1080" s="25"/>
      <c r="L1080" s="25"/>
      <c r="M1080" s="25"/>
      <c r="N1080" s="25"/>
      <c r="O1080" s="25"/>
      <c r="P1080" s="25"/>
      <c r="Q1080" s="25"/>
      <c r="R1080" s="25"/>
      <c r="S1080" s="151"/>
      <c r="T1080" s="151"/>
      <c r="U1080" s="151"/>
      <c r="V1080" s="73"/>
      <c r="W1080" s="28"/>
      <c r="X1080" s="24"/>
    </row>
    <row r="1081" spans="2:24">
      <c r="B1081" s="24"/>
      <c r="C1081" s="47"/>
      <c r="D1081" s="26"/>
      <c r="E1081" s="27"/>
      <c r="F1081" s="25"/>
      <c r="G1081" s="25"/>
      <c r="H1081" s="25"/>
      <c r="I1081" s="25"/>
      <c r="J1081" s="25"/>
      <c r="K1081" s="25"/>
      <c r="L1081" s="25"/>
      <c r="M1081" s="25"/>
      <c r="N1081" s="25"/>
      <c r="O1081" s="25"/>
      <c r="P1081" s="25"/>
      <c r="Q1081" s="25"/>
      <c r="R1081" s="25"/>
      <c r="S1081" s="151"/>
      <c r="T1081" s="151"/>
      <c r="U1081" s="151"/>
      <c r="V1081" s="73"/>
      <c r="W1081" s="28"/>
      <c r="X1081" s="24"/>
    </row>
    <row r="1082" spans="2:24">
      <c r="B1082" s="24"/>
      <c r="C1082" s="47"/>
      <c r="D1082" s="26"/>
      <c r="E1082" s="27"/>
      <c r="F1082" s="25"/>
      <c r="G1082" s="25"/>
      <c r="H1082" s="25"/>
      <c r="I1082" s="25"/>
      <c r="J1082" s="25"/>
      <c r="K1082" s="25"/>
      <c r="L1082" s="25"/>
      <c r="M1082" s="25"/>
      <c r="N1082" s="25"/>
      <c r="O1082" s="25"/>
      <c r="P1082" s="25"/>
      <c r="Q1082" s="25"/>
      <c r="R1082" s="25"/>
      <c r="S1082" s="151"/>
      <c r="T1082" s="151"/>
      <c r="U1082" s="151"/>
      <c r="V1082" s="73"/>
      <c r="W1082" s="28"/>
      <c r="X1082" s="24"/>
    </row>
    <row r="1083" spans="2:24">
      <c r="B1083" s="24"/>
      <c r="C1083" s="47"/>
      <c r="D1083" s="26"/>
      <c r="E1083" s="27"/>
      <c r="F1083" s="25"/>
      <c r="G1083" s="25"/>
      <c r="H1083" s="25"/>
      <c r="I1083" s="25"/>
      <c r="J1083" s="25"/>
      <c r="K1083" s="25"/>
      <c r="L1083" s="25"/>
      <c r="M1083" s="25"/>
      <c r="N1083" s="25"/>
      <c r="O1083" s="25"/>
      <c r="P1083" s="25"/>
      <c r="Q1083" s="25"/>
      <c r="R1083" s="25"/>
      <c r="S1083" s="151"/>
      <c r="T1083" s="151"/>
      <c r="U1083" s="151"/>
      <c r="V1083" s="73"/>
      <c r="W1083" s="28"/>
      <c r="X1083" s="24"/>
    </row>
    <row r="1084" spans="2:24">
      <c r="B1084" s="24"/>
      <c r="C1084" s="47"/>
      <c r="D1084" s="26"/>
      <c r="E1084" s="27"/>
      <c r="F1084" s="25"/>
      <c r="G1084" s="25"/>
      <c r="H1084" s="25"/>
      <c r="I1084" s="25"/>
      <c r="J1084" s="25"/>
      <c r="K1084" s="25"/>
      <c r="L1084" s="25"/>
      <c r="M1084" s="25"/>
      <c r="N1084" s="25"/>
      <c r="O1084" s="25"/>
      <c r="P1084" s="25"/>
      <c r="Q1084" s="25"/>
      <c r="R1084" s="25"/>
      <c r="S1084" s="151"/>
      <c r="T1084" s="151"/>
      <c r="U1084" s="151"/>
      <c r="V1084" s="73"/>
      <c r="W1084" s="28"/>
      <c r="X1084" s="24"/>
    </row>
    <row r="1085" spans="2:24">
      <c r="B1085" s="24"/>
      <c r="C1085" s="47"/>
      <c r="D1085" s="26"/>
      <c r="E1085" s="27"/>
      <c r="F1085" s="25"/>
      <c r="G1085" s="25"/>
      <c r="H1085" s="25"/>
      <c r="I1085" s="25"/>
      <c r="J1085" s="25"/>
      <c r="K1085" s="25"/>
      <c r="L1085" s="25"/>
      <c r="M1085" s="25"/>
      <c r="N1085" s="25"/>
      <c r="O1085" s="25"/>
      <c r="P1085" s="25"/>
      <c r="Q1085" s="25"/>
      <c r="R1085" s="25"/>
      <c r="S1085" s="151"/>
      <c r="T1085" s="151"/>
      <c r="U1085" s="151"/>
      <c r="V1085" s="73"/>
      <c r="W1085" s="28"/>
      <c r="X1085" s="24"/>
    </row>
    <row r="1086" spans="2:24">
      <c r="B1086" s="24"/>
      <c r="C1086" s="47"/>
      <c r="D1086" s="26"/>
      <c r="E1086" s="27"/>
      <c r="F1086" s="25"/>
      <c r="G1086" s="25"/>
      <c r="H1086" s="25"/>
      <c r="I1086" s="25"/>
      <c r="J1086" s="25"/>
      <c r="K1086" s="25"/>
      <c r="L1086" s="25"/>
      <c r="M1086" s="25"/>
      <c r="N1086" s="25"/>
      <c r="O1086" s="25"/>
      <c r="P1086" s="25"/>
      <c r="Q1086" s="25"/>
      <c r="R1086" s="25"/>
      <c r="S1086" s="151"/>
      <c r="T1086" s="151"/>
      <c r="U1086" s="151"/>
      <c r="V1086" s="73"/>
      <c r="W1086" s="28"/>
      <c r="X1086" s="24"/>
    </row>
    <row r="1087" spans="2:24">
      <c r="B1087" s="24"/>
      <c r="C1087" s="47"/>
      <c r="D1087" s="26"/>
      <c r="E1087" s="27"/>
      <c r="F1087" s="25"/>
      <c r="G1087" s="25"/>
      <c r="H1087" s="25"/>
      <c r="I1087" s="25"/>
      <c r="J1087" s="25"/>
      <c r="K1087" s="25"/>
      <c r="L1087" s="25"/>
      <c r="M1087" s="25"/>
      <c r="N1087" s="25"/>
      <c r="O1087" s="25"/>
      <c r="P1087" s="25"/>
      <c r="Q1087" s="25"/>
      <c r="R1087" s="25"/>
      <c r="S1087" s="151"/>
      <c r="T1087" s="151"/>
      <c r="U1087" s="151"/>
      <c r="V1087" s="73"/>
      <c r="W1087" s="28"/>
      <c r="X1087" s="24"/>
    </row>
    <row r="1088" spans="2:24">
      <c r="B1088" s="24"/>
      <c r="C1088" s="47"/>
      <c r="D1088" s="26"/>
      <c r="E1088" s="27"/>
      <c r="F1088" s="25"/>
      <c r="G1088" s="25"/>
      <c r="H1088" s="25"/>
      <c r="I1088" s="25"/>
      <c r="J1088" s="25"/>
      <c r="K1088" s="25"/>
      <c r="L1088" s="25"/>
      <c r="M1088" s="25"/>
      <c r="N1088" s="25"/>
      <c r="O1088" s="25"/>
      <c r="P1088" s="25"/>
      <c r="Q1088" s="25"/>
      <c r="R1088" s="25"/>
      <c r="S1088" s="151"/>
      <c r="T1088" s="151"/>
      <c r="U1088" s="151"/>
      <c r="V1088" s="73"/>
      <c r="W1088" s="28"/>
      <c r="X1088" s="24"/>
    </row>
    <row r="1089" spans="2:24">
      <c r="B1089" s="24"/>
      <c r="C1089" s="47"/>
      <c r="D1089" s="26"/>
      <c r="E1089" s="27"/>
      <c r="F1089" s="25"/>
      <c r="G1089" s="25"/>
      <c r="H1089" s="25"/>
      <c r="I1089" s="25"/>
      <c r="J1089" s="25"/>
      <c r="K1089" s="25"/>
      <c r="L1089" s="25"/>
      <c r="M1089" s="25"/>
      <c r="N1089" s="25"/>
      <c r="O1089" s="25"/>
      <c r="P1089" s="25"/>
      <c r="Q1089" s="25"/>
      <c r="R1089" s="25"/>
      <c r="S1089" s="151"/>
      <c r="T1089" s="151"/>
      <c r="U1089" s="151"/>
      <c r="V1089" s="73"/>
      <c r="W1089" s="28"/>
      <c r="X1089" s="24"/>
    </row>
    <row r="1090" spans="2:24">
      <c r="B1090" s="24"/>
      <c r="C1090" s="47"/>
      <c r="D1090" s="26"/>
      <c r="E1090" s="27"/>
      <c r="F1090" s="25"/>
      <c r="G1090" s="25"/>
      <c r="H1090" s="25"/>
      <c r="I1090" s="25"/>
      <c r="J1090" s="25"/>
      <c r="K1090" s="25"/>
      <c r="L1090" s="25"/>
      <c r="M1090" s="25"/>
      <c r="N1090" s="25"/>
      <c r="O1090" s="25"/>
      <c r="P1090" s="25"/>
      <c r="Q1090" s="25"/>
      <c r="R1090" s="25"/>
      <c r="S1090" s="151"/>
      <c r="T1090" s="151"/>
      <c r="U1090" s="151"/>
      <c r="V1090" s="73"/>
      <c r="W1090" s="28"/>
      <c r="X1090" s="24"/>
    </row>
    <row r="1091" spans="2:24">
      <c r="B1091" s="24"/>
      <c r="C1091" s="47"/>
      <c r="D1091" s="26"/>
      <c r="E1091" s="27"/>
      <c r="F1091" s="25"/>
      <c r="G1091" s="25"/>
      <c r="H1091" s="25"/>
      <c r="I1091" s="25"/>
      <c r="J1091" s="25"/>
      <c r="K1091" s="25"/>
      <c r="L1091" s="25"/>
      <c r="M1091" s="25"/>
      <c r="N1091" s="25"/>
      <c r="O1091" s="25"/>
      <c r="P1091" s="25"/>
      <c r="Q1091" s="25"/>
      <c r="R1091" s="25"/>
      <c r="S1091" s="151"/>
      <c r="T1091" s="151"/>
      <c r="U1091" s="151"/>
      <c r="V1091" s="73"/>
      <c r="W1091" s="28"/>
      <c r="X1091" s="24"/>
    </row>
    <row r="1092" spans="2:24">
      <c r="B1092" s="24"/>
      <c r="C1092" s="47"/>
      <c r="D1092" s="26"/>
      <c r="E1092" s="27"/>
      <c r="F1092" s="25"/>
      <c r="G1092" s="25"/>
      <c r="H1092" s="25"/>
      <c r="I1092" s="25"/>
      <c r="J1092" s="25"/>
      <c r="K1092" s="25"/>
      <c r="L1092" s="25"/>
      <c r="M1092" s="25"/>
      <c r="N1092" s="25"/>
      <c r="O1092" s="25"/>
      <c r="P1092" s="25"/>
      <c r="Q1092" s="25"/>
      <c r="R1092" s="25"/>
      <c r="S1092" s="151"/>
      <c r="T1092" s="151"/>
      <c r="U1092" s="151"/>
      <c r="V1092" s="73"/>
      <c r="W1092" s="28"/>
      <c r="X1092" s="24"/>
    </row>
    <row r="1093" spans="2:24">
      <c r="B1093" s="24"/>
      <c r="C1093" s="47"/>
      <c r="D1093" s="26"/>
      <c r="E1093" s="27"/>
      <c r="F1093" s="25"/>
      <c r="G1093" s="25"/>
      <c r="H1093" s="25"/>
      <c r="I1093" s="25"/>
      <c r="J1093" s="25"/>
      <c r="K1093" s="25"/>
      <c r="L1093" s="25"/>
      <c r="M1093" s="25"/>
      <c r="N1093" s="25"/>
      <c r="O1093" s="25"/>
      <c r="P1093" s="25"/>
      <c r="Q1093" s="25"/>
      <c r="R1093" s="25"/>
      <c r="S1093" s="151"/>
      <c r="T1093" s="151"/>
      <c r="U1093" s="151"/>
      <c r="V1093" s="73"/>
      <c r="W1093" s="28"/>
      <c r="X1093" s="24"/>
    </row>
    <row r="1094" spans="2:24">
      <c r="B1094" s="24"/>
      <c r="C1094" s="47"/>
      <c r="D1094" s="26"/>
      <c r="E1094" s="27"/>
      <c r="F1094" s="25"/>
      <c r="G1094" s="25"/>
      <c r="H1094" s="25"/>
      <c r="I1094" s="25"/>
      <c r="J1094" s="25"/>
      <c r="K1094" s="25"/>
      <c r="L1094" s="25"/>
      <c r="M1094" s="25"/>
      <c r="N1094" s="25"/>
      <c r="O1094" s="25"/>
      <c r="P1094" s="25"/>
      <c r="Q1094" s="25"/>
      <c r="R1094" s="25"/>
      <c r="S1094" s="151"/>
      <c r="T1094" s="151"/>
      <c r="U1094" s="151"/>
      <c r="V1094" s="73"/>
      <c r="W1094" s="28"/>
      <c r="X1094" s="24"/>
    </row>
    <row r="1095" spans="2:24">
      <c r="B1095" s="24"/>
      <c r="C1095" s="47"/>
      <c r="D1095" s="26"/>
      <c r="E1095" s="27"/>
      <c r="F1095" s="25"/>
      <c r="G1095" s="25"/>
      <c r="H1095" s="25"/>
      <c r="I1095" s="25"/>
      <c r="J1095" s="25"/>
      <c r="K1095" s="25"/>
      <c r="L1095" s="25"/>
      <c r="M1095" s="25"/>
      <c r="N1095" s="25"/>
      <c r="O1095" s="25"/>
      <c r="P1095" s="25"/>
      <c r="Q1095" s="25"/>
      <c r="R1095" s="25"/>
      <c r="S1095" s="151"/>
      <c r="T1095" s="151"/>
      <c r="U1095" s="151"/>
      <c r="V1095" s="73"/>
      <c r="W1095" s="28"/>
      <c r="X1095" s="24"/>
    </row>
    <row r="1096" spans="2:24">
      <c r="B1096" s="24"/>
      <c r="C1096" s="47"/>
      <c r="D1096" s="26"/>
      <c r="E1096" s="27"/>
      <c r="F1096" s="25"/>
      <c r="G1096" s="25"/>
      <c r="H1096" s="25"/>
      <c r="I1096" s="25"/>
      <c r="J1096" s="25"/>
      <c r="K1096" s="25"/>
      <c r="L1096" s="25"/>
      <c r="M1096" s="25"/>
      <c r="N1096" s="25"/>
      <c r="O1096" s="25"/>
      <c r="P1096" s="25"/>
      <c r="Q1096" s="25"/>
      <c r="R1096" s="25"/>
      <c r="S1096" s="151"/>
      <c r="T1096" s="151"/>
      <c r="U1096" s="151"/>
      <c r="V1096" s="73"/>
      <c r="W1096" s="28"/>
      <c r="X1096" s="24"/>
    </row>
    <row r="1097" spans="2:24">
      <c r="B1097" s="24"/>
      <c r="C1097" s="47"/>
      <c r="D1097" s="26"/>
      <c r="E1097" s="27"/>
      <c r="F1097" s="25"/>
      <c r="G1097" s="25"/>
      <c r="H1097" s="25"/>
      <c r="I1097" s="25"/>
      <c r="J1097" s="25"/>
      <c r="K1097" s="25"/>
      <c r="L1097" s="25"/>
      <c r="M1097" s="25"/>
      <c r="N1097" s="25"/>
      <c r="O1097" s="25"/>
      <c r="P1097" s="25"/>
      <c r="Q1097" s="25"/>
      <c r="R1097" s="25"/>
      <c r="S1097" s="151"/>
      <c r="T1097" s="151"/>
      <c r="U1097" s="151"/>
      <c r="V1097" s="73"/>
      <c r="W1097" s="28"/>
      <c r="X1097" s="24"/>
    </row>
    <row r="1098" spans="2:24">
      <c r="B1098" s="24"/>
      <c r="C1098" s="47"/>
      <c r="D1098" s="26"/>
      <c r="E1098" s="27"/>
      <c r="F1098" s="25"/>
      <c r="G1098" s="25"/>
      <c r="H1098" s="25"/>
      <c r="I1098" s="25"/>
      <c r="J1098" s="25"/>
      <c r="K1098" s="25"/>
      <c r="L1098" s="25"/>
      <c r="M1098" s="25"/>
      <c r="N1098" s="25"/>
      <c r="O1098" s="25"/>
      <c r="P1098" s="25"/>
      <c r="Q1098" s="25"/>
      <c r="R1098" s="25"/>
      <c r="S1098" s="151"/>
      <c r="T1098" s="151"/>
      <c r="U1098" s="151"/>
      <c r="V1098" s="73"/>
      <c r="W1098" s="28"/>
      <c r="X1098" s="24"/>
    </row>
    <row r="1099" spans="2:24">
      <c r="B1099" s="24"/>
      <c r="C1099" s="47"/>
      <c r="D1099" s="26"/>
      <c r="E1099" s="27"/>
      <c r="F1099" s="25"/>
      <c r="G1099" s="25"/>
      <c r="H1099" s="25"/>
      <c r="I1099" s="25"/>
      <c r="J1099" s="25"/>
      <c r="K1099" s="25"/>
      <c r="L1099" s="25"/>
      <c r="M1099" s="25"/>
      <c r="N1099" s="25"/>
      <c r="O1099" s="25"/>
      <c r="P1099" s="25"/>
      <c r="Q1099" s="25"/>
      <c r="R1099" s="25"/>
      <c r="S1099" s="151"/>
      <c r="T1099" s="151"/>
      <c r="U1099" s="151"/>
      <c r="V1099" s="73"/>
      <c r="W1099" s="28"/>
      <c r="X1099" s="24"/>
    </row>
    <row r="1100" spans="2:24">
      <c r="B1100" s="24"/>
      <c r="C1100" s="47"/>
      <c r="D1100" s="26"/>
      <c r="E1100" s="27"/>
      <c r="F1100" s="25"/>
      <c r="G1100" s="25"/>
      <c r="H1100" s="25"/>
      <c r="I1100" s="25"/>
      <c r="J1100" s="25"/>
      <c r="K1100" s="25"/>
      <c r="L1100" s="25"/>
      <c r="M1100" s="25"/>
      <c r="N1100" s="25"/>
      <c r="O1100" s="25"/>
      <c r="P1100" s="25"/>
      <c r="Q1100" s="25"/>
      <c r="R1100" s="25"/>
      <c r="S1100" s="151"/>
      <c r="T1100" s="151"/>
      <c r="U1100" s="151"/>
      <c r="V1100" s="73"/>
      <c r="W1100" s="28"/>
      <c r="X1100" s="24"/>
    </row>
    <row r="1101" spans="2:24">
      <c r="B1101" s="24"/>
      <c r="C1101" s="47"/>
      <c r="D1101" s="26"/>
      <c r="E1101" s="27"/>
      <c r="F1101" s="25"/>
      <c r="G1101" s="25"/>
      <c r="H1101" s="25"/>
      <c r="I1101" s="25"/>
      <c r="J1101" s="25"/>
      <c r="K1101" s="25"/>
      <c r="L1101" s="25"/>
      <c r="M1101" s="25"/>
      <c r="N1101" s="25"/>
      <c r="O1101" s="25"/>
      <c r="P1101" s="25"/>
      <c r="Q1101" s="25"/>
      <c r="R1101" s="25"/>
      <c r="S1101" s="151"/>
      <c r="T1101" s="151"/>
      <c r="U1101" s="151"/>
      <c r="V1101" s="73"/>
      <c r="W1101" s="28"/>
      <c r="X1101" s="24"/>
    </row>
    <row r="1102" spans="2:24">
      <c r="B1102" s="24"/>
      <c r="C1102" s="47"/>
      <c r="D1102" s="26"/>
      <c r="E1102" s="27"/>
      <c r="F1102" s="25"/>
      <c r="G1102" s="25"/>
      <c r="H1102" s="25"/>
      <c r="I1102" s="25"/>
      <c r="J1102" s="25"/>
      <c r="K1102" s="25"/>
      <c r="L1102" s="25"/>
      <c r="M1102" s="25"/>
      <c r="N1102" s="25"/>
      <c r="O1102" s="25"/>
      <c r="P1102" s="25"/>
      <c r="Q1102" s="25"/>
      <c r="R1102" s="25"/>
      <c r="S1102" s="151"/>
      <c r="T1102" s="151"/>
      <c r="U1102" s="151"/>
      <c r="V1102" s="73"/>
      <c r="W1102" s="28"/>
      <c r="X1102" s="24"/>
    </row>
    <row r="1103" spans="2:24">
      <c r="B1103" s="24"/>
      <c r="C1103" s="47"/>
      <c r="D1103" s="26"/>
      <c r="E1103" s="27"/>
      <c r="F1103" s="25"/>
      <c r="G1103" s="25"/>
      <c r="H1103" s="25"/>
      <c r="I1103" s="25"/>
      <c r="J1103" s="25"/>
      <c r="K1103" s="25"/>
      <c r="L1103" s="25"/>
      <c r="M1103" s="25"/>
      <c r="N1103" s="25"/>
      <c r="O1103" s="25"/>
      <c r="P1103" s="25"/>
      <c r="Q1103" s="25"/>
      <c r="R1103" s="25"/>
      <c r="S1103" s="151"/>
      <c r="T1103" s="151"/>
      <c r="U1103" s="151"/>
      <c r="V1103" s="73"/>
      <c r="W1103" s="28"/>
      <c r="X1103" s="24"/>
    </row>
    <row r="1104" spans="2:24">
      <c r="B1104" s="24"/>
      <c r="C1104" s="47"/>
      <c r="D1104" s="26"/>
      <c r="E1104" s="27"/>
      <c r="F1104" s="25"/>
      <c r="G1104" s="25"/>
      <c r="H1104" s="25"/>
      <c r="I1104" s="25"/>
      <c r="J1104" s="25"/>
      <c r="K1104" s="25"/>
      <c r="L1104" s="25"/>
      <c r="M1104" s="25"/>
      <c r="N1104" s="25"/>
      <c r="O1104" s="25"/>
      <c r="P1104" s="25"/>
      <c r="Q1104" s="25"/>
      <c r="R1104" s="25"/>
      <c r="S1104" s="151"/>
      <c r="T1104" s="151"/>
      <c r="U1104" s="151"/>
      <c r="V1104" s="73"/>
      <c r="W1104" s="28"/>
      <c r="X1104" s="24"/>
    </row>
    <row r="1105" spans="2:24">
      <c r="B1105" s="24"/>
      <c r="C1105" s="47"/>
      <c r="D1105" s="26"/>
      <c r="E1105" s="27"/>
      <c r="F1105" s="25"/>
      <c r="G1105" s="25"/>
      <c r="H1105" s="25"/>
      <c r="I1105" s="25"/>
      <c r="J1105" s="25"/>
      <c r="K1105" s="25"/>
      <c r="L1105" s="25"/>
      <c r="M1105" s="25"/>
      <c r="N1105" s="25"/>
      <c r="O1105" s="25"/>
      <c r="P1105" s="25"/>
      <c r="Q1105" s="25"/>
      <c r="R1105" s="25"/>
      <c r="S1105" s="151"/>
      <c r="T1105" s="151"/>
      <c r="U1105" s="151"/>
      <c r="V1105" s="73"/>
      <c r="W1105" s="28"/>
      <c r="X1105" s="24"/>
    </row>
    <row r="1106" spans="2:24">
      <c r="B1106" s="24"/>
      <c r="C1106" s="47"/>
      <c r="D1106" s="26"/>
      <c r="E1106" s="27"/>
      <c r="F1106" s="25"/>
      <c r="G1106" s="25"/>
      <c r="H1106" s="25"/>
      <c r="I1106" s="25"/>
      <c r="J1106" s="25"/>
      <c r="K1106" s="25"/>
      <c r="L1106" s="25"/>
      <c r="M1106" s="25"/>
      <c r="N1106" s="25"/>
      <c r="O1106" s="25"/>
      <c r="P1106" s="25"/>
      <c r="Q1106" s="25"/>
      <c r="R1106" s="25"/>
      <c r="S1106" s="151"/>
      <c r="T1106" s="151"/>
      <c r="U1106" s="151"/>
      <c r="V1106" s="73"/>
      <c r="W1106" s="28"/>
      <c r="X1106" s="24"/>
    </row>
    <row r="1107" spans="2:24">
      <c r="B1107" s="24"/>
      <c r="C1107" s="47"/>
      <c r="D1107" s="26"/>
      <c r="E1107" s="27"/>
      <c r="F1107" s="25"/>
      <c r="G1107" s="25"/>
      <c r="H1107" s="25"/>
      <c r="I1107" s="25"/>
      <c r="J1107" s="25"/>
      <c r="K1107" s="25"/>
      <c r="L1107" s="25"/>
      <c r="M1107" s="25"/>
      <c r="N1107" s="25"/>
      <c r="O1107" s="25"/>
      <c r="P1107" s="25"/>
      <c r="Q1107" s="25"/>
      <c r="R1107" s="25"/>
      <c r="S1107" s="151"/>
      <c r="T1107" s="151"/>
      <c r="U1107" s="151"/>
      <c r="V1107" s="73"/>
      <c r="W1107" s="28"/>
      <c r="X1107" s="24"/>
    </row>
    <row r="1108" spans="2:24">
      <c r="B1108" s="24"/>
      <c r="C1108" s="47"/>
      <c r="D1108" s="26"/>
      <c r="E1108" s="27"/>
      <c r="F1108" s="25"/>
      <c r="G1108" s="25"/>
      <c r="H1108" s="25"/>
      <c r="I1108" s="25"/>
      <c r="J1108" s="25"/>
      <c r="K1108" s="25"/>
      <c r="L1108" s="25"/>
      <c r="M1108" s="25"/>
      <c r="N1108" s="25"/>
      <c r="O1108" s="25"/>
      <c r="P1108" s="25"/>
      <c r="Q1108" s="25"/>
      <c r="R1108" s="25"/>
      <c r="S1108" s="151"/>
      <c r="T1108" s="151"/>
      <c r="U1108" s="151"/>
      <c r="V1108" s="73"/>
      <c r="W1108" s="28"/>
      <c r="X1108" s="24"/>
    </row>
    <row r="1109" spans="2:24">
      <c r="B1109" s="24"/>
      <c r="C1109" s="47"/>
      <c r="D1109" s="26"/>
      <c r="E1109" s="27"/>
      <c r="F1109" s="25"/>
      <c r="G1109" s="25"/>
      <c r="H1109" s="25"/>
      <c r="I1109" s="25"/>
      <c r="J1109" s="25"/>
      <c r="K1109" s="25"/>
      <c r="L1109" s="25"/>
      <c r="M1109" s="25"/>
      <c r="N1109" s="25"/>
      <c r="O1109" s="25"/>
      <c r="P1109" s="25"/>
      <c r="Q1109" s="25"/>
      <c r="R1109" s="25"/>
      <c r="S1109" s="151"/>
      <c r="T1109" s="151"/>
      <c r="U1109" s="151"/>
      <c r="V1109" s="73"/>
      <c r="W1109" s="28"/>
      <c r="X1109" s="24"/>
    </row>
    <row r="1110" spans="2:24">
      <c r="B1110" s="24"/>
      <c r="C1110" s="47"/>
      <c r="D1110" s="26"/>
      <c r="E1110" s="27"/>
      <c r="F1110" s="25"/>
      <c r="G1110" s="25"/>
      <c r="H1110" s="25"/>
      <c r="I1110" s="25"/>
      <c r="J1110" s="25"/>
      <c r="K1110" s="25"/>
      <c r="L1110" s="25"/>
      <c r="M1110" s="25"/>
      <c r="N1110" s="25"/>
      <c r="O1110" s="25"/>
      <c r="P1110" s="25"/>
      <c r="Q1110" s="25"/>
      <c r="R1110" s="25"/>
      <c r="S1110" s="151"/>
      <c r="T1110" s="151"/>
      <c r="U1110" s="151"/>
      <c r="V1110" s="73"/>
      <c r="W1110" s="28"/>
      <c r="X1110" s="24"/>
    </row>
    <row r="1111" spans="2:24">
      <c r="B1111" s="24"/>
      <c r="C1111" s="47"/>
      <c r="D1111" s="26"/>
      <c r="E1111" s="27"/>
      <c r="F1111" s="25"/>
      <c r="G1111" s="25"/>
      <c r="H1111" s="25"/>
      <c r="I1111" s="25"/>
      <c r="J1111" s="25"/>
      <c r="K1111" s="25"/>
      <c r="L1111" s="25"/>
      <c r="M1111" s="25"/>
      <c r="N1111" s="25"/>
      <c r="O1111" s="25"/>
      <c r="P1111" s="25"/>
      <c r="Q1111" s="25"/>
      <c r="R1111" s="25"/>
      <c r="S1111" s="151"/>
      <c r="T1111" s="151"/>
      <c r="U1111" s="151"/>
      <c r="V1111" s="73"/>
      <c r="W1111" s="28"/>
      <c r="X1111" s="24"/>
    </row>
    <row r="1112" spans="2:24">
      <c r="B1112" s="24"/>
      <c r="C1112" s="47"/>
      <c r="D1112" s="26"/>
      <c r="E1112" s="27"/>
      <c r="F1112" s="25"/>
      <c r="G1112" s="25"/>
      <c r="H1112" s="25"/>
      <c r="I1112" s="25"/>
      <c r="J1112" s="25"/>
      <c r="K1112" s="25"/>
      <c r="L1112" s="25"/>
      <c r="M1112" s="25"/>
      <c r="N1112" s="25"/>
      <c r="O1112" s="25"/>
      <c r="P1112" s="25"/>
      <c r="Q1112" s="25"/>
      <c r="R1112" s="25"/>
      <c r="S1112" s="151"/>
      <c r="T1112" s="151"/>
      <c r="U1112" s="151"/>
      <c r="V1112" s="73"/>
      <c r="W1112" s="28"/>
      <c r="X1112" s="24"/>
    </row>
    <row r="1113" spans="2:24">
      <c r="B1113" s="24"/>
      <c r="C1113" s="47"/>
      <c r="D1113" s="26"/>
      <c r="E1113" s="27"/>
      <c r="F1113" s="25"/>
      <c r="G1113" s="25"/>
      <c r="H1113" s="25"/>
      <c r="I1113" s="25"/>
      <c r="J1113" s="25"/>
      <c r="K1113" s="25"/>
      <c r="L1113" s="25"/>
      <c r="M1113" s="25"/>
      <c r="N1113" s="25"/>
      <c r="O1113" s="25"/>
      <c r="P1113" s="25"/>
      <c r="Q1113" s="25"/>
      <c r="R1113" s="25"/>
      <c r="S1113" s="151"/>
      <c r="T1113" s="151"/>
      <c r="U1113" s="151"/>
      <c r="V1113" s="73"/>
      <c r="W1113" s="28"/>
      <c r="X1113" s="24"/>
    </row>
    <row r="1114" spans="2:24">
      <c r="B1114" s="24"/>
      <c r="C1114" s="47"/>
      <c r="D1114" s="26"/>
      <c r="E1114" s="27"/>
      <c r="F1114" s="25"/>
      <c r="G1114" s="25"/>
      <c r="H1114" s="25"/>
      <c r="I1114" s="25"/>
      <c r="J1114" s="25"/>
      <c r="K1114" s="25"/>
      <c r="L1114" s="25"/>
      <c r="M1114" s="25"/>
      <c r="N1114" s="25"/>
      <c r="O1114" s="25"/>
      <c r="P1114" s="25"/>
      <c r="Q1114" s="25"/>
      <c r="R1114" s="25"/>
      <c r="S1114" s="151"/>
      <c r="T1114" s="151"/>
      <c r="U1114" s="151"/>
      <c r="V1114" s="73"/>
      <c r="W1114" s="28"/>
      <c r="X1114" s="24"/>
    </row>
    <row r="1115" spans="2:24">
      <c r="B1115" s="24"/>
      <c r="C1115" s="47"/>
      <c r="D1115" s="26"/>
      <c r="E1115" s="27"/>
      <c r="F1115" s="25"/>
      <c r="G1115" s="25"/>
      <c r="H1115" s="25"/>
      <c r="I1115" s="25"/>
      <c r="J1115" s="25"/>
      <c r="K1115" s="25"/>
      <c r="L1115" s="25"/>
      <c r="M1115" s="25"/>
      <c r="N1115" s="25"/>
      <c r="O1115" s="25"/>
      <c r="P1115" s="25"/>
      <c r="Q1115" s="25"/>
      <c r="R1115" s="25"/>
      <c r="S1115" s="151"/>
      <c r="T1115" s="151"/>
      <c r="U1115" s="151"/>
      <c r="V1115" s="73"/>
      <c r="W1115" s="28"/>
      <c r="X1115" s="24"/>
    </row>
    <row r="1116" spans="2:24">
      <c r="B1116" s="24"/>
      <c r="C1116" s="47"/>
      <c r="D1116" s="26"/>
      <c r="E1116" s="27"/>
      <c r="F1116" s="25"/>
      <c r="G1116" s="25"/>
      <c r="H1116" s="25"/>
      <c r="I1116" s="25"/>
      <c r="J1116" s="25"/>
      <c r="K1116" s="25"/>
      <c r="L1116" s="25"/>
      <c r="M1116" s="25"/>
      <c r="N1116" s="25"/>
      <c r="O1116" s="25"/>
      <c r="P1116" s="25"/>
      <c r="Q1116" s="25"/>
      <c r="R1116" s="25"/>
      <c r="S1116" s="151"/>
      <c r="T1116" s="151"/>
      <c r="U1116" s="151"/>
      <c r="V1116" s="73"/>
      <c r="W1116" s="28"/>
      <c r="X1116" s="24"/>
    </row>
    <row r="1117" spans="2:24">
      <c r="B1117" s="24"/>
      <c r="C1117" s="47"/>
      <c r="D1117" s="26"/>
      <c r="E1117" s="27"/>
      <c r="F1117" s="25"/>
      <c r="G1117" s="25"/>
      <c r="H1117" s="25"/>
      <c r="I1117" s="25"/>
      <c r="J1117" s="25"/>
      <c r="K1117" s="25"/>
      <c r="L1117" s="25"/>
      <c r="M1117" s="25"/>
      <c r="N1117" s="25"/>
      <c r="O1117" s="25"/>
      <c r="P1117" s="25"/>
      <c r="Q1117" s="25"/>
      <c r="R1117" s="25"/>
      <c r="S1117" s="151"/>
      <c r="T1117" s="151"/>
      <c r="U1117" s="151"/>
      <c r="V1117" s="73"/>
      <c r="W1117" s="28"/>
      <c r="X1117" s="24"/>
    </row>
    <row r="1118" spans="2:24">
      <c r="B1118" s="24"/>
      <c r="C1118" s="47"/>
      <c r="D1118" s="26"/>
      <c r="E1118" s="27"/>
      <c r="F1118" s="25"/>
      <c r="G1118" s="25"/>
      <c r="H1118" s="25"/>
      <c r="I1118" s="25"/>
      <c r="J1118" s="25"/>
      <c r="K1118" s="25"/>
      <c r="L1118" s="25"/>
      <c r="M1118" s="25"/>
      <c r="N1118" s="25"/>
      <c r="O1118" s="25"/>
      <c r="P1118" s="25"/>
      <c r="Q1118" s="25"/>
      <c r="R1118" s="25"/>
      <c r="S1118" s="151"/>
      <c r="T1118" s="151"/>
      <c r="U1118" s="151"/>
      <c r="V1118" s="73"/>
      <c r="W1118" s="28"/>
      <c r="X1118" s="24"/>
    </row>
    <row r="1119" spans="2:24">
      <c r="B1119" s="24"/>
      <c r="C1119" s="47"/>
      <c r="D1119" s="26"/>
      <c r="E1119" s="27"/>
      <c r="F1119" s="25"/>
      <c r="G1119" s="25"/>
      <c r="H1119" s="25"/>
      <c r="I1119" s="25"/>
      <c r="J1119" s="25"/>
      <c r="K1119" s="25"/>
      <c r="L1119" s="25"/>
      <c r="M1119" s="25"/>
      <c r="N1119" s="25"/>
      <c r="O1119" s="25"/>
      <c r="P1119" s="25"/>
      <c r="Q1119" s="25"/>
      <c r="R1119" s="25"/>
      <c r="S1119" s="151"/>
      <c r="T1119" s="151"/>
      <c r="U1119" s="151"/>
      <c r="V1119" s="73"/>
      <c r="W1119" s="28"/>
      <c r="X1119" s="24"/>
    </row>
    <row r="1120" spans="2:24">
      <c r="B1120" s="24"/>
      <c r="C1120" s="47"/>
      <c r="D1120" s="26"/>
      <c r="E1120" s="27"/>
      <c r="F1120" s="25"/>
      <c r="G1120" s="25"/>
      <c r="H1120" s="25"/>
      <c r="I1120" s="25"/>
      <c r="J1120" s="25"/>
      <c r="K1120" s="25"/>
      <c r="L1120" s="25"/>
      <c r="M1120" s="25"/>
      <c r="N1120" s="25"/>
      <c r="O1120" s="25"/>
      <c r="P1120" s="25"/>
      <c r="Q1120" s="25"/>
      <c r="R1120" s="25"/>
      <c r="S1120" s="151"/>
      <c r="T1120" s="151"/>
      <c r="U1120" s="151"/>
      <c r="V1120" s="73"/>
      <c r="W1120" s="28"/>
      <c r="X1120" s="24"/>
    </row>
    <row r="1121" spans="2:24">
      <c r="B1121" s="24"/>
      <c r="C1121" s="47"/>
      <c r="D1121" s="26"/>
      <c r="E1121" s="27"/>
      <c r="F1121" s="25"/>
      <c r="G1121" s="25"/>
      <c r="H1121" s="25"/>
      <c r="I1121" s="25"/>
      <c r="J1121" s="25"/>
      <c r="K1121" s="25"/>
      <c r="L1121" s="25"/>
      <c r="M1121" s="25"/>
      <c r="N1121" s="25"/>
      <c r="O1121" s="25"/>
      <c r="P1121" s="25"/>
      <c r="Q1121" s="25"/>
      <c r="R1121" s="25"/>
      <c r="S1121" s="151"/>
      <c r="T1121" s="151"/>
      <c r="U1121" s="151"/>
      <c r="V1121" s="73"/>
      <c r="W1121" s="28"/>
      <c r="X1121" s="24"/>
    </row>
    <row r="1122" spans="2:24">
      <c r="B1122" s="24"/>
      <c r="C1122" s="47"/>
      <c r="D1122" s="26"/>
      <c r="E1122" s="27"/>
      <c r="F1122" s="25"/>
      <c r="G1122" s="25"/>
      <c r="H1122" s="25"/>
      <c r="I1122" s="25"/>
      <c r="J1122" s="25"/>
      <c r="K1122" s="25"/>
      <c r="L1122" s="25"/>
      <c r="M1122" s="25"/>
      <c r="N1122" s="25"/>
      <c r="O1122" s="25"/>
      <c r="P1122" s="25"/>
      <c r="Q1122" s="25"/>
      <c r="R1122" s="25"/>
      <c r="S1122" s="151"/>
      <c r="T1122" s="151"/>
      <c r="U1122" s="151"/>
      <c r="V1122" s="73"/>
      <c r="W1122" s="28"/>
      <c r="X1122" s="24"/>
    </row>
    <row r="1123" spans="2:24">
      <c r="B1123" s="24"/>
      <c r="C1123" s="47"/>
      <c r="D1123" s="26"/>
      <c r="E1123" s="27"/>
      <c r="F1123" s="25"/>
      <c r="G1123" s="25"/>
      <c r="H1123" s="25"/>
      <c r="I1123" s="25"/>
      <c r="J1123" s="25"/>
      <c r="K1123" s="25"/>
      <c r="L1123" s="25"/>
      <c r="M1123" s="25"/>
      <c r="N1123" s="25"/>
      <c r="O1123" s="25"/>
      <c r="P1123" s="25"/>
      <c r="Q1123" s="25"/>
      <c r="R1123" s="25"/>
      <c r="S1123" s="151"/>
      <c r="T1123" s="151"/>
      <c r="U1123" s="151"/>
      <c r="V1123" s="73"/>
      <c r="W1123" s="28"/>
      <c r="X1123" s="24"/>
    </row>
    <row r="1124" spans="2:24">
      <c r="B1124" s="24"/>
      <c r="C1124" s="47"/>
      <c r="D1124" s="26"/>
      <c r="E1124" s="27"/>
      <c r="F1124" s="25"/>
      <c r="G1124" s="25"/>
      <c r="H1124" s="25"/>
      <c r="I1124" s="25"/>
      <c r="J1124" s="25"/>
      <c r="K1124" s="25"/>
      <c r="L1124" s="25"/>
      <c r="M1124" s="25"/>
      <c r="N1124" s="25"/>
      <c r="O1124" s="25"/>
      <c r="P1124" s="25"/>
      <c r="Q1124" s="25"/>
      <c r="R1124" s="25"/>
      <c r="S1124" s="151"/>
      <c r="T1124" s="151"/>
      <c r="U1124" s="151"/>
      <c r="V1124" s="73"/>
      <c r="W1124" s="28"/>
      <c r="X1124" s="24"/>
    </row>
    <row r="1125" spans="2:24">
      <c r="B1125" s="24"/>
      <c r="C1125" s="47"/>
      <c r="D1125" s="26"/>
      <c r="E1125" s="27"/>
      <c r="F1125" s="25"/>
      <c r="G1125" s="25"/>
      <c r="H1125" s="25"/>
      <c r="I1125" s="25"/>
      <c r="J1125" s="25"/>
      <c r="K1125" s="25"/>
      <c r="L1125" s="25"/>
      <c r="M1125" s="25"/>
      <c r="N1125" s="25"/>
      <c r="O1125" s="25"/>
      <c r="P1125" s="25"/>
      <c r="Q1125" s="25"/>
      <c r="R1125" s="25"/>
      <c r="S1125" s="151"/>
      <c r="T1125" s="151"/>
      <c r="U1125" s="151"/>
      <c r="V1125" s="73"/>
      <c r="W1125" s="28"/>
      <c r="X1125" s="24"/>
    </row>
    <row r="1126" spans="2:24">
      <c r="B1126" s="24"/>
      <c r="C1126" s="47"/>
      <c r="D1126" s="26"/>
      <c r="E1126" s="27"/>
      <c r="F1126" s="25"/>
      <c r="G1126" s="25"/>
      <c r="H1126" s="25"/>
      <c r="I1126" s="25"/>
      <c r="J1126" s="25"/>
      <c r="K1126" s="25"/>
      <c r="L1126" s="25"/>
      <c r="M1126" s="25"/>
      <c r="N1126" s="25"/>
      <c r="O1126" s="25"/>
      <c r="P1126" s="25"/>
      <c r="Q1126" s="25"/>
      <c r="R1126" s="25"/>
      <c r="S1126" s="151"/>
      <c r="T1126" s="151"/>
      <c r="U1126" s="151"/>
      <c r="V1126" s="73"/>
      <c r="W1126" s="28"/>
      <c r="X1126" s="24"/>
    </row>
    <row r="1127" spans="2:24">
      <c r="B1127" s="24"/>
      <c r="C1127" s="47"/>
      <c r="D1127" s="26"/>
      <c r="E1127" s="27"/>
      <c r="F1127" s="25"/>
      <c r="G1127" s="25"/>
      <c r="H1127" s="25"/>
      <c r="I1127" s="25"/>
      <c r="J1127" s="25"/>
      <c r="K1127" s="25"/>
      <c r="L1127" s="25"/>
      <c r="M1127" s="25"/>
      <c r="N1127" s="25"/>
      <c r="O1127" s="25"/>
      <c r="P1127" s="25"/>
      <c r="Q1127" s="25"/>
      <c r="R1127" s="25"/>
      <c r="S1127" s="151"/>
      <c r="T1127" s="151"/>
      <c r="U1127" s="151"/>
      <c r="V1127" s="73"/>
      <c r="W1127" s="28"/>
      <c r="X1127" s="24"/>
    </row>
    <row r="1128" spans="2:24">
      <c r="B1128" s="24"/>
      <c r="C1128" s="47"/>
      <c r="D1128" s="26"/>
      <c r="E1128" s="27"/>
      <c r="F1128" s="25"/>
      <c r="G1128" s="25"/>
      <c r="H1128" s="25"/>
      <c r="I1128" s="25"/>
      <c r="J1128" s="25"/>
      <c r="K1128" s="25"/>
      <c r="L1128" s="25"/>
      <c r="M1128" s="25"/>
      <c r="N1128" s="25"/>
      <c r="O1128" s="25"/>
      <c r="P1128" s="25"/>
      <c r="Q1128" s="25"/>
      <c r="R1128" s="25"/>
      <c r="S1128" s="151"/>
      <c r="T1128" s="151"/>
      <c r="U1128" s="151"/>
      <c r="V1128" s="73"/>
      <c r="W1128" s="28"/>
      <c r="X1128" s="24"/>
    </row>
    <row r="1129" spans="2:24">
      <c r="B1129" s="24"/>
      <c r="C1129" s="47"/>
      <c r="D1129" s="26"/>
      <c r="E1129" s="27"/>
      <c r="F1129" s="25"/>
      <c r="G1129" s="25"/>
      <c r="H1129" s="25"/>
      <c r="I1129" s="25"/>
      <c r="J1129" s="25"/>
      <c r="K1129" s="25"/>
      <c r="L1129" s="25"/>
      <c r="M1129" s="25"/>
      <c r="N1129" s="25"/>
      <c r="O1129" s="25"/>
      <c r="P1129" s="25"/>
      <c r="Q1129" s="25"/>
      <c r="R1129" s="25"/>
      <c r="S1129" s="151"/>
      <c r="T1129" s="151"/>
      <c r="U1129" s="151"/>
      <c r="V1129" s="73"/>
      <c r="W1129" s="28"/>
      <c r="X1129" s="24"/>
    </row>
    <row r="1130" spans="2:24">
      <c r="B1130" s="24"/>
      <c r="C1130" s="47"/>
      <c r="D1130" s="26"/>
      <c r="E1130" s="27"/>
      <c r="F1130" s="25"/>
      <c r="G1130" s="25"/>
      <c r="H1130" s="25"/>
      <c r="I1130" s="25"/>
      <c r="J1130" s="25"/>
      <c r="K1130" s="25"/>
      <c r="L1130" s="25"/>
      <c r="M1130" s="25"/>
      <c r="N1130" s="25"/>
      <c r="O1130" s="25"/>
      <c r="P1130" s="25"/>
      <c r="Q1130" s="25"/>
      <c r="R1130" s="25"/>
      <c r="S1130" s="151"/>
      <c r="T1130" s="151"/>
      <c r="U1130" s="151"/>
      <c r="V1130" s="73"/>
      <c r="W1130" s="28"/>
      <c r="X1130" s="24"/>
    </row>
    <row r="1131" spans="2:24">
      <c r="B1131" s="24"/>
      <c r="C1131" s="47"/>
      <c r="D1131" s="26"/>
      <c r="E1131" s="27"/>
      <c r="F1131" s="25"/>
      <c r="G1131" s="25"/>
      <c r="H1131" s="25"/>
      <c r="I1131" s="25"/>
      <c r="J1131" s="25"/>
      <c r="K1131" s="25"/>
      <c r="L1131" s="25"/>
      <c r="M1131" s="25"/>
      <c r="N1131" s="25"/>
      <c r="O1131" s="25"/>
      <c r="P1131" s="25"/>
      <c r="Q1131" s="25"/>
      <c r="R1131" s="25"/>
      <c r="S1131" s="151"/>
      <c r="T1131" s="151"/>
      <c r="U1131" s="151"/>
      <c r="V1131" s="73"/>
      <c r="W1131" s="28"/>
      <c r="X1131" s="24"/>
    </row>
    <row r="1132" spans="2:24">
      <c r="B1132" s="24"/>
      <c r="C1132" s="47"/>
      <c r="D1132" s="26"/>
      <c r="E1132" s="27"/>
      <c r="F1132" s="25"/>
      <c r="G1132" s="25"/>
      <c r="H1132" s="25"/>
      <c r="I1132" s="25"/>
      <c r="J1132" s="25"/>
      <c r="K1132" s="25"/>
      <c r="L1132" s="25"/>
      <c r="M1132" s="25"/>
      <c r="N1132" s="25"/>
      <c r="O1132" s="25"/>
      <c r="P1132" s="25"/>
      <c r="Q1132" s="25"/>
      <c r="R1132" s="25"/>
      <c r="S1132" s="151"/>
      <c r="T1132" s="151"/>
      <c r="U1132" s="151"/>
      <c r="V1132" s="73"/>
      <c r="W1132" s="28"/>
      <c r="X1132" s="24"/>
    </row>
    <row r="1133" spans="2:24">
      <c r="B1133" s="24"/>
      <c r="C1133" s="47"/>
      <c r="D1133" s="26"/>
      <c r="E1133" s="27"/>
      <c r="F1133" s="25"/>
      <c r="G1133" s="25"/>
      <c r="H1133" s="25"/>
      <c r="I1133" s="25"/>
      <c r="J1133" s="25"/>
      <c r="K1133" s="25"/>
      <c r="L1133" s="25"/>
      <c r="M1133" s="25"/>
      <c r="N1133" s="25"/>
      <c r="O1133" s="25"/>
      <c r="P1133" s="25"/>
      <c r="Q1133" s="25"/>
      <c r="R1133" s="25"/>
      <c r="S1133" s="151"/>
      <c r="T1133" s="151"/>
      <c r="U1133" s="151"/>
      <c r="V1133" s="73"/>
      <c r="W1133" s="28"/>
      <c r="X1133" s="24"/>
    </row>
    <row r="1134" spans="2:24">
      <c r="B1134" s="24"/>
      <c r="C1134" s="47"/>
      <c r="D1134" s="26"/>
      <c r="E1134" s="27"/>
      <c r="F1134" s="25"/>
      <c r="G1134" s="25"/>
      <c r="H1134" s="25"/>
      <c r="I1134" s="25"/>
      <c r="J1134" s="25"/>
      <c r="K1134" s="25"/>
      <c r="L1134" s="25"/>
      <c r="M1134" s="25"/>
      <c r="N1134" s="25"/>
      <c r="O1134" s="25"/>
      <c r="P1134" s="25"/>
      <c r="Q1134" s="25"/>
      <c r="R1134" s="25"/>
      <c r="S1134" s="151"/>
      <c r="T1134" s="151"/>
      <c r="U1134" s="151"/>
      <c r="V1134" s="73"/>
      <c r="W1134" s="28"/>
      <c r="X1134" s="24"/>
    </row>
    <row r="1135" spans="2:24">
      <c r="B1135" s="24"/>
      <c r="C1135" s="47"/>
      <c r="D1135" s="26"/>
      <c r="E1135" s="27"/>
      <c r="F1135" s="25"/>
      <c r="G1135" s="25"/>
      <c r="H1135" s="25"/>
      <c r="I1135" s="25"/>
      <c r="J1135" s="25"/>
      <c r="K1135" s="25"/>
      <c r="L1135" s="25"/>
      <c r="M1135" s="25"/>
      <c r="N1135" s="25"/>
      <c r="O1135" s="25"/>
      <c r="P1135" s="25"/>
      <c r="Q1135" s="25"/>
      <c r="R1135" s="25"/>
      <c r="S1135" s="151"/>
      <c r="T1135" s="151"/>
      <c r="U1135" s="151"/>
      <c r="V1135" s="73"/>
      <c r="W1135" s="28"/>
      <c r="X1135" s="24"/>
    </row>
    <row r="1136" spans="2:24">
      <c r="B1136" s="24"/>
      <c r="C1136" s="47"/>
      <c r="D1136" s="26"/>
      <c r="E1136" s="27"/>
      <c r="F1136" s="25"/>
      <c r="G1136" s="25"/>
      <c r="H1136" s="25"/>
      <c r="I1136" s="25"/>
      <c r="J1136" s="25"/>
      <c r="K1136" s="25"/>
      <c r="L1136" s="25"/>
      <c r="M1136" s="25"/>
      <c r="N1136" s="25"/>
      <c r="O1136" s="25"/>
      <c r="P1136" s="25"/>
      <c r="Q1136" s="25"/>
      <c r="R1136" s="25"/>
      <c r="S1136" s="151"/>
      <c r="T1136" s="151"/>
      <c r="U1136" s="151"/>
      <c r="V1136" s="73"/>
      <c r="W1136" s="28"/>
      <c r="X1136" s="24"/>
    </row>
    <row r="1137" spans="2:24">
      <c r="B1137" s="24"/>
      <c r="C1137" s="47"/>
      <c r="D1137" s="26"/>
      <c r="E1137" s="27"/>
      <c r="F1137" s="25"/>
      <c r="G1137" s="25"/>
      <c r="H1137" s="25"/>
      <c r="I1137" s="25"/>
      <c r="J1137" s="25"/>
      <c r="K1137" s="25"/>
      <c r="L1137" s="25"/>
      <c r="M1137" s="25"/>
      <c r="N1137" s="25"/>
      <c r="O1137" s="25"/>
      <c r="P1137" s="25"/>
      <c r="Q1137" s="25"/>
      <c r="R1137" s="25"/>
      <c r="S1137" s="151"/>
      <c r="T1137" s="151"/>
      <c r="U1137" s="151"/>
      <c r="V1137" s="73"/>
      <c r="W1137" s="28"/>
      <c r="X1137" s="24"/>
    </row>
    <row r="1138" spans="2:24">
      <c r="B1138" s="24"/>
      <c r="C1138" s="47"/>
      <c r="D1138" s="26"/>
      <c r="E1138" s="27"/>
      <c r="F1138" s="25"/>
      <c r="G1138" s="25"/>
      <c r="H1138" s="25"/>
      <c r="I1138" s="25"/>
      <c r="J1138" s="25"/>
      <c r="K1138" s="25"/>
      <c r="L1138" s="25"/>
      <c r="M1138" s="25"/>
      <c r="N1138" s="25"/>
      <c r="O1138" s="25"/>
      <c r="P1138" s="25"/>
      <c r="Q1138" s="25"/>
      <c r="R1138" s="25"/>
      <c r="S1138" s="151"/>
      <c r="T1138" s="151"/>
      <c r="U1138" s="151"/>
      <c r="V1138" s="73"/>
      <c r="W1138" s="28"/>
      <c r="X1138" s="24"/>
    </row>
    <row r="1139" spans="2:24">
      <c r="B1139" s="24"/>
      <c r="C1139" s="47"/>
      <c r="D1139" s="26"/>
      <c r="E1139" s="27"/>
      <c r="F1139" s="25"/>
      <c r="G1139" s="25"/>
      <c r="H1139" s="25"/>
      <c r="I1139" s="25"/>
      <c r="J1139" s="25"/>
      <c r="K1139" s="25"/>
      <c r="L1139" s="25"/>
      <c r="M1139" s="25"/>
      <c r="N1139" s="25"/>
      <c r="O1139" s="25"/>
      <c r="P1139" s="25"/>
      <c r="Q1139" s="25"/>
      <c r="R1139" s="25"/>
      <c r="S1139" s="151"/>
      <c r="T1139" s="151"/>
      <c r="U1139" s="151"/>
      <c r="V1139" s="73"/>
      <c r="W1139" s="28"/>
      <c r="X1139" s="24"/>
    </row>
    <row r="1140" spans="2:24">
      <c r="B1140" s="24"/>
      <c r="C1140" s="47"/>
      <c r="D1140" s="26"/>
      <c r="E1140" s="27"/>
      <c r="F1140" s="25"/>
      <c r="G1140" s="25"/>
      <c r="H1140" s="25"/>
      <c r="I1140" s="25"/>
      <c r="J1140" s="25"/>
      <c r="K1140" s="25"/>
      <c r="L1140" s="25"/>
      <c r="M1140" s="25"/>
      <c r="N1140" s="25"/>
      <c r="O1140" s="25"/>
      <c r="P1140" s="25"/>
      <c r="Q1140" s="25"/>
      <c r="R1140" s="25"/>
      <c r="S1140" s="151"/>
      <c r="T1140" s="151"/>
      <c r="U1140" s="151"/>
      <c r="V1140" s="73"/>
      <c r="W1140" s="28"/>
      <c r="X1140" s="24"/>
    </row>
    <row r="1141" spans="2:24">
      <c r="B1141" s="24"/>
      <c r="C1141" s="47"/>
      <c r="D1141" s="26"/>
      <c r="E1141" s="27"/>
      <c r="F1141" s="25"/>
      <c r="G1141" s="25"/>
      <c r="H1141" s="25"/>
      <c r="I1141" s="25"/>
      <c r="J1141" s="25"/>
      <c r="K1141" s="25"/>
      <c r="L1141" s="25"/>
      <c r="M1141" s="25"/>
      <c r="N1141" s="25"/>
      <c r="O1141" s="25"/>
      <c r="P1141" s="25"/>
      <c r="Q1141" s="25"/>
      <c r="R1141" s="25"/>
      <c r="S1141" s="151"/>
      <c r="T1141" s="151"/>
      <c r="U1141" s="151"/>
      <c r="V1141" s="73"/>
      <c r="W1141" s="28"/>
      <c r="X1141" s="24"/>
    </row>
    <row r="1142" spans="2:24">
      <c r="B1142" s="24"/>
      <c r="C1142" s="47"/>
      <c r="D1142" s="26"/>
      <c r="E1142" s="27"/>
      <c r="F1142" s="25"/>
      <c r="G1142" s="25"/>
      <c r="H1142" s="25"/>
      <c r="I1142" s="25"/>
      <c r="J1142" s="25"/>
      <c r="K1142" s="25"/>
      <c r="L1142" s="25"/>
      <c r="M1142" s="25"/>
      <c r="N1142" s="25"/>
      <c r="O1142" s="25"/>
      <c r="P1142" s="25"/>
      <c r="Q1142" s="25"/>
      <c r="R1142" s="25"/>
      <c r="S1142" s="151"/>
      <c r="T1142" s="151"/>
      <c r="U1142" s="151"/>
      <c r="V1142" s="73"/>
      <c r="W1142" s="28"/>
      <c r="X1142" s="24"/>
    </row>
    <row r="1143" spans="2:24">
      <c r="B1143" s="24"/>
      <c r="C1143" s="47"/>
      <c r="D1143" s="26"/>
      <c r="E1143" s="27"/>
      <c r="F1143" s="25"/>
      <c r="G1143" s="25"/>
      <c r="H1143" s="25"/>
      <c r="I1143" s="25"/>
      <c r="J1143" s="25"/>
      <c r="K1143" s="25"/>
      <c r="L1143" s="25"/>
      <c r="M1143" s="25"/>
      <c r="N1143" s="25"/>
      <c r="O1143" s="25"/>
      <c r="P1143" s="25"/>
      <c r="Q1143" s="25"/>
      <c r="R1143" s="25"/>
      <c r="S1143" s="151"/>
      <c r="T1143" s="151"/>
      <c r="U1143" s="151"/>
      <c r="V1143" s="73"/>
      <c r="W1143" s="28"/>
      <c r="X1143" s="24"/>
    </row>
    <row r="1144" spans="2:24">
      <c r="B1144" s="24"/>
      <c r="C1144" s="47"/>
      <c r="D1144" s="26"/>
      <c r="E1144" s="27"/>
      <c r="F1144" s="25"/>
      <c r="G1144" s="25"/>
      <c r="H1144" s="25"/>
      <c r="I1144" s="25"/>
      <c r="J1144" s="25"/>
      <c r="K1144" s="25"/>
      <c r="L1144" s="25"/>
      <c r="M1144" s="25"/>
      <c r="N1144" s="25"/>
      <c r="O1144" s="25"/>
      <c r="P1144" s="25"/>
      <c r="Q1144" s="25"/>
      <c r="R1144" s="25"/>
      <c r="S1144" s="151"/>
      <c r="T1144" s="151"/>
      <c r="U1144" s="151"/>
      <c r="V1144" s="73"/>
      <c r="W1144" s="28"/>
      <c r="X1144" s="24"/>
    </row>
    <row r="1145" spans="2:24">
      <c r="B1145" s="24"/>
      <c r="C1145" s="47"/>
      <c r="D1145" s="26"/>
      <c r="E1145" s="27"/>
      <c r="F1145" s="25"/>
      <c r="G1145" s="25"/>
      <c r="H1145" s="25"/>
      <c r="I1145" s="25"/>
      <c r="J1145" s="25"/>
      <c r="K1145" s="25"/>
      <c r="L1145" s="25"/>
      <c r="M1145" s="25"/>
      <c r="N1145" s="25"/>
      <c r="O1145" s="25"/>
      <c r="P1145" s="25"/>
      <c r="Q1145" s="25"/>
      <c r="R1145" s="25"/>
      <c r="S1145" s="151"/>
      <c r="T1145" s="151"/>
      <c r="U1145" s="151"/>
      <c r="V1145" s="73"/>
      <c r="W1145" s="28"/>
      <c r="X1145" s="24"/>
    </row>
    <row r="1146" spans="2:24">
      <c r="B1146" s="24"/>
      <c r="C1146" s="47"/>
      <c r="D1146" s="26"/>
      <c r="E1146" s="27"/>
      <c r="F1146" s="25"/>
      <c r="G1146" s="25"/>
      <c r="H1146" s="25"/>
      <c r="I1146" s="25"/>
      <c r="J1146" s="25"/>
      <c r="K1146" s="25"/>
      <c r="L1146" s="25"/>
      <c r="M1146" s="25"/>
      <c r="N1146" s="25"/>
      <c r="O1146" s="25"/>
      <c r="P1146" s="25"/>
      <c r="Q1146" s="25"/>
      <c r="R1146" s="25"/>
      <c r="S1146" s="151"/>
      <c r="T1146" s="151"/>
      <c r="U1146" s="151"/>
      <c r="V1146" s="73"/>
      <c r="W1146" s="28"/>
      <c r="X1146" s="24"/>
    </row>
    <row r="1147" spans="2:24">
      <c r="B1147" s="24"/>
      <c r="C1147" s="47"/>
      <c r="D1147" s="26"/>
      <c r="E1147" s="27"/>
      <c r="F1147" s="25"/>
      <c r="G1147" s="25"/>
      <c r="H1147" s="25"/>
      <c r="I1147" s="25"/>
      <c r="J1147" s="25"/>
      <c r="K1147" s="25"/>
      <c r="L1147" s="25"/>
      <c r="M1147" s="25"/>
      <c r="N1147" s="25"/>
      <c r="O1147" s="25"/>
      <c r="P1147" s="25"/>
      <c r="Q1147" s="25"/>
      <c r="R1147" s="25"/>
      <c r="S1147" s="151"/>
      <c r="T1147" s="151"/>
      <c r="U1147" s="151"/>
      <c r="V1147" s="73"/>
      <c r="W1147" s="28"/>
      <c r="X1147" s="24"/>
    </row>
    <row r="1148" spans="2:24">
      <c r="B1148" s="24"/>
      <c r="C1148" s="47"/>
      <c r="D1148" s="26"/>
      <c r="E1148" s="27"/>
      <c r="F1148" s="25"/>
      <c r="G1148" s="25"/>
      <c r="H1148" s="25"/>
      <c r="I1148" s="25"/>
      <c r="J1148" s="25"/>
      <c r="K1148" s="25"/>
      <c r="L1148" s="25"/>
      <c r="M1148" s="25"/>
      <c r="N1148" s="25"/>
      <c r="O1148" s="25"/>
      <c r="P1148" s="25"/>
      <c r="Q1148" s="25"/>
      <c r="R1148" s="25"/>
      <c r="S1148" s="151"/>
      <c r="T1148" s="151"/>
      <c r="U1148" s="151"/>
      <c r="V1148" s="73"/>
      <c r="W1148" s="28"/>
      <c r="X1148" s="24"/>
    </row>
    <row r="1149" spans="2:24">
      <c r="B1149" s="24"/>
      <c r="C1149" s="47"/>
      <c r="D1149" s="26"/>
      <c r="E1149" s="27"/>
      <c r="F1149" s="25"/>
      <c r="G1149" s="25"/>
      <c r="H1149" s="25"/>
      <c r="I1149" s="25"/>
      <c r="J1149" s="25"/>
      <c r="K1149" s="25"/>
      <c r="L1149" s="25"/>
      <c r="M1149" s="25"/>
      <c r="N1149" s="25"/>
      <c r="O1149" s="25"/>
      <c r="P1149" s="25"/>
      <c r="Q1149" s="25"/>
      <c r="R1149" s="25"/>
      <c r="S1149" s="151"/>
      <c r="T1149" s="151"/>
      <c r="U1149" s="151"/>
      <c r="V1149" s="73"/>
      <c r="W1149" s="28"/>
      <c r="X1149" s="24"/>
    </row>
    <row r="1150" spans="2:24">
      <c r="B1150" s="24"/>
      <c r="C1150" s="47"/>
      <c r="D1150" s="26"/>
      <c r="E1150" s="27"/>
      <c r="F1150" s="25"/>
      <c r="G1150" s="25"/>
      <c r="H1150" s="25"/>
      <c r="I1150" s="25"/>
      <c r="J1150" s="25"/>
      <c r="K1150" s="25"/>
      <c r="L1150" s="25"/>
      <c r="M1150" s="25"/>
      <c r="N1150" s="25"/>
      <c r="O1150" s="25"/>
      <c r="P1150" s="25"/>
      <c r="Q1150" s="25"/>
      <c r="R1150" s="25"/>
      <c r="S1150" s="151"/>
      <c r="T1150" s="151"/>
      <c r="U1150" s="151"/>
      <c r="V1150" s="73"/>
      <c r="W1150" s="28"/>
      <c r="X1150" s="24"/>
    </row>
    <row r="1151" spans="2:24">
      <c r="B1151" s="24"/>
      <c r="C1151" s="47"/>
      <c r="D1151" s="26"/>
      <c r="E1151" s="27"/>
      <c r="F1151" s="25"/>
      <c r="G1151" s="25"/>
      <c r="H1151" s="25"/>
      <c r="I1151" s="25"/>
      <c r="J1151" s="25"/>
      <c r="K1151" s="25"/>
      <c r="L1151" s="25"/>
      <c r="M1151" s="25"/>
      <c r="N1151" s="25"/>
      <c r="O1151" s="25"/>
      <c r="P1151" s="25"/>
      <c r="Q1151" s="25"/>
      <c r="R1151" s="25"/>
      <c r="S1151" s="151"/>
      <c r="T1151" s="151"/>
      <c r="U1151" s="151"/>
      <c r="V1151" s="73"/>
      <c r="W1151" s="28"/>
      <c r="X1151" s="24"/>
    </row>
    <row r="1152" spans="2:24">
      <c r="B1152" s="24"/>
      <c r="C1152" s="47"/>
      <c r="D1152" s="26"/>
      <c r="E1152" s="27"/>
      <c r="F1152" s="25"/>
      <c r="G1152" s="25"/>
      <c r="H1152" s="25"/>
      <c r="I1152" s="25"/>
      <c r="J1152" s="25"/>
      <c r="K1152" s="25"/>
      <c r="L1152" s="25"/>
      <c r="M1152" s="25"/>
      <c r="N1152" s="25"/>
      <c r="O1152" s="25"/>
      <c r="P1152" s="25"/>
      <c r="Q1152" s="25"/>
      <c r="R1152" s="25"/>
      <c r="S1152" s="151"/>
      <c r="T1152" s="151"/>
      <c r="U1152" s="151"/>
      <c r="V1152" s="73"/>
      <c r="W1152" s="28"/>
      <c r="X1152" s="24"/>
    </row>
    <row r="1153" spans="2:24">
      <c r="B1153" s="24"/>
      <c r="C1153" s="47"/>
      <c r="D1153" s="26"/>
      <c r="E1153" s="27"/>
      <c r="F1153" s="25"/>
      <c r="G1153" s="25"/>
      <c r="H1153" s="25"/>
      <c r="I1153" s="25"/>
      <c r="J1153" s="25"/>
      <c r="K1153" s="25"/>
      <c r="L1153" s="25"/>
      <c r="M1153" s="25"/>
      <c r="N1153" s="25"/>
      <c r="O1153" s="25"/>
      <c r="P1153" s="25"/>
      <c r="Q1153" s="25"/>
      <c r="R1153" s="25"/>
      <c r="S1153" s="151"/>
      <c r="T1153" s="151"/>
      <c r="U1153" s="151"/>
      <c r="V1153" s="73"/>
      <c r="W1153" s="28"/>
      <c r="X1153" s="24"/>
    </row>
    <row r="1154" spans="2:24">
      <c r="B1154" s="24"/>
      <c r="C1154" s="47"/>
      <c r="D1154" s="26"/>
      <c r="E1154" s="27"/>
      <c r="F1154" s="25"/>
      <c r="G1154" s="25"/>
      <c r="H1154" s="25"/>
      <c r="I1154" s="25"/>
      <c r="J1154" s="25"/>
      <c r="K1154" s="25"/>
      <c r="L1154" s="25"/>
      <c r="M1154" s="25"/>
      <c r="N1154" s="25"/>
      <c r="O1154" s="25"/>
      <c r="P1154" s="25"/>
      <c r="Q1154" s="25"/>
      <c r="R1154" s="25"/>
      <c r="S1154" s="151"/>
      <c r="T1154" s="151"/>
      <c r="U1154" s="151"/>
      <c r="V1154" s="73"/>
      <c r="W1154" s="28"/>
      <c r="X1154" s="24"/>
    </row>
    <row r="1155" spans="2:24">
      <c r="B1155" s="24"/>
      <c r="C1155" s="47"/>
      <c r="D1155" s="26"/>
      <c r="E1155" s="27"/>
      <c r="F1155" s="25"/>
      <c r="G1155" s="25"/>
      <c r="H1155" s="25"/>
      <c r="I1155" s="25"/>
      <c r="J1155" s="25"/>
      <c r="K1155" s="25"/>
      <c r="L1155" s="25"/>
      <c r="M1155" s="25"/>
      <c r="N1155" s="25"/>
      <c r="O1155" s="25"/>
      <c r="P1155" s="25"/>
      <c r="Q1155" s="25"/>
      <c r="R1155" s="25"/>
      <c r="S1155" s="151"/>
      <c r="T1155" s="151"/>
      <c r="U1155" s="151"/>
      <c r="V1155" s="73"/>
      <c r="W1155" s="28"/>
      <c r="X1155" s="24"/>
    </row>
    <row r="1156" spans="2:24">
      <c r="B1156" s="24"/>
      <c r="C1156" s="47"/>
      <c r="D1156" s="26"/>
      <c r="E1156" s="27"/>
      <c r="F1156" s="25"/>
      <c r="G1156" s="25"/>
      <c r="H1156" s="25"/>
      <c r="I1156" s="25"/>
      <c r="J1156" s="25"/>
      <c r="K1156" s="25"/>
      <c r="L1156" s="25"/>
      <c r="M1156" s="25"/>
      <c r="N1156" s="25"/>
      <c r="O1156" s="25"/>
      <c r="P1156" s="25"/>
      <c r="Q1156" s="25"/>
      <c r="R1156" s="25"/>
      <c r="S1156" s="151"/>
      <c r="T1156" s="151"/>
      <c r="U1156" s="151"/>
      <c r="V1156" s="73"/>
      <c r="W1156" s="28"/>
      <c r="X1156" s="24"/>
    </row>
    <row r="1157" spans="2:24">
      <c r="B1157" s="24"/>
      <c r="C1157" s="47"/>
      <c r="D1157" s="26"/>
      <c r="E1157" s="27"/>
      <c r="F1157" s="25"/>
      <c r="G1157" s="25"/>
      <c r="H1157" s="25"/>
      <c r="I1157" s="25"/>
      <c r="J1157" s="25"/>
      <c r="K1157" s="25"/>
      <c r="L1157" s="25"/>
      <c r="M1157" s="25"/>
      <c r="N1157" s="25"/>
      <c r="O1157" s="25"/>
      <c r="P1157" s="25"/>
      <c r="Q1157" s="25"/>
      <c r="R1157" s="25"/>
      <c r="S1157" s="151"/>
      <c r="T1157" s="151"/>
      <c r="U1157" s="151"/>
      <c r="V1157" s="73"/>
      <c r="W1157" s="28"/>
      <c r="X1157" s="24"/>
    </row>
    <row r="1158" spans="2:24">
      <c r="B1158" s="24"/>
      <c r="C1158" s="47"/>
      <c r="D1158" s="26"/>
      <c r="E1158" s="27"/>
      <c r="F1158" s="25"/>
      <c r="G1158" s="25"/>
      <c r="H1158" s="25"/>
      <c r="I1158" s="25"/>
      <c r="J1158" s="25"/>
      <c r="K1158" s="25"/>
      <c r="L1158" s="25"/>
      <c r="M1158" s="25"/>
      <c r="N1158" s="25"/>
      <c r="O1158" s="25"/>
      <c r="P1158" s="25"/>
      <c r="Q1158" s="25"/>
      <c r="R1158" s="25"/>
      <c r="S1158" s="151"/>
      <c r="T1158" s="151"/>
      <c r="U1158" s="151"/>
      <c r="V1158" s="73"/>
      <c r="W1158" s="28"/>
      <c r="X1158" s="24"/>
    </row>
    <row r="1159" spans="2:24">
      <c r="B1159" s="24"/>
      <c r="C1159" s="47"/>
      <c r="D1159" s="26"/>
      <c r="E1159" s="27"/>
      <c r="F1159" s="25"/>
      <c r="G1159" s="25"/>
      <c r="H1159" s="25"/>
      <c r="I1159" s="25"/>
      <c r="J1159" s="25"/>
      <c r="K1159" s="25"/>
      <c r="L1159" s="25"/>
      <c r="M1159" s="25"/>
      <c r="N1159" s="25"/>
      <c r="O1159" s="25"/>
      <c r="P1159" s="25"/>
      <c r="Q1159" s="25"/>
      <c r="R1159" s="25"/>
      <c r="S1159" s="151"/>
      <c r="T1159" s="151"/>
      <c r="U1159" s="151"/>
      <c r="V1159" s="73"/>
      <c r="W1159" s="28"/>
      <c r="X1159" s="24"/>
    </row>
    <row r="1160" spans="2:24">
      <c r="B1160" s="24"/>
      <c r="C1160" s="47"/>
      <c r="D1160" s="26"/>
      <c r="E1160" s="27"/>
      <c r="F1160" s="25"/>
      <c r="G1160" s="25"/>
      <c r="H1160" s="25"/>
      <c r="I1160" s="25"/>
      <c r="J1160" s="25"/>
      <c r="K1160" s="25"/>
      <c r="L1160" s="25"/>
      <c r="M1160" s="25"/>
      <c r="N1160" s="25"/>
      <c r="O1160" s="25"/>
      <c r="P1160" s="25"/>
      <c r="Q1160" s="25"/>
      <c r="R1160" s="25"/>
      <c r="S1160" s="151"/>
      <c r="T1160" s="151"/>
      <c r="U1160" s="151"/>
      <c r="V1160" s="73"/>
      <c r="W1160" s="28"/>
      <c r="X1160" s="24"/>
    </row>
    <row r="1161" spans="2:24">
      <c r="B1161" s="24"/>
      <c r="C1161" s="47"/>
      <c r="D1161" s="26"/>
      <c r="E1161" s="27"/>
      <c r="F1161" s="25"/>
      <c r="G1161" s="25"/>
      <c r="H1161" s="25"/>
      <c r="I1161" s="25"/>
      <c r="J1161" s="25"/>
      <c r="K1161" s="25"/>
      <c r="L1161" s="25"/>
      <c r="M1161" s="25"/>
      <c r="N1161" s="25"/>
      <c r="O1161" s="25"/>
      <c r="P1161" s="25"/>
      <c r="Q1161" s="25"/>
      <c r="R1161" s="25"/>
      <c r="S1161" s="151"/>
      <c r="T1161" s="151"/>
      <c r="U1161" s="151"/>
      <c r="V1161" s="73"/>
      <c r="W1161" s="28"/>
      <c r="X1161" s="24"/>
    </row>
    <row r="1162" spans="2:24">
      <c r="B1162" s="24"/>
      <c r="C1162" s="47"/>
      <c r="D1162" s="26"/>
      <c r="E1162" s="27"/>
      <c r="F1162" s="25"/>
      <c r="G1162" s="25"/>
      <c r="H1162" s="25"/>
      <c r="I1162" s="25"/>
      <c r="J1162" s="25"/>
      <c r="K1162" s="25"/>
      <c r="L1162" s="25"/>
      <c r="M1162" s="25"/>
      <c r="N1162" s="25"/>
      <c r="O1162" s="25"/>
      <c r="P1162" s="25"/>
      <c r="Q1162" s="25"/>
      <c r="R1162" s="25"/>
      <c r="S1162" s="151"/>
      <c r="T1162" s="151"/>
      <c r="U1162" s="151"/>
      <c r="V1162" s="73"/>
      <c r="W1162" s="28"/>
      <c r="X1162" s="24"/>
    </row>
    <row r="1163" spans="2:24">
      <c r="B1163" s="24"/>
      <c r="C1163" s="47"/>
      <c r="D1163" s="26"/>
      <c r="E1163" s="27"/>
      <c r="F1163" s="25"/>
      <c r="G1163" s="25"/>
      <c r="H1163" s="25"/>
      <c r="I1163" s="25"/>
      <c r="J1163" s="25"/>
      <c r="K1163" s="25"/>
      <c r="L1163" s="25"/>
      <c r="M1163" s="25"/>
      <c r="N1163" s="25"/>
      <c r="O1163" s="25"/>
      <c r="P1163" s="25"/>
      <c r="Q1163" s="25"/>
      <c r="R1163" s="25"/>
      <c r="S1163" s="151"/>
      <c r="T1163" s="151"/>
      <c r="U1163" s="151"/>
      <c r="V1163" s="73"/>
      <c r="W1163" s="28"/>
      <c r="X1163" s="24"/>
    </row>
    <row r="1164" spans="2:24">
      <c r="B1164" s="24"/>
      <c r="C1164" s="47"/>
      <c r="D1164" s="26"/>
      <c r="E1164" s="27"/>
      <c r="F1164" s="25"/>
      <c r="G1164" s="25"/>
      <c r="H1164" s="25"/>
      <c r="I1164" s="25"/>
      <c r="J1164" s="25"/>
      <c r="K1164" s="25"/>
      <c r="L1164" s="25"/>
      <c r="M1164" s="25"/>
      <c r="N1164" s="25"/>
      <c r="O1164" s="25"/>
      <c r="P1164" s="25"/>
      <c r="Q1164" s="25"/>
      <c r="R1164" s="25"/>
      <c r="S1164" s="151"/>
      <c r="T1164" s="151"/>
      <c r="U1164" s="151"/>
      <c r="V1164" s="73"/>
      <c r="W1164" s="28"/>
      <c r="X1164" s="24"/>
    </row>
    <row r="1165" spans="2:24">
      <c r="B1165" s="24"/>
      <c r="C1165" s="47"/>
      <c r="D1165" s="26"/>
      <c r="E1165" s="27"/>
      <c r="F1165" s="25"/>
      <c r="G1165" s="25"/>
      <c r="H1165" s="25"/>
      <c r="I1165" s="25"/>
      <c r="J1165" s="25"/>
      <c r="K1165" s="25"/>
      <c r="L1165" s="25"/>
      <c r="M1165" s="25"/>
      <c r="N1165" s="25"/>
      <c r="O1165" s="25"/>
      <c r="P1165" s="25"/>
      <c r="Q1165" s="25"/>
      <c r="R1165" s="25"/>
      <c r="S1165" s="151"/>
      <c r="T1165" s="151"/>
      <c r="U1165" s="151"/>
      <c r="V1165" s="73"/>
      <c r="W1165" s="28"/>
      <c r="X1165" s="24"/>
    </row>
    <row r="1166" spans="2:24">
      <c r="B1166" s="24"/>
      <c r="C1166" s="47"/>
      <c r="D1166" s="26"/>
      <c r="E1166" s="27"/>
      <c r="F1166" s="25"/>
      <c r="G1166" s="25"/>
      <c r="H1166" s="25"/>
      <c r="I1166" s="25"/>
      <c r="J1166" s="25"/>
      <c r="K1166" s="25"/>
      <c r="L1166" s="25"/>
      <c r="M1166" s="25"/>
      <c r="N1166" s="25"/>
      <c r="O1166" s="25"/>
      <c r="P1166" s="25"/>
      <c r="Q1166" s="25"/>
      <c r="R1166" s="25"/>
      <c r="S1166" s="151"/>
      <c r="T1166" s="151"/>
      <c r="U1166" s="151"/>
      <c r="V1166" s="73"/>
      <c r="W1166" s="28"/>
      <c r="X1166" s="24"/>
    </row>
    <row r="1167" spans="2:24">
      <c r="B1167" s="24"/>
      <c r="C1167" s="47"/>
      <c r="D1167" s="26"/>
      <c r="E1167" s="27"/>
      <c r="F1167" s="25"/>
      <c r="G1167" s="25"/>
      <c r="H1167" s="25"/>
      <c r="I1167" s="25"/>
      <c r="J1167" s="25"/>
      <c r="K1167" s="25"/>
      <c r="L1167" s="25"/>
      <c r="M1167" s="25"/>
      <c r="N1167" s="25"/>
      <c r="O1167" s="25"/>
      <c r="P1167" s="25"/>
      <c r="Q1167" s="25"/>
      <c r="R1167" s="25"/>
      <c r="S1167" s="151"/>
      <c r="T1167" s="151"/>
      <c r="U1167" s="151"/>
      <c r="V1167" s="73"/>
      <c r="W1167" s="28"/>
      <c r="X1167" s="24"/>
    </row>
    <row r="1168" spans="2:24">
      <c r="B1168" s="24"/>
      <c r="C1168" s="47"/>
      <c r="D1168" s="26"/>
      <c r="E1168" s="27"/>
      <c r="F1168" s="25"/>
      <c r="G1168" s="25"/>
      <c r="H1168" s="25"/>
      <c r="I1168" s="25"/>
      <c r="J1168" s="25"/>
      <c r="K1168" s="25"/>
      <c r="L1168" s="25"/>
      <c r="M1168" s="25"/>
      <c r="N1168" s="25"/>
      <c r="O1168" s="25"/>
      <c r="P1168" s="25"/>
      <c r="Q1168" s="25"/>
      <c r="R1168" s="25"/>
      <c r="S1168" s="151"/>
      <c r="T1168" s="151"/>
      <c r="U1168" s="151"/>
      <c r="V1168" s="73"/>
      <c r="W1168" s="28"/>
      <c r="X1168" s="24"/>
    </row>
    <row r="1169" spans="2:24">
      <c r="B1169" s="24"/>
      <c r="C1169" s="47"/>
      <c r="D1169" s="26"/>
      <c r="E1169" s="27"/>
      <c r="F1169" s="25"/>
      <c r="G1169" s="25"/>
      <c r="H1169" s="25"/>
      <c r="I1169" s="25"/>
      <c r="J1169" s="25"/>
      <c r="K1169" s="25"/>
      <c r="L1169" s="25"/>
      <c r="M1169" s="25"/>
      <c r="N1169" s="25"/>
      <c r="O1169" s="25"/>
      <c r="P1169" s="25"/>
      <c r="Q1169" s="25"/>
      <c r="R1169" s="25"/>
      <c r="S1169" s="151"/>
      <c r="T1169" s="151"/>
      <c r="U1169" s="151"/>
      <c r="V1169" s="73"/>
      <c r="W1169" s="28"/>
      <c r="X1169" s="24"/>
    </row>
    <row r="1170" spans="2:24">
      <c r="B1170" s="24"/>
      <c r="C1170" s="47"/>
      <c r="D1170" s="26"/>
      <c r="E1170" s="27"/>
      <c r="F1170" s="25"/>
      <c r="G1170" s="25"/>
      <c r="H1170" s="25"/>
      <c r="I1170" s="25"/>
      <c r="J1170" s="25"/>
      <c r="K1170" s="25"/>
      <c r="L1170" s="25"/>
      <c r="M1170" s="25"/>
      <c r="N1170" s="25"/>
      <c r="O1170" s="25"/>
      <c r="P1170" s="25"/>
      <c r="Q1170" s="25"/>
      <c r="R1170" s="25"/>
      <c r="S1170" s="151"/>
      <c r="T1170" s="151"/>
      <c r="U1170" s="151"/>
      <c r="V1170" s="73"/>
      <c r="W1170" s="28"/>
      <c r="X1170" s="24"/>
    </row>
    <row r="1171" spans="2:24">
      <c r="B1171" s="24"/>
      <c r="C1171" s="47"/>
      <c r="D1171" s="26"/>
      <c r="E1171" s="27"/>
      <c r="F1171" s="25"/>
      <c r="G1171" s="25"/>
      <c r="H1171" s="25"/>
      <c r="I1171" s="25"/>
      <c r="J1171" s="25"/>
      <c r="K1171" s="25"/>
      <c r="L1171" s="25"/>
      <c r="M1171" s="25"/>
      <c r="N1171" s="25"/>
      <c r="O1171" s="25"/>
      <c r="P1171" s="25"/>
      <c r="Q1171" s="25"/>
      <c r="R1171" s="25"/>
      <c r="S1171" s="151"/>
      <c r="T1171" s="151"/>
      <c r="U1171" s="151"/>
      <c r="V1171" s="73"/>
      <c r="W1171" s="28"/>
      <c r="X1171" s="24"/>
    </row>
    <row r="1172" spans="2:24">
      <c r="B1172" s="24"/>
      <c r="C1172" s="47"/>
      <c r="D1172" s="26"/>
      <c r="E1172" s="27"/>
      <c r="F1172" s="25"/>
      <c r="G1172" s="25"/>
      <c r="H1172" s="25"/>
      <c r="I1172" s="25"/>
      <c r="J1172" s="25"/>
      <c r="K1172" s="25"/>
      <c r="L1172" s="25"/>
      <c r="M1172" s="25"/>
      <c r="N1172" s="25"/>
      <c r="O1172" s="25"/>
      <c r="P1172" s="25"/>
      <c r="Q1172" s="25"/>
      <c r="R1172" s="25"/>
      <c r="S1172" s="151"/>
      <c r="T1172" s="151"/>
      <c r="U1172" s="151"/>
      <c r="V1172" s="73"/>
      <c r="W1172" s="28"/>
      <c r="X1172" s="24"/>
    </row>
    <row r="1173" spans="2:24">
      <c r="B1173" s="24"/>
      <c r="C1173" s="47"/>
      <c r="D1173" s="26"/>
      <c r="E1173" s="27"/>
      <c r="F1173" s="25"/>
      <c r="G1173" s="25"/>
      <c r="H1173" s="25"/>
      <c r="I1173" s="25"/>
      <c r="J1173" s="25"/>
      <c r="K1173" s="25"/>
      <c r="L1173" s="25"/>
      <c r="M1173" s="25"/>
      <c r="N1173" s="25"/>
      <c r="O1173" s="25"/>
      <c r="P1173" s="25"/>
      <c r="Q1173" s="25"/>
      <c r="R1173" s="25"/>
      <c r="S1173" s="151"/>
      <c r="T1173" s="151"/>
      <c r="U1173" s="151"/>
      <c r="V1173" s="73"/>
      <c r="W1173" s="28"/>
      <c r="X1173" s="24"/>
    </row>
    <row r="1174" spans="2:24">
      <c r="B1174" s="24"/>
      <c r="C1174" s="47"/>
      <c r="D1174" s="26"/>
      <c r="E1174" s="27"/>
      <c r="F1174" s="25"/>
      <c r="G1174" s="25"/>
      <c r="H1174" s="25"/>
      <c r="I1174" s="25"/>
      <c r="J1174" s="25"/>
      <c r="K1174" s="25"/>
      <c r="L1174" s="25"/>
      <c r="M1174" s="25"/>
      <c r="N1174" s="25"/>
      <c r="O1174" s="25"/>
      <c r="P1174" s="25"/>
      <c r="Q1174" s="25"/>
      <c r="R1174" s="25"/>
      <c r="S1174" s="151"/>
      <c r="T1174" s="151"/>
      <c r="U1174" s="151"/>
      <c r="V1174" s="73"/>
      <c r="W1174" s="28"/>
      <c r="X1174" s="24"/>
    </row>
    <row r="1175" spans="2:24">
      <c r="B1175" s="24"/>
      <c r="C1175" s="47"/>
      <c r="D1175" s="26"/>
      <c r="E1175" s="27"/>
      <c r="F1175" s="25"/>
      <c r="G1175" s="25"/>
      <c r="H1175" s="25"/>
      <c r="I1175" s="25"/>
      <c r="J1175" s="25"/>
      <c r="K1175" s="25"/>
      <c r="L1175" s="25"/>
      <c r="M1175" s="25"/>
      <c r="N1175" s="25"/>
      <c r="O1175" s="25"/>
      <c r="P1175" s="25"/>
      <c r="Q1175" s="25"/>
      <c r="R1175" s="25"/>
      <c r="S1175" s="151"/>
      <c r="T1175" s="151"/>
      <c r="U1175" s="151"/>
      <c r="V1175" s="73"/>
      <c r="W1175" s="28"/>
      <c r="X1175" s="24"/>
    </row>
    <row r="1176" spans="2:24">
      <c r="B1176" s="24"/>
      <c r="C1176" s="47"/>
      <c r="D1176" s="26"/>
      <c r="E1176" s="27"/>
      <c r="F1176" s="25"/>
      <c r="G1176" s="25"/>
      <c r="H1176" s="25"/>
      <c r="I1176" s="25"/>
      <c r="J1176" s="25"/>
      <c r="K1176" s="25"/>
      <c r="L1176" s="25"/>
      <c r="M1176" s="25"/>
      <c r="N1176" s="25"/>
      <c r="O1176" s="25"/>
      <c r="P1176" s="25"/>
      <c r="Q1176" s="25"/>
      <c r="R1176" s="25"/>
      <c r="S1176" s="151"/>
      <c r="T1176" s="151"/>
      <c r="U1176" s="151"/>
      <c r="V1176" s="73"/>
      <c r="W1176" s="28"/>
      <c r="X1176" s="24"/>
    </row>
    <row r="1177" spans="2:24">
      <c r="B1177" s="24"/>
      <c r="C1177" s="47"/>
      <c r="D1177" s="26"/>
      <c r="E1177" s="27"/>
      <c r="F1177" s="25"/>
      <c r="G1177" s="25"/>
      <c r="H1177" s="25"/>
      <c r="I1177" s="25"/>
      <c r="J1177" s="25"/>
      <c r="K1177" s="25"/>
      <c r="L1177" s="25"/>
      <c r="M1177" s="25"/>
      <c r="N1177" s="25"/>
      <c r="O1177" s="25"/>
      <c r="P1177" s="25"/>
      <c r="Q1177" s="25"/>
      <c r="R1177" s="25"/>
      <c r="S1177" s="151"/>
      <c r="T1177" s="151"/>
      <c r="U1177" s="151"/>
      <c r="V1177" s="73"/>
      <c r="W1177" s="28"/>
      <c r="X1177" s="24"/>
    </row>
    <row r="1178" spans="2:24">
      <c r="B1178" s="24"/>
      <c r="C1178" s="47"/>
      <c r="D1178" s="26"/>
      <c r="E1178" s="27"/>
      <c r="F1178" s="25"/>
      <c r="G1178" s="25"/>
      <c r="H1178" s="25"/>
      <c r="I1178" s="25"/>
      <c r="J1178" s="25"/>
      <c r="K1178" s="25"/>
      <c r="L1178" s="25"/>
      <c r="M1178" s="25"/>
      <c r="N1178" s="25"/>
      <c r="O1178" s="25"/>
      <c r="P1178" s="25"/>
      <c r="Q1178" s="25"/>
      <c r="R1178" s="25"/>
      <c r="S1178" s="151"/>
      <c r="T1178" s="151"/>
      <c r="U1178" s="151"/>
      <c r="V1178" s="73"/>
      <c r="W1178" s="28"/>
      <c r="X1178" s="24"/>
    </row>
    <row r="1179" spans="2:24">
      <c r="B1179" s="24"/>
      <c r="C1179" s="47"/>
      <c r="D1179" s="26"/>
      <c r="E1179" s="27"/>
      <c r="F1179" s="25"/>
      <c r="G1179" s="25"/>
      <c r="H1179" s="25"/>
      <c r="I1179" s="25"/>
      <c r="J1179" s="25"/>
      <c r="K1179" s="25"/>
      <c r="L1179" s="25"/>
      <c r="M1179" s="25"/>
      <c r="N1179" s="25"/>
      <c r="O1179" s="25"/>
      <c r="P1179" s="25"/>
      <c r="Q1179" s="25"/>
      <c r="R1179" s="25"/>
      <c r="S1179" s="151"/>
      <c r="T1179" s="151"/>
      <c r="U1179" s="151"/>
      <c r="V1179" s="73"/>
      <c r="W1179" s="28"/>
      <c r="X1179" s="24"/>
    </row>
    <row r="1180" spans="2:24">
      <c r="B1180" s="24"/>
      <c r="C1180" s="47"/>
      <c r="D1180" s="26"/>
      <c r="E1180" s="27"/>
      <c r="F1180" s="25"/>
      <c r="G1180" s="25"/>
      <c r="H1180" s="25"/>
      <c r="I1180" s="25"/>
      <c r="J1180" s="25"/>
      <c r="K1180" s="25"/>
      <c r="L1180" s="25"/>
      <c r="M1180" s="25"/>
      <c r="N1180" s="25"/>
      <c r="O1180" s="25"/>
      <c r="P1180" s="25"/>
      <c r="Q1180" s="25"/>
      <c r="R1180" s="25"/>
      <c r="S1180" s="151"/>
      <c r="T1180" s="151"/>
      <c r="U1180" s="151"/>
      <c r="V1180" s="73"/>
      <c r="W1180" s="28"/>
      <c r="X1180" s="24"/>
    </row>
    <row r="1181" spans="2:24">
      <c r="B1181" s="24"/>
      <c r="C1181" s="47"/>
      <c r="D1181" s="26"/>
      <c r="E1181" s="27"/>
      <c r="F1181" s="25"/>
      <c r="G1181" s="25"/>
      <c r="H1181" s="25"/>
      <c r="I1181" s="25"/>
      <c r="J1181" s="25"/>
      <c r="K1181" s="25"/>
      <c r="L1181" s="25"/>
      <c r="M1181" s="25"/>
      <c r="N1181" s="25"/>
      <c r="O1181" s="25"/>
      <c r="P1181" s="25"/>
      <c r="Q1181" s="25"/>
      <c r="R1181" s="25"/>
      <c r="S1181" s="151"/>
      <c r="T1181" s="151"/>
      <c r="U1181" s="151"/>
      <c r="V1181" s="73"/>
      <c r="W1181" s="28"/>
      <c r="X1181" s="24"/>
    </row>
    <row r="1182" spans="2:24">
      <c r="B1182" s="24"/>
      <c r="C1182" s="47"/>
      <c r="D1182" s="26"/>
      <c r="E1182" s="27"/>
      <c r="F1182" s="25"/>
      <c r="G1182" s="25"/>
      <c r="H1182" s="25"/>
      <c r="I1182" s="25"/>
      <c r="J1182" s="25"/>
      <c r="K1182" s="25"/>
      <c r="L1182" s="25"/>
      <c r="M1182" s="25"/>
      <c r="N1182" s="25"/>
      <c r="O1182" s="25"/>
      <c r="P1182" s="25"/>
      <c r="Q1182" s="25"/>
      <c r="R1182" s="25"/>
      <c r="S1182" s="151"/>
      <c r="T1182" s="151"/>
      <c r="U1182" s="151"/>
      <c r="V1182" s="73"/>
      <c r="W1182" s="28"/>
      <c r="X1182" s="24"/>
    </row>
    <row r="1183" spans="2:24">
      <c r="B1183" s="24"/>
      <c r="C1183" s="47"/>
      <c r="D1183" s="26"/>
      <c r="E1183" s="27"/>
      <c r="F1183" s="25"/>
      <c r="G1183" s="25"/>
      <c r="H1183" s="25"/>
      <c r="I1183" s="25"/>
      <c r="J1183" s="25"/>
      <c r="K1183" s="25"/>
      <c r="L1183" s="25"/>
      <c r="M1183" s="25"/>
      <c r="N1183" s="25"/>
      <c r="O1183" s="25"/>
      <c r="P1183" s="25"/>
      <c r="Q1183" s="25"/>
      <c r="R1183" s="25"/>
      <c r="S1183" s="151"/>
      <c r="T1183" s="151"/>
      <c r="U1183" s="151"/>
      <c r="V1183" s="73"/>
      <c r="W1183" s="28"/>
      <c r="X1183" s="24"/>
    </row>
    <row r="1184" spans="2:24">
      <c r="B1184" s="24"/>
      <c r="C1184" s="47"/>
      <c r="D1184" s="26"/>
      <c r="E1184" s="27"/>
      <c r="F1184" s="25"/>
      <c r="G1184" s="25"/>
      <c r="H1184" s="25"/>
      <c r="I1184" s="25"/>
      <c r="J1184" s="25"/>
      <c r="K1184" s="25"/>
      <c r="L1184" s="25"/>
      <c r="M1184" s="25"/>
      <c r="N1184" s="25"/>
      <c r="O1184" s="25"/>
      <c r="P1184" s="25"/>
      <c r="Q1184" s="25"/>
      <c r="R1184" s="25"/>
      <c r="S1184" s="151"/>
      <c r="T1184" s="151"/>
      <c r="U1184" s="151"/>
      <c r="V1184" s="73"/>
      <c r="W1184" s="28"/>
      <c r="X1184" s="24"/>
    </row>
    <row r="1185" spans="2:24">
      <c r="B1185" s="24"/>
      <c r="C1185" s="47"/>
      <c r="D1185" s="26"/>
      <c r="E1185" s="27"/>
      <c r="F1185" s="25"/>
      <c r="G1185" s="25"/>
      <c r="H1185" s="25"/>
      <c r="I1185" s="25"/>
      <c r="J1185" s="25"/>
      <c r="K1185" s="25"/>
      <c r="L1185" s="25"/>
      <c r="M1185" s="25"/>
      <c r="N1185" s="25"/>
      <c r="O1185" s="25"/>
      <c r="P1185" s="25"/>
      <c r="Q1185" s="25"/>
      <c r="R1185" s="25"/>
      <c r="S1185" s="151"/>
      <c r="T1185" s="151"/>
      <c r="U1185" s="151"/>
      <c r="V1185" s="73"/>
      <c r="W1185" s="28"/>
      <c r="X1185" s="24"/>
    </row>
    <row r="1186" spans="2:24">
      <c r="B1186" s="24"/>
      <c r="C1186" s="47"/>
      <c r="D1186" s="26"/>
      <c r="E1186" s="27"/>
      <c r="F1186" s="25"/>
      <c r="G1186" s="25"/>
      <c r="H1186" s="25"/>
      <c r="I1186" s="25"/>
      <c r="J1186" s="25"/>
      <c r="K1186" s="25"/>
      <c r="L1186" s="25"/>
      <c r="M1186" s="25"/>
      <c r="N1186" s="25"/>
      <c r="O1186" s="25"/>
      <c r="P1186" s="25"/>
      <c r="Q1186" s="25"/>
      <c r="R1186" s="25"/>
      <c r="S1186" s="151"/>
      <c r="T1186" s="151"/>
      <c r="U1186" s="151"/>
      <c r="V1186" s="73"/>
      <c r="W1186" s="28"/>
      <c r="X1186" s="24"/>
    </row>
    <row r="1187" spans="2:24">
      <c r="B1187" s="24"/>
      <c r="C1187" s="47"/>
      <c r="D1187" s="26"/>
      <c r="E1187" s="27"/>
      <c r="F1187" s="25"/>
      <c r="G1187" s="25"/>
      <c r="H1187" s="25"/>
      <c r="I1187" s="25"/>
      <c r="J1187" s="25"/>
      <c r="K1187" s="25"/>
      <c r="L1187" s="25"/>
      <c r="M1187" s="25"/>
      <c r="N1187" s="25"/>
      <c r="O1187" s="25"/>
      <c r="P1187" s="25"/>
      <c r="Q1187" s="25"/>
      <c r="R1187" s="25"/>
      <c r="S1187" s="151"/>
      <c r="T1187" s="151"/>
      <c r="U1187" s="151"/>
      <c r="V1187" s="73"/>
      <c r="W1187" s="28"/>
      <c r="X1187" s="24"/>
    </row>
    <row r="1188" spans="2:24">
      <c r="B1188" s="24"/>
      <c r="C1188" s="47"/>
      <c r="D1188" s="26"/>
      <c r="E1188" s="27"/>
      <c r="F1188" s="25"/>
      <c r="G1188" s="25"/>
      <c r="H1188" s="25"/>
      <c r="I1188" s="25"/>
      <c r="J1188" s="25"/>
      <c r="K1188" s="25"/>
      <c r="L1188" s="25"/>
      <c r="M1188" s="25"/>
      <c r="N1188" s="25"/>
      <c r="O1188" s="25"/>
      <c r="P1188" s="25"/>
      <c r="Q1188" s="25"/>
      <c r="R1188" s="25"/>
      <c r="S1188" s="151"/>
      <c r="T1188" s="151"/>
      <c r="U1188" s="151"/>
      <c r="V1188" s="73"/>
      <c r="W1188" s="28"/>
      <c r="X1188" s="24"/>
    </row>
    <row r="1189" spans="2:24">
      <c r="B1189" s="24"/>
      <c r="C1189" s="47"/>
      <c r="D1189" s="26"/>
      <c r="E1189" s="27"/>
      <c r="F1189" s="25"/>
      <c r="G1189" s="25"/>
      <c r="H1189" s="25"/>
      <c r="I1189" s="25"/>
      <c r="J1189" s="25"/>
      <c r="K1189" s="25"/>
      <c r="L1189" s="25"/>
      <c r="M1189" s="25"/>
      <c r="N1189" s="25"/>
      <c r="O1189" s="25"/>
      <c r="P1189" s="25"/>
      <c r="Q1189" s="25"/>
      <c r="R1189" s="25"/>
      <c r="S1189" s="151"/>
      <c r="T1189" s="151"/>
      <c r="U1189" s="151"/>
      <c r="V1189" s="73"/>
      <c r="W1189" s="28"/>
      <c r="X1189" s="24"/>
    </row>
    <row r="1190" spans="2:24">
      <c r="B1190" s="24"/>
      <c r="C1190" s="47"/>
      <c r="D1190" s="26"/>
      <c r="E1190" s="27"/>
      <c r="F1190" s="25"/>
      <c r="G1190" s="25"/>
      <c r="H1190" s="25"/>
      <c r="I1190" s="25"/>
      <c r="J1190" s="25"/>
      <c r="K1190" s="25"/>
      <c r="L1190" s="25"/>
      <c r="M1190" s="25"/>
      <c r="N1190" s="25"/>
      <c r="O1190" s="25"/>
      <c r="P1190" s="25"/>
      <c r="Q1190" s="25"/>
      <c r="R1190" s="25"/>
      <c r="S1190" s="151"/>
      <c r="T1190" s="151"/>
      <c r="U1190" s="151"/>
      <c r="V1190" s="73"/>
      <c r="W1190" s="28"/>
      <c r="X1190" s="24"/>
    </row>
    <row r="1191" spans="2:24">
      <c r="B1191" s="24"/>
      <c r="C1191" s="47"/>
      <c r="D1191" s="26"/>
      <c r="E1191" s="27"/>
      <c r="F1191" s="25"/>
      <c r="G1191" s="25"/>
      <c r="H1191" s="25"/>
      <c r="I1191" s="25"/>
      <c r="J1191" s="25"/>
      <c r="K1191" s="25"/>
      <c r="L1191" s="25"/>
      <c r="M1191" s="25"/>
      <c r="N1191" s="25"/>
      <c r="O1191" s="25"/>
      <c r="P1191" s="25"/>
      <c r="Q1191" s="25"/>
      <c r="R1191" s="25"/>
      <c r="S1191" s="151"/>
      <c r="T1191" s="151"/>
      <c r="U1191" s="151"/>
      <c r="V1191" s="73"/>
      <c r="W1191" s="28"/>
      <c r="X1191" s="24"/>
    </row>
    <row r="1192" spans="2:24">
      <c r="B1192" s="24"/>
      <c r="C1192" s="47"/>
      <c r="D1192" s="26"/>
      <c r="E1192" s="27"/>
      <c r="F1192" s="25"/>
      <c r="G1192" s="25"/>
      <c r="H1192" s="25"/>
      <c r="I1192" s="25"/>
      <c r="J1192" s="25"/>
      <c r="K1192" s="25"/>
      <c r="L1192" s="25"/>
      <c r="M1192" s="25"/>
      <c r="N1192" s="25"/>
      <c r="O1192" s="25"/>
      <c r="P1192" s="25"/>
      <c r="Q1192" s="25"/>
      <c r="R1192" s="25"/>
      <c r="S1192" s="151"/>
      <c r="T1192" s="151"/>
      <c r="U1192" s="151"/>
      <c r="V1192" s="73"/>
      <c r="W1192" s="28"/>
      <c r="X1192" s="24"/>
    </row>
    <row r="1193" spans="2:24">
      <c r="B1193" s="24"/>
      <c r="C1193" s="47"/>
      <c r="D1193" s="26"/>
      <c r="E1193" s="27"/>
      <c r="F1193" s="25"/>
      <c r="G1193" s="25"/>
      <c r="H1193" s="25"/>
      <c r="I1193" s="25"/>
      <c r="J1193" s="25"/>
      <c r="K1193" s="25"/>
      <c r="L1193" s="25"/>
      <c r="M1193" s="25"/>
      <c r="N1193" s="25"/>
      <c r="O1193" s="25"/>
      <c r="P1193" s="25"/>
      <c r="Q1193" s="25"/>
      <c r="R1193" s="25"/>
      <c r="S1193" s="151"/>
      <c r="T1193" s="151"/>
      <c r="U1193" s="151"/>
      <c r="V1193" s="73"/>
      <c r="W1193" s="28"/>
      <c r="X1193" s="24"/>
    </row>
    <row r="1194" spans="2:24">
      <c r="B1194" s="24"/>
      <c r="C1194" s="47"/>
      <c r="D1194" s="26"/>
      <c r="E1194" s="27"/>
      <c r="F1194" s="25"/>
      <c r="G1194" s="25"/>
      <c r="H1194" s="25"/>
      <c r="I1194" s="25"/>
      <c r="J1194" s="25"/>
      <c r="K1194" s="25"/>
      <c r="L1194" s="25"/>
      <c r="M1194" s="25"/>
      <c r="N1194" s="25"/>
      <c r="O1194" s="25"/>
      <c r="P1194" s="25"/>
      <c r="Q1194" s="25"/>
      <c r="R1194" s="25"/>
      <c r="S1194" s="151"/>
      <c r="T1194" s="151"/>
      <c r="U1194" s="151"/>
      <c r="V1194" s="73"/>
      <c r="W1194" s="28"/>
      <c r="X1194" s="24"/>
    </row>
    <row r="1195" spans="2:24">
      <c r="B1195" s="24"/>
      <c r="C1195" s="47"/>
      <c r="D1195" s="26"/>
      <c r="E1195" s="27"/>
      <c r="F1195" s="25"/>
      <c r="G1195" s="25"/>
      <c r="H1195" s="25"/>
      <c r="I1195" s="25"/>
      <c r="J1195" s="25"/>
      <c r="K1195" s="25"/>
      <c r="L1195" s="25"/>
      <c r="M1195" s="25"/>
      <c r="N1195" s="25"/>
      <c r="O1195" s="25"/>
      <c r="P1195" s="25"/>
      <c r="Q1195" s="25"/>
      <c r="R1195" s="25"/>
      <c r="S1195" s="151"/>
      <c r="T1195" s="151"/>
      <c r="U1195" s="151"/>
      <c r="V1195" s="73"/>
      <c r="W1195" s="28"/>
      <c r="X1195" s="24"/>
    </row>
    <row r="1196" spans="2:24">
      <c r="B1196" s="24"/>
      <c r="C1196" s="47"/>
      <c r="D1196" s="26"/>
      <c r="E1196" s="27"/>
      <c r="F1196" s="25"/>
      <c r="G1196" s="25"/>
      <c r="H1196" s="25"/>
      <c r="I1196" s="25"/>
      <c r="J1196" s="25"/>
      <c r="K1196" s="25"/>
      <c r="L1196" s="25"/>
      <c r="M1196" s="25"/>
      <c r="N1196" s="25"/>
      <c r="O1196" s="25"/>
      <c r="P1196" s="25"/>
      <c r="Q1196" s="25"/>
      <c r="R1196" s="25"/>
      <c r="S1196" s="151"/>
      <c r="T1196" s="151"/>
      <c r="U1196" s="151"/>
      <c r="V1196" s="73"/>
      <c r="W1196" s="28"/>
      <c r="X1196" s="24"/>
    </row>
    <row r="1197" spans="2:24">
      <c r="B1197" s="24"/>
      <c r="C1197" s="47"/>
      <c r="D1197" s="26"/>
      <c r="E1197" s="27"/>
      <c r="F1197" s="25"/>
      <c r="G1197" s="25"/>
      <c r="H1197" s="25"/>
      <c r="I1197" s="25"/>
      <c r="J1197" s="25"/>
      <c r="K1197" s="25"/>
      <c r="L1197" s="25"/>
      <c r="M1197" s="25"/>
      <c r="N1197" s="25"/>
      <c r="O1197" s="25"/>
      <c r="P1197" s="25"/>
      <c r="Q1197" s="25"/>
      <c r="R1197" s="25"/>
      <c r="S1197" s="151"/>
      <c r="T1197" s="151"/>
      <c r="U1197" s="151"/>
      <c r="V1197" s="73"/>
      <c r="W1197" s="28"/>
      <c r="X1197" s="24"/>
    </row>
    <row r="1198" spans="2:24">
      <c r="B1198" s="24"/>
      <c r="C1198" s="47"/>
      <c r="D1198" s="26"/>
      <c r="E1198" s="27"/>
      <c r="F1198" s="25"/>
      <c r="G1198" s="25"/>
      <c r="H1198" s="25"/>
      <c r="I1198" s="25"/>
      <c r="J1198" s="25"/>
      <c r="K1198" s="25"/>
      <c r="L1198" s="25"/>
      <c r="M1198" s="25"/>
      <c r="N1198" s="25"/>
      <c r="O1198" s="25"/>
      <c r="P1198" s="25"/>
      <c r="Q1198" s="25"/>
      <c r="R1198" s="25"/>
      <c r="S1198" s="151"/>
      <c r="T1198" s="151"/>
      <c r="U1198" s="151"/>
      <c r="V1198" s="73"/>
      <c r="W1198" s="28"/>
      <c r="X1198" s="24"/>
    </row>
    <row r="1199" spans="2:24">
      <c r="B1199" s="24"/>
      <c r="C1199" s="47"/>
      <c r="D1199" s="26"/>
      <c r="E1199" s="27"/>
      <c r="F1199" s="25"/>
      <c r="G1199" s="25"/>
      <c r="H1199" s="25"/>
      <c r="I1199" s="25"/>
      <c r="J1199" s="25"/>
      <c r="K1199" s="25"/>
      <c r="L1199" s="25"/>
      <c r="M1199" s="25"/>
      <c r="N1199" s="25"/>
      <c r="O1199" s="25"/>
      <c r="P1199" s="25"/>
      <c r="Q1199" s="25"/>
      <c r="R1199" s="25"/>
      <c r="S1199" s="151"/>
      <c r="T1199" s="151"/>
      <c r="U1199" s="151"/>
      <c r="V1199" s="73"/>
      <c r="W1199" s="28"/>
      <c r="X1199" s="24"/>
    </row>
    <row r="1200" spans="2:24">
      <c r="B1200" s="24"/>
      <c r="C1200" s="47"/>
      <c r="D1200" s="26"/>
      <c r="E1200" s="27"/>
      <c r="F1200" s="25"/>
      <c r="G1200" s="25"/>
      <c r="H1200" s="25"/>
      <c r="I1200" s="25"/>
      <c r="J1200" s="25"/>
      <c r="K1200" s="25"/>
      <c r="L1200" s="25"/>
      <c r="M1200" s="25"/>
      <c r="N1200" s="25"/>
      <c r="O1200" s="25"/>
      <c r="P1200" s="25"/>
      <c r="Q1200" s="25"/>
      <c r="R1200" s="25"/>
      <c r="S1200" s="151"/>
      <c r="T1200" s="151"/>
      <c r="U1200" s="151"/>
      <c r="V1200" s="73"/>
      <c r="W1200" s="28"/>
      <c r="X1200" s="24"/>
    </row>
    <row r="1201" spans="2:24">
      <c r="B1201" s="24"/>
      <c r="C1201" s="47"/>
      <c r="D1201" s="26"/>
      <c r="E1201" s="27"/>
      <c r="F1201" s="25"/>
      <c r="G1201" s="25"/>
      <c r="H1201" s="25"/>
      <c r="I1201" s="25"/>
      <c r="J1201" s="25"/>
      <c r="K1201" s="25"/>
      <c r="L1201" s="25"/>
      <c r="M1201" s="25"/>
      <c r="N1201" s="25"/>
      <c r="O1201" s="25"/>
      <c r="P1201" s="25"/>
      <c r="Q1201" s="25"/>
      <c r="R1201" s="25"/>
      <c r="S1201" s="151"/>
      <c r="T1201" s="151"/>
      <c r="U1201" s="151"/>
      <c r="V1201" s="73"/>
      <c r="W1201" s="28"/>
      <c r="X1201" s="24"/>
    </row>
    <row r="1202" spans="2:24">
      <c r="B1202" s="24"/>
      <c r="C1202" s="47"/>
      <c r="D1202" s="26"/>
      <c r="E1202" s="27"/>
      <c r="F1202" s="25"/>
      <c r="G1202" s="25"/>
      <c r="H1202" s="25"/>
      <c r="I1202" s="25"/>
      <c r="J1202" s="25"/>
      <c r="K1202" s="25"/>
      <c r="L1202" s="25"/>
      <c r="M1202" s="25"/>
      <c r="N1202" s="25"/>
      <c r="O1202" s="25"/>
      <c r="P1202" s="25"/>
      <c r="Q1202" s="25"/>
      <c r="R1202" s="25"/>
      <c r="S1202" s="151"/>
      <c r="T1202" s="151"/>
      <c r="U1202" s="151"/>
      <c r="V1202" s="73"/>
      <c r="W1202" s="28"/>
      <c r="X1202" s="24"/>
    </row>
    <row r="1203" spans="2:24">
      <c r="B1203" s="24"/>
      <c r="C1203" s="47"/>
      <c r="D1203" s="26"/>
      <c r="E1203" s="27"/>
      <c r="F1203" s="25"/>
      <c r="G1203" s="25"/>
      <c r="H1203" s="25"/>
      <c r="I1203" s="25"/>
      <c r="J1203" s="25"/>
      <c r="K1203" s="25"/>
      <c r="L1203" s="25"/>
      <c r="M1203" s="25"/>
      <c r="N1203" s="25"/>
      <c r="O1203" s="25"/>
      <c r="P1203" s="25"/>
      <c r="Q1203" s="25"/>
      <c r="R1203" s="25"/>
      <c r="S1203" s="151"/>
      <c r="T1203" s="151"/>
      <c r="U1203" s="151"/>
      <c r="V1203" s="73"/>
      <c r="W1203" s="28"/>
      <c r="X1203" s="24"/>
    </row>
    <row r="1204" spans="2:24">
      <c r="B1204" s="24"/>
      <c r="C1204" s="47"/>
      <c r="D1204" s="26"/>
      <c r="E1204" s="27"/>
      <c r="F1204" s="25"/>
      <c r="G1204" s="25"/>
      <c r="H1204" s="25"/>
      <c r="I1204" s="25"/>
      <c r="J1204" s="25"/>
      <c r="K1204" s="25"/>
      <c r="L1204" s="25"/>
      <c r="M1204" s="25"/>
      <c r="N1204" s="25"/>
      <c r="O1204" s="25"/>
      <c r="P1204" s="25"/>
      <c r="Q1204" s="25"/>
      <c r="R1204" s="25"/>
      <c r="S1204" s="151"/>
      <c r="T1204" s="151"/>
      <c r="U1204" s="151"/>
      <c r="V1204" s="73"/>
      <c r="W1204" s="28"/>
      <c r="X1204" s="24"/>
    </row>
    <row r="1205" spans="2:24">
      <c r="B1205" s="24"/>
      <c r="C1205" s="47"/>
      <c r="D1205" s="26"/>
      <c r="E1205" s="27"/>
      <c r="F1205" s="25"/>
      <c r="G1205" s="25"/>
      <c r="H1205" s="25"/>
      <c r="I1205" s="25"/>
      <c r="J1205" s="25"/>
      <c r="K1205" s="25"/>
      <c r="L1205" s="25"/>
      <c r="M1205" s="25"/>
      <c r="N1205" s="25"/>
      <c r="O1205" s="25"/>
      <c r="P1205" s="25"/>
      <c r="Q1205" s="25"/>
      <c r="R1205" s="25"/>
      <c r="S1205" s="151"/>
      <c r="T1205" s="151"/>
      <c r="U1205" s="151"/>
      <c r="V1205" s="73"/>
      <c r="W1205" s="28"/>
      <c r="X1205" s="24"/>
    </row>
    <row r="1206" spans="2:24">
      <c r="B1206" s="24"/>
      <c r="C1206" s="47"/>
      <c r="D1206" s="26"/>
      <c r="E1206" s="27"/>
      <c r="F1206" s="25"/>
      <c r="G1206" s="25"/>
      <c r="H1206" s="25"/>
      <c r="I1206" s="25"/>
      <c r="J1206" s="25"/>
      <c r="K1206" s="25"/>
      <c r="L1206" s="25"/>
      <c r="M1206" s="25"/>
      <c r="N1206" s="25"/>
      <c r="O1206" s="25"/>
      <c r="P1206" s="25"/>
      <c r="Q1206" s="25"/>
      <c r="R1206" s="25"/>
      <c r="S1206" s="151"/>
      <c r="T1206" s="151"/>
      <c r="U1206" s="151"/>
      <c r="V1206" s="73"/>
      <c r="W1206" s="28"/>
      <c r="X1206" s="24"/>
    </row>
    <row r="1207" spans="2:24">
      <c r="B1207" s="24"/>
      <c r="C1207" s="47"/>
      <c r="D1207" s="26"/>
      <c r="E1207" s="27"/>
      <c r="F1207" s="25"/>
      <c r="G1207" s="25"/>
      <c r="H1207" s="25"/>
      <c r="I1207" s="25"/>
      <c r="J1207" s="25"/>
      <c r="K1207" s="25"/>
      <c r="L1207" s="25"/>
      <c r="M1207" s="25"/>
      <c r="N1207" s="25"/>
      <c r="O1207" s="25"/>
      <c r="P1207" s="25"/>
      <c r="Q1207" s="25"/>
      <c r="R1207" s="25"/>
      <c r="S1207" s="151"/>
      <c r="T1207" s="151"/>
      <c r="U1207" s="151"/>
      <c r="V1207" s="73"/>
      <c r="W1207" s="28"/>
      <c r="X1207" s="24"/>
    </row>
    <row r="1208" spans="2:24">
      <c r="B1208" s="24"/>
      <c r="C1208" s="47"/>
      <c r="D1208" s="26"/>
      <c r="E1208" s="27"/>
      <c r="F1208" s="25"/>
      <c r="G1208" s="25"/>
      <c r="H1208" s="25"/>
      <c r="I1208" s="25"/>
      <c r="J1208" s="25"/>
      <c r="K1208" s="25"/>
      <c r="L1208" s="25"/>
      <c r="M1208" s="25"/>
      <c r="N1208" s="25"/>
      <c r="O1208" s="25"/>
      <c r="P1208" s="25"/>
      <c r="Q1208" s="25"/>
      <c r="R1208" s="25"/>
      <c r="S1208" s="151"/>
      <c r="T1208" s="151"/>
      <c r="U1208" s="151"/>
      <c r="V1208" s="73"/>
      <c r="W1208" s="28"/>
      <c r="X1208" s="24"/>
    </row>
    <row r="1209" spans="2:24">
      <c r="B1209" s="24"/>
      <c r="C1209" s="47"/>
      <c r="D1209" s="26"/>
      <c r="E1209" s="27"/>
      <c r="F1209" s="25"/>
      <c r="G1209" s="25"/>
      <c r="H1209" s="25"/>
      <c r="I1209" s="25"/>
      <c r="J1209" s="25"/>
      <c r="K1209" s="25"/>
      <c r="L1209" s="25"/>
      <c r="M1209" s="25"/>
      <c r="N1209" s="25"/>
      <c r="O1209" s="25"/>
      <c r="P1209" s="25"/>
      <c r="Q1209" s="25"/>
      <c r="R1209" s="25"/>
      <c r="S1209" s="151"/>
      <c r="T1209" s="151"/>
      <c r="U1209" s="151"/>
      <c r="V1209" s="73"/>
      <c r="W1209" s="28"/>
      <c r="X1209" s="24"/>
    </row>
    <row r="1210" spans="2:24">
      <c r="B1210" s="24"/>
      <c r="C1210" s="47"/>
      <c r="D1210" s="26"/>
      <c r="E1210" s="27"/>
      <c r="F1210" s="25"/>
      <c r="G1210" s="25"/>
      <c r="H1210" s="25"/>
      <c r="I1210" s="25"/>
      <c r="J1210" s="25"/>
      <c r="K1210" s="25"/>
      <c r="L1210" s="25"/>
      <c r="M1210" s="25"/>
      <c r="N1210" s="25"/>
      <c r="O1210" s="25"/>
      <c r="P1210" s="25"/>
      <c r="Q1210" s="25"/>
      <c r="R1210" s="25"/>
      <c r="S1210" s="151"/>
      <c r="T1210" s="151"/>
      <c r="U1210" s="151"/>
      <c r="V1210" s="73"/>
      <c r="W1210" s="28"/>
      <c r="X1210" s="24"/>
    </row>
    <row r="1211" spans="2:24">
      <c r="B1211" s="24"/>
      <c r="C1211" s="47"/>
      <c r="D1211" s="26"/>
      <c r="E1211" s="27"/>
      <c r="F1211" s="25"/>
      <c r="G1211" s="25"/>
      <c r="H1211" s="25"/>
      <c r="I1211" s="25"/>
      <c r="J1211" s="25"/>
      <c r="K1211" s="25"/>
      <c r="L1211" s="25"/>
      <c r="M1211" s="25"/>
      <c r="N1211" s="25"/>
      <c r="O1211" s="25"/>
      <c r="P1211" s="25"/>
      <c r="Q1211" s="25"/>
      <c r="R1211" s="25"/>
      <c r="S1211" s="151"/>
      <c r="T1211" s="151"/>
      <c r="U1211" s="151"/>
      <c r="V1211" s="73"/>
      <c r="W1211" s="28"/>
      <c r="X1211" s="24"/>
    </row>
    <row r="1212" spans="2:24">
      <c r="B1212" s="24"/>
      <c r="C1212" s="47"/>
      <c r="D1212" s="26"/>
      <c r="E1212" s="27"/>
      <c r="F1212" s="25"/>
      <c r="G1212" s="25"/>
      <c r="H1212" s="25"/>
      <c r="I1212" s="25"/>
      <c r="J1212" s="25"/>
      <c r="K1212" s="25"/>
      <c r="L1212" s="25"/>
      <c r="M1212" s="25"/>
      <c r="N1212" s="25"/>
      <c r="O1212" s="25"/>
      <c r="P1212" s="25"/>
      <c r="Q1212" s="25"/>
      <c r="R1212" s="25"/>
      <c r="S1212" s="151"/>
      <c r="T1212" s="151"/>
      <c r="U1212" s="151"/>
      <c r="V1212" s="73"/>
      <c r="W1212" s="28"/>
      <c r="X1212" s="24"/>
    </row>
    <row r="1213" spans="2:24">
      <c r="B1213" s="24"/>
      <c r="C1213" s="47"/>
      <c r="D1213" s="26"/>
      <c r="E1213" s="27"/>
      <c r="F1213" s="25"/>
      <c r="G1213" s="25"/>
      <c r="H1213" s="25"/>
      <c r="I1213" s="25"/>
      <c r="J1213" s="25"/>
      <c r="K1213" s="25"/>
      <c r="L1213" s="25"/>
      <c r="M1213" s="25"/>
      <c r="N1213" s="25"/>
      <c r="O1213" s="25"/>
      <c r="P1213" s="25"/>
      <c r="Q1213" s="25"/>
      <c r="R1213" s="25"/>
      <c r="S1213" s="151"/>
      <c r="T1213" s="151"/>
      <c r="U1213" s="151"/>
      <c r="V1213" s="73"/>
      <c r="W1213" s="28"/>
      <c r="X1213" s="24"/>
    </row>
    <row r="1214" spans="2:24">
      <c r="B1214" s="24"/>
      <c r="C1214" s="47"/>
      <c r="D1214" s="26"/>
      <c r="E1214" s="27"/>
      <c r="F1214" s="25"/>
      <c r="G1214" s="25"/>
      <c r="H1214" s="25"/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151"/>
      <c r="T1214" s="151"/>
      <c r="U1214" s="151"/>
      <c r="V1214" s="73"/>
      <c r="W1214" s="28"/>
      <c r="X1214" s="24"/>
    </row>
    <row r="1215" spans="2:24">
      <c r="B1215" s="24"/>
      <c r="C1215" s="47"/>
      <c r="D1215" s="26"/>
      <c r="E1215" s="27"/>
      <c r="F1215" s="25"/>
      <c r="G1215" s="25"/>
      <c r="H1215" s="25"/>
      <c r="I1215" s="25"/>
      <c r="J1215" s="25"/>
      <c r="K1215" s="25"/>
      <c r="L1215" s="25"/>
      <c r="M1215" s="25"/>
      <c r="N1215" s="25"/>
      <c r="O1215" s="25"/>
      <c r="P1215" s="25"/>
      <c r="Q1215" s="25"/>
      <c r="R1215" s="25"/>
      <c r="S1215" s="151"/>
      <c r="T1215" s="151"/>
      <c r="U1215" s="151"/>
      <c r="V1215" s="73"/>
      <c r="W1215" s="28"/>
      <c r="X1215" s="24"/>
    </row>
    <row r="1216" spans="2:24">
      <c r="B1216" s="24"/>
      <c r="C1216" s="47"/>
      <c r="D1216" s="26"/>
      <c r="E1216" s="27"/>
      <c r="F1216" s="25"/>
      <c r="G1216" s="25"/>
      <c r="H1216" s="25"/>
      <c r="I1216" s="25"/>
      <c r="J1216" s="25"/>
      <c r="K1216" s="25"/>
      <c r="L1216" s="25"/>
      <c r="M1216" s="25"/>
      <c r="N1216" s="25"/>
      <c r="O1216" s="25"/>
      <c r="P1216" s="25"/>
      <c r="Q1216" s="25"/>
      <c r="R1216" s="25"/>
      <c r="S1216" s="151"/>
      <c r="T1216" s="151"/>
      <c r="U1216" s="151"/>
      <c r="V1216" s="73"/>
      <c r="W1216" s="28"/>
      <c r="X1216" s="24"/>
    </row>
    <row r="1217" spans="2:24">
      <c r="B1217" s="24"/>
      <c r="C1217" s="47"/>
      <c r="D1217" s="26"/>
      <c r="E1217" s="27"/>
      <c r="F1217" s="25"/>
      <c r="G1217" s="25"/>
      <c r="H1217" s="25"/>
      <c r="I1217" s="25"/>
      <c r="J1217" s="25"/>
      <c r="K1217" s="25"/>
      <c r="L1217" s="25"/>
      <c r="M1217" s="25"/>
      <c r="N1217" s="25"/>
      <c r="O1217" s="25"/>
      <c r="P1217" s="25"/>
      <c r="Q1217" s="25"/>
      <c r="R1217" s="25"/>
      <c r="S1217" s="151"/>
      <c r="T1217" s="151"/>
      <c r="U1217" s="151"/>
      <c r="V1217" s="73"/>
      <c r="W1217" s="28"/>
      <c r="X1217" s="24"/>
    </row>
    <row r="1218" spans="2:24">
      <c r="B1218" s="24"/>
      <c r="C1218" s="47"/>
      <c r="D1218" s="26"/>
      <c r="E1218" s="27"/>
      <c r="F1218" s="25"/>
      <c r="G1218" s="25"/>
      <c r="H1218" s="25"/>
      <c r="I1218" s="25"/>
      <c r="J1218" s="25"/>
      <c r="K1218" s="25"/>
      <c r="L1218" s="25"/>
      <c r="M1218" s="25"/>
      <c r="N1218" s="25"/>
      <c r="O1218" s="25"/>
      <c r="P1218" s="25"/>
      <c r="Q1218" s="25"/>
      <c r="R1218" s="25"/>
      <c r="S1218" s="151"/>
      <c r="T1218" s="151"/>
      <c r="U1218" s="151"/>
      <c r="V1218" s="73"/>
      <c r="W1218" s="28"/>
      <c r="X1218" s="24"/>
    </row>
    <row r="1219" spans="2:24">
      <c r="B1219" s="24"/>
      <c r="C1219" s="47"/>
      <c r="D1219" s="26"/>
      <c r="E1219" s="27"/>
      <c r="F1219" s="25"/>
      <c r="G1219" s="25"/>
      <c r="H1219" s="25"/>
      <c r="I1219" s="25"/>
      <c r="J1219" s="25"/>
      <c r="K1219" s="25"/>
      <c r="L1219" s="25"/>
      <c r="M1219" s="25"/>
      <c r="N1219" s="25"/>
      <c r="O1219" s="25"/>
      <c r="P1219" s="25"/>
      <c r="Q1219" s="25"/>
      <c r="R1219" s="25"/>
      <c r="S1219" s="151"/>
      <c r="T1219" s="151"/>
      <c r="U1219" s="151"/>
      <c r="V1219" s="73"/>
      <c r="W1219" s="28"/>
      <c r="X1219" s="24"/>
    </row>
    <row r="1220" spans="2:24">
      <c r="B1220" s="24"/>
      <c r="C1220" s="47"/>
      <c r="D1220" s="26"/>
      <c r="E1220" s="27"/>
      <c r="F1220" s="25"/>
      <c r="G1220" s="25"/>
      <c r="H1220" s="25"/>
      <c r="I1220" s="25"/>
      <c r="J1220" s="25"/>
      <c r="K1220" s="25"/>
      <c r="L1220" s="25"/>
      <c r="M1220" s="25"/>
      <c r="N1220" s="25"/>
      <c r="O1220" s="25"/>
      <c r="P1220" s="25"/>
      <c r="Q1220" s="25"/>
      <c r="R1220" s="25"/>
      <c r="S1220" s="151"/>
      <c r="T1220" s="151"/>
      <c r="U1220" s="151"/>
      <c r="V1220" s="73"/>
      <c r="W1220" s="28"/>
      <c r="X1220" s="24"/>
    </row>
    <row r="1221" spans="2:24">
      <c r="B1221" s="24"/>
      <c r="C1221" s="47"/>
      <c r="D1221" s="26"/>
      <c r="E1221" s="27"/>
      <c r="F1221" s="25"/>
      <c r="G1221" s="25"/>
      <c r="H1221" s="25"/>
      <c r="I1221" s="25"/>
      <c r="J1221" s="25"/>
      <c r="K1221" s="25"/>
      <c r="L1221" s="25"/>
      <c r="M1221" s="25"/>
      <c r="N1221" s="25"/>
      <c r="O1221" s="25"/>
      <c r="P1221" s="25"/>
      <c r="Q1221" s="25"/>
      <c r="R1221" s="25"/>
      <c r="S1221" s="151"/>
      <c r="T1221" s="151"/>
      <c r="U1221" s="151"/>
      <c r="V1221" s="73"/>
      <c r="W1221" s="28"/>
      <c r="X1221" s="24"/>
    </row>
    <row r="1222" spans="2:24">
      <c r="B1222" s="24"/>
      <c r="C1222" s="47"/>
      <c r="D1222" s="26"/>
      <c r="E1222" s="27"/>
      <c r="F1222" s="25"/>
      <c r="G1222" s="25"/>
      <c r="H1222" s="25"/>
      <c r="I1222" s="25"/>
      <c r="J1222" s="25"/>
      <c r="K1222" s="25"/>
      <c r="L1222" s="25"/>
      <c r="M1222" s="25"/>
      <c r="N1222" s="25"/>
      <c r="O1222" s="25"/>
      <c r="P1222" s="25"/>
      <c r="Q1222" s="25"/>
      <c r="R1222" s="25"/>
      <c r="S1222" s="151"/>
      <c r="T1222" s="151"/>
      <c r="U1222" s="151"/>
      <c r="V1222" s="73"/>
      <c r="W1222" s="28"/>
      <c r="X1222" s="24"/>
    </row>
    <row r="1223" spans="2:24">
      <c r="B1223" s="24"/>
      <c r="C1223" s="47"/>
      <c r="D1223" s="26"/>
      <c r="E1223" s="27"/>
      <c r="F1223" s="25"/>
      <c r="G1223" s="25"/>
      <c r="H1223" s="25"/>
      <c r="I1223" s="25"/>
      <c r="J1223" s="25"/>
      <c r="K1223" s="25"/>
      <c r="L1223" s="25"/>
      <c r="M1223" s="25"/>
      <c r="N1223" s="25"/>
      <c r="O1223" s="25"/>
      <c r="P1223" s="25"/>
      <c r="Q1223" s="25"/>
      <c r="R1223" s="25"/>
      <c r="S1223" s="151"/>
      <c r="T1223" s="151"/>
      <c r="U1223" s="151"/>
      <c r="V1223" s="73"/>
      <c r="W1223" s="28"/>
      <c r="X1223" s="24"/>
    </row>
    <row r="1224" spans="2:24">
      <c r="B1224" s="24"/>
      <c r="C1224" s="47"/>
      <c r="D1224" s="26"/>
      <c r="E1224" s="27"/>
      <c r="F1224" s="25"/>
      <c r="G1224" s="25"/>
      <c r="H1224" s="25"/>
      <c r="I1224" s="25"/>
      <c r="J1224" s="25"/>
      <c r="K1224" s="25"/>
      <c r="L1224" s="25"/>
      <c r="M1224" s="25"/>
      <c r="N1224" s="25"/>
      <c r="O1224" s="25"/>
      <c r="P1224" s="25"/>
      <c r="Q1224" s="25"/>
      <c r="R1224" s="25"/>
      <c r="S1224" s="151"/>
      <c r="T1224" s="151"/>
      <c r="U1224" s="151"/>
      <c r="V1224" s="73"/>
      <c r="W1224" s="28"/>
      <c r="X1224" s="24"/>
    </row>
    <row r="1225" spans="2:24">
      <c r="B1225" s="24"/>
      <c r="C1225" s="47"/>
      <c r="D1225" s="26"/>
      <c r="E1225" s="27"/>
      <c r="F1225" s="25"/>
      <c r="G1225" s="25"/>
      <c r="H1225" s="25"/>
      <c r="I1225" s="25"/>
      <c r="J1225" s="25"/>
      <c r="K1225" s="25"/>
      <c r="L1225" s="25"/>
      <c r="M1225" s="25"/>
      <c r="N1225" s="25"/>
      <c r="O1225" s="25"/>
      <c r="P1225" s="25"/>
      <c r="Q1225" s="25"/>
      <c r="R1225" s="25"/>
      <c r="S1225" s="151"/>
      <c r="T1225" s="151"/>
      <c r="U1225" s="151"/>
      <c r="V1225" s="73"/>
      <c r="W1225" s="28"/>
      <c r="X1225" s="24"/>
    </row>
    <row r="1226" spans="2:24">
      <c r="B1226" s="24"/>
      <c r="C1226" s="47"/>
      <c r="D1226" s="26"/>
      <c r="E1226" s="27"/>
      <c r="F1226" s="25"/>
      <c r="G1226" s="25"/>
      <c r="H1226" s="25"/>
      <c r="I1226" s="25"/>
      <c r="J1226" s="25"/>
      <c r="K1226" s="25"/>
      <c r="L1226" s="25"/>
      <c r="M1226" s="25"/>
      <c r="N1226" s="25"/>
      <c r="O1226" s="25"/>
      <c r="P1226" s="25"/>
      <c r="Q1226" s="25"/>
      <c r="R1226" s="25"/>
      <c r="S1226" s="151"/>
      <c r="T1226" s="151"/>
      <c r="U1226" s="151"/>
      <c r="V1226" s="73"/>
      <c r="W1226" s="28"/>
      <c r="X1226" s="24"/>
    </row>
    <row r="1227" spans="2:24">
      <c r="B1227" s="24"/>
      <c r="C1227" s="47"/>
      <c r="D1227" s="26"/>
      <c r="E1227" s="27"/>
      <c r="F1227" s="25"/>
      <c r="G1227" s="25"/>
      <c r="H1227" s="25"/>
      <c r="I1227" s="25"/>
      <c r="J1227" s="25"/>
      <c r="K1227" s="25"/>
      <c r="L1227" s="25"/>
      <c r="M1227" s="25"/>
      <c r="N1227" s="25"/>
      <c r="O1227" s="25"/>
      <c r="P1227" s="25"/>
      <c r="Q1227" s="25"/>
      <c r="R1227" s="25"/>
      <c r="S1227" s="151"/>
      <c r="T1227" s="151"/>
      <c r="U1227" s="151"/>
      <c r="V1227" s="73"/>
      <c r="W1227" s="28"/>
      <c r="X1227" s="24"/>
    </row>
    <row r="1228" spans="2:24">
      <c r="B1228" s="24"/>
      <c r="C1228" s="47"/>
      <c r="D1228" s="26"/>
      <c r="E1228" s="27"/>
      <c r="F1228" s="25"/>
      <c r="G1228" s="25"/>
      <c r="H1228" s="25"/>
      <c r="I1228" s="25"/>
      <c r="J1228" s="25"/>
      <c r="K1228" s="25"/>
      <c r="L1228" s="25"/>
      <c r="M1228" s="25"/>
      <c r="N1228" s="25"/>
      <c r="O1228" s="25"/>
      <c r="P1228" s="25"/>
      <c r="Q1228" s="25"/>
      <c r="R1228" s="25"/>
      <c r="S1228" s="151"/>
      <c r="T1228" s="151"/>
      <c r="U1228" s="151"/>
      <c r="V1228" s="73"/>
      <c r="W1228" s="28"/>
      <c r="X1228" s="24"/>
    </row>
    <row r="1229" spans="2:24">
      <c r="B1229" s="24"/>
      <c r="C1229" s="47"/>
      <c r="D1229" s="26"/>
      <c r="E1229" s="27"/>
      <c r="F1229" s="25"/>
      <c r="G1229" s="25"/>
      <c r="H1229" s="25"/>
      <c r="I1229" s="25"/>
      <c r="J1229" s="25"/>
      <c r="K1229" s="25"/>
      <c r="L1229" s="25"/>
      <c r="M1229" s="25"/>
      <c r="N1229" s="25"/>
      <c r="O1229" s="25"/>
      <c r="P1229" s="25"/>
      <c r="Q1229" s="25"/>
      <c r="R1229" s="25"/>
      <c r="S1229" s="151"/>
      <c r="T1229" s="151"/>
      <c r="U1229" s="151"/>
      <c r="V1229" s="73"/>
      <c r="W1229" s="28"/>
      <c r="X1229" s="24"/>
    </row>
    <row r="1230" spans="2:24">
      <c r="B1230" s="24"/>
      <c r="C1230" s="47"/>
      <c r="D1230" s="26"/>
      <c r="E1230" s="27"/>
      <c r="F1230" s="25"/>
      <c r="G1230" s="25"/>
      <c r="H1230" s="25"/>
      <c r="I1230" s="25"/>
      <c r="J1230" s="25"/>
      <c r="K1230" s="25"/>
      <c r="L1230" s="25"/>
      <c r="M1230" s="25"/>
      <c r="N1230" s="25"/>
      <c r="O1230" s="25"/>
      <c r="P1230" s="25"/>
      <c r="Q1230" s="25"/>
      <c r="R1230" s="25"/>
      <c r="S1230" s="151"/>
      <c r="T1230" s="151"/>
      <c r="U1230" s="151"/>
      <c r="V1230" s="73"/>
      <c r="W1230" s="28"/>
      <c r="X1230" s="24"/>
    </row>
    <row r="1231" spans="2:24">
      <c r="B1231" s="24"/>
      <c r="C1231" s="47"/>
      <c r="D1231" s="26"/>
      <c r="E1231" s="27"/>
      <c r="F1231" s="25"/>
      <c r="G1231" s="25"/>
      <c r="H1231" s="25"/>
      <c r="I1231" s="25"/>
      <c r="J1231" s="25"/>
      <c r="K1231" s="25"/>
      <c r="L1231" s="25"/>
      <c r="M1231" s="25"/>
      <c r="N1231" s="25"/>
      <c r="O1231" s="25"/>
      <c r="P1231" s="25"/>
      <c r="Q1231" s="25"/>
      <c r="R1231" s="25"/>
      <c r="S1231" s="151"/>
      <c r="T1231" s="151"/>
      <c r="U1231" s="151"/>
      <c r="V1231" s="73"/>
      <c r="W1231" s="28"/>
      <c r="X1231" s="24"/>
    </row>
    <row r="1232" spans="2:24">
      <c r="B1232" s="24"/>
      <c r="C1232" s="47"/>
      <c r="D1232" s="26"/>
      <c r="E1232" s="27"/>
      <c r="F1232" s="25"/>
      <c r="G1232" s="25"/>
      <c r="H1232" s="25"/>
      <c r="I1232" s="25"/>
      <c r="J1232" s="25"/>
      <c r="K1232" s="25"/>
      <c r="L1232" s="25"/>
      <c r="M1232" s="25"/>
      <c r="N1232" s="25"/>
      <c r="O1232" s="25"/>
      <c r="P1232" s="25"/>
      <c r="Q1232" s="25"/>
      <c r="R1232" s="25"/>
      <c r="S1232" s="151"/>
      <c r="T1232" s="151"/>
      <c r="U1232" s="151"/>
      <c r="V1232" s="73"/>
      <c r="W1232" s="28"/>
      <c r="X1232" s="24"/>
    </row>
    <row r="1233" spans="2:24">
      <c r="B1233" s="24"/>
      <c r="C1233" s="47"/>
      <c r="D1233" s="26"/>
      <c r="E1233" s="27"/>
      <c r="F1233" s="25"/>
      <c r="G1233" s="25"/>
      <c r="H1233" s="25"/>
      <c r="I1233" s="25"/>
      <c r="J1233" s="25"/>
      <c r="K1233" s="25"/>
      <c r="L1233" s="25"/>
      <c r="M1233" s="25"/>
      <c r="N1233" s="25"/>
      <c r="O1233" s="25"/>
      <c r="P1233" s="25"/>
      <c r="Q1233" s="25"/>
      <c r="R1233" s="25"/>
      <c r="S1233" s="151"/>
      <c r="T1233" s="151"/>
      <c r="U1233" s="151"/>
      <c r="V1233" s="73"/>
      <c r="W1233" s="28"/>
      <c r="X1233" s="24"/>
    </row>
    <row r="1234" spans="2:24">
      <c r="B1234" s="24"/>
      <c r="C1234" s="47"/>
      <c r="D1234" s="26"/>
      <c r="E1234" s="27"/>
      <c r="F1234" s="25"/>
      <c r="G1234" s="25"/>
      <c r="H1234" s="25"/>
      <c r="I1234" s="25"/>
      <c r="J1234" s="25"/>
      <c r="K1234" s="25"/>
      <c r="L1234" s="25"/>
      <c r="M1234" s="25"/>
      <c r="N1234" s="25"/>
      <c r="O1234" s="25"/>
      <c r="P1234" s="25"/>
      <c r="Q1234" s="25"/>
      <c r="R1234" s="25"/>
      <c r="S1234" s="151"/>
      <c r="T1234" s="151"/>
      <c r="U1234" s="151"/>
      <c r="V1234" s="73"/>
      <c r="W1234" s="28"/>
      <c r="X1234" s="24"/>
    </row>
    <row r="1235" spans="2:24">
      <c r="B1235" s="24"/>
      <c r="C1235" s="47"/>
      <c r="D1235" s="26"/>
      <c r="E1235" s="27"/>
      <c r="F1235" s="25"/>
      <c r="G1235" s="25"/>
      <c r="H1235" s="25"/>
      <c r="I1235" s="25"/>
      <c r="J1235" s="25"/>
      <c r="K1235" s="25"/>
      <c r="L1235" s="25"/>
      <c r="M1235" s="25"/>
      <c r="N1235" s="25"/>
      <c r="O1235" s="25"/>
      <c r="P1235" s="25"/>
      <c r="Q1235" s="25"/>
      <c r="R1235" s="25"/>
      <c r="S1235" s="151"/>
      <c r="T1235" s="151"/>
      <c r="U1235" s="151"/>
      <c r="V1235" s="73"/>
      <c r="W1235" s="28"/>
      <c r="X1235" s="24"/>
    </row>
    <row r="1236" spans="2:24">
      <c r="B1236" s="24"/>
      <c r="C1236" s="47"/>
      <c r="D1236" s="26"/>
      <c r="E1236" s="27"/>
      <c r="F1236" s="25"/>
      <c r="G1236" s="25"/>
      <c r="H1236" s="25"/>
      <c r="I1236" s="25"/>
      <c r="J1236" s="25"/>
      <c r="K1236" s="25"/>
      <c r="L1236" s="25"/>
      <c r="M1236" s="25"/>
      <c r="N1236" s="25"/>
      <c r="O1236" s="25"/>
      <c r="P1236" s="25"/>
      <c r="Q1236" s="25"/>
      <c r="R1236" s="25"/>
      <c r="S1236" s="151"/>
      <c r="T1236" s="151"/>
      <c r="U1236" s="151"/>
      <c r="V1236" s="73"/>
      <c r="W1236" s="28"/>
      <c r="X1236" s="24"/>
    </row>
    <row r="1237" spans="2:24">
      <c r="B1237" s="24"/>
      <c r="C1237" s="47"/>
      <c r="D1237" s="26"/>
      <c r="E1237" s="27"/>
      <c r="F1237" s="25"/>
      <c r="G1237" s="25"/>
      <c r="H1237" s="25"/>
      <c r="I1237" s="25"/>
      <c r="J1237" s="25"/>
      <c r="K1237" s="25"/>
      <c r="L1237" s="25"/>
      <c r="M1237" s="25"/>
      <c r="N1237" s="25"/>
      <c r="O1237" s="25"/>
      <c r="P1237" s="25"/>
      <c r="Q1237" s="25"/>
      <c r="R1237" s="25"/>
      <c r="S1237" s="151"/>
      <c r="T1237" s="151"/>
      <c r="U1237" s="151"/>
      <c r="V1237" s="73"/>
      <c r="W1237" s="28"/>
      <c r="X1237" s="24"/>
    </row>
    <row r="1238" spans="2:24">
      <c r="B1238" s="24"/>
      <c r="C1238" s="47"/>
      <c r="D1238" s="26"/>
      <c r="E1238" s="27"/>
      <c r="F1238" s="25"/>
      <c r="G1238" s="25"/>
      <c r="H1238" s="25"/>
      <c r="I1238" s="25"/>
      <c r="J1238" s="25"/>
      <c r="K1238" s="25"/>
      <c r="L1238" s="25"/>
      <c r="M1238" s="25"/>
      <c r="N1238" s="25"/>
      <c r="O1238" s="25"/>
      <c r="P1238" s="25"/>
      <c r="Q1238" s="25"/>
      <c r="R1238" s="25"/>
      <c r="S1238" s="151"/>
      <c r="T1238" s="151"/>
      <c r="U1238" s="151"/>
      <c r="V1238" s="73"/>
      <c r="W1238" s="28"/>
      <c r="X1238" s="24"/>
    </row>
    <row r="1239" spans="2:24">
      <c r="B1239" s="24"/>
      <c r="C1239" s="47"/>
      <c r="D1239" s="26"/>
      <c r="E1239" s="27"/>
      <c r="F1239" s="25"/>
      <c r="G1239" s="25"/>
      <c r="H1239" s="25"/>
      <c r="I1239" s="25"/>
      <c r="J1239" s="25"/>
      <c r="K1239" s="25"/>
      <c r="L1239" s="25"/>
      <c r="M1239" s="25"/>
      <c r="N1239" s="25"/>
      <c r="O1239" s="25"/>
      <c r="P1239" s="25"/>
      <c r="Q1239" s="25"/>
      <c r="R1239" s="25"/>
      <c r="S1239" s="151"/>
      <c r="T1239" s="151"/>
      <c r="U1239" s="151"/>
      <c r="V1239" s="73"/>
      <c r="W1239" s="28"/>
      <c r="X1239" s="24"/>
    </row>
    <row r="1240" spans="2:24">
      <c r="B1240" s="24"/>
      <c r="C1240" s="47"/>
      <c r="D1240" s="26"/>
      <c r="E1240" s="27"/>
      <c r="F1240" s="25"/>
      <c r="G1240" s="25"/>
      <c r="H1240" s="25"/>
      <c r="I1240" s="25"/>
      <c r="J1240" s="25"/>
      <c r="K1240" s="25"/>
      <c r="L1240" s="25"/>
      <c r="M1240" s="25"/>
      <c r="N1240" s="25"/>
      <c r="O1240" s="25"/>
      <c r="P1240" s="25"/>
      <c r="Q1240" s="25"/>
      <c r="R1240" s="25"/>
      <c r="S1240" s="151"/>
      <c r="T1240" s="151"/>
      <c r="U1240" s="151"/>
      <c r="V1240" s="73"/>
      <c r="W1240" s="28"/>
      <c r="X1240" s="24"/>
    </row>
    <row r="1241" spans="2:24">
      <c r="B1241" s="24"/>
      <c r="C1241" s="47"/>
      <c r="D1241" s="26"/>
      <c r="E1241" s="27"/>
      <c r="F1241" s="25"/>
      <c r="G1241" s="25"/>
      <c r="H1241" s="25"/>
      <c r="I1241" s="25"/>
      <c r="J1241" s="25"/>
      <c r="K1241" s="25"/>
      <c r="L1241" s="25"/>
      <c r="M1241" s="25"/>
      <c r="N1241" s="25"/>
      <c r="O1241" s="25"/>
      <c r="P1241" s="25"/>
      <c r="Q1241" s="25"/>
      <c r="R1241" s="25"/>
      <c r="S1241" s="151"/>
      <c r="T1241" s="151"/>
      <c r="U1241" s="151"/>
      <c r="V1241" s="73"/>
      <c r="W1241" s="28"/>
      <c r="X1241" s="24"/>
    </row>
    <row r="1242" spans="2:24">
      <c r="B1242" s="24"/>
      <c r="C1242" s="47"/>
      <c r="D1242" s="26"/>
      <c r="E1242" s="27"/>
      <c r="F1242" s="25"/>
      <c r="G1242" s="25"/>
      <c r="H1242" s="25"/>
      <c r="I1242" s="25"/>
      <c r="J1242" s="25"/>
      <c r="K1242" s="25"/>
      <c r="L1242" s="25"/>
      <c r="M1242" s="25"/>
      <c r="N1242" s="25"/>
      <c r="O1242" s="25"/>
      <c r="P1242" s="25"/>
      <c r="Q1242" s="25"/>
      <c r="R1242" s="25"/>
      <c r="S1242" s="151"/>
      <c r="T1242" s="151"/>
      <c r="U1242" s="151"/>
      <c r="V1242" s="73"/>
      <c r="W1242" s="28"/>
      <c r="X1242" s="24"/>
    </row>
    <row r="1243" spans="2:24">
      <c r="B1243" s="24"/>
      <c r="C1243" s="47"/>
      <c r="D1243" s="26"/>
      <c r="E1243" s="27"/>
      <c r="F1243" s="25"/>
      <c r="G1243" s="25"/>
      <c r="H1243" s="25"/>
      <c r="I1243" s="25"/>
      <c r="J1243" s="25"/>
      <c r="K1243" s="25"/>
      <c r="L1243" s="25"/>
      <c r="M1243" s="25"/>
      <c r="N1243" s="25"/>
      <c r="O1243" s="25"/>
      <c r="P1243" s="25"/>
      <c r="Q1243" s="25"/>
      <c r="R1243" s="25"/>
      <c r="S1243" s="151"/>
      <c r="T1243" s="151"/>
      <c r="U1243" s="151"/>
      <c r="V1243" s="73"/>
      <c r="W1243" s="28"/>
      <c r="X1243" s="24"/>
    </row>
    <row r="1244" spans="2:24">
      <c r="B1244" s="24"/>
      <c r="C1244" s="47"/>
      <c r="D1244" s="26"/>
      <c r="E1244" s="27"/>
      <c r="F1244" s="25"/>
      <c r="G1244" s="25"/>
      <c r="H1244" s="25"/>
      <c r="I1244" s="25"/>
      <c r="J1244" s="25"/>
      <c r="K1244" s="25"/>
      <c r="L1244" s="25"/>
      <c r="M1244" s="25"/>
      <c r="N1244" s="25"/>
      <c r="O1244" s="25"/>
      <c r="P1244" s="25"/>
      <c r="Q1244" s="25"/>
      <c r="R1244" s="25"/>
      <c r="S1244" s="151"/>
      <c r="T1244" s="151"/>
      <c r="U1244" s="151"/>
      <c r="V1244" s="73"/>
      <c r="W1244" s="28"/>
      <c r="X1244" s="24"/>
    </row>
    <row r="1245" spans="2:24">
      <c r="B1245" s="24"/>
      <c r="C1245" s="47"/>
      <c r="D1245" s="26"/>
      <c r="E1245" s="27"/>
      <c r="F1245" s="25"/>
      <c r="G1245" s="25"/>
      <c r="H1245" s="25"/>
      <c r="I1245" s="25"/>
      <c r="J1245" s="25"/>
      <c r="K1245" s="25"/>
      <c r="L1245" s="25"/>
      <c r="M1245" s="25"/>
      <c r="N1245" s="25"/>
      <c r="O1245" s="25"/>
      <c r="P1245" s="25"/>
      <c r="Q1245" s="25"/>
      <c r="R1245" s="25"/>
      <c r="S1245" s="151"/>
      <c r="T1245" s="151"/>
      <c r="U1245" s="151"/>
      <c r="V1245" s="73"/>
      <c r="W1245" s="28"/>
      <c r="X1245" s="24"/>
    </row>
    <row r="1246" spans="2:24">
      <c r="B1246" s="24"/>
      <c r="C1246" s="47"/>
      <c r="D1246" s="26"/>
      <c r="E1246" s="27"/>
      <c r="F1246" s="25"/>
      <c r="G1246" s="25"/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151"/>
      <c r="T1246" s="151"/>
      <c r="U1246" s="151"/>
      <c r="V1246" s="73"/>
      <c r="W1246" s="28"/>
      <c r="X1246" s="24"/>
    </row>
    <row r="1247" spans="2:24">
      <c r="B1247" s="24"/>
      <c r="C1247" s="47"/>
      <c r="D1247" s="26"/>
      <c r="E1247" s="27"/>
      <c r="F1247" s="25"/>
      <c r="G1247" s="25"/>
      <c r="H1247" s="25"/>
      <c r="I1247" s="25"/>
      <c r="J1247" s="25"/>
      <c r="K1247" s="25"/>
      <c r="L1247" s="25"/>
      <c r="M1247" s="25"/>
      <c r="N1247" s="25"/>
      <c r="O1247" s="25"/>
      <c r="P1247" s="25"/>
      <c r="Q1247" s="25"/>
      <c r="R1247" s="25"/>
      <c r="S1247" s="151"/>
      <c r="T1247" s="151"/>
      <c r="U1247" s="151"/>
      <c r="V1247" s="73"/>
      <c r="W1247" s="28"/>
      <c r="X1247" s="24"/>
    </row>
    <row r="1248" spans="2:24">
      <c r="B1248" s="24"/>
      <c r="C1248" s="47"/>
      <c r="D1248" s="26"/>
      <c r="E1248" s="27"/>
      <c r="F1248" s="25"/>
      <c r="G1248" s="25"/>
      <c r="H1248" s="25"/>
      <c r="I1248" s="25"/>
      <c r="J1248" s="25"/>
      <c r="K1248" s="25"/>
      <c r="L1248" s="25"/>
      <c r="M1248" s="25"/>
      <c r="N1248" s="25"/>
      <c r="O1248" s="25"/>
      <c r="P1248" s="25"/>
      <c r="Q1248" s="25"/>
      <c r="R1248" s="25"/>
      <c r="S1248" s="151"/>
      <c r="T1248" s="151"/>
      <c r="U1248" s="151"/>
      <c r="V1248" s="73"/>
      <c r="W1248" s="28"/>
      <c r="X1248" s="24"/>
    </row>
    <row r="1249" spans="2:24">
      <c r="B1249" s="24"/>
      <c r="C1249" s="47"/>
      <c r="D1249" s="26"/>
      <c r="E1249" s="27"/>
      <c r="F1249" s="25"/>
      <c r="G1249" s="25"/>
      <c r="H1249" s="25"/>
      <c r="I1249" s="25"/>
      <c r="J1249" s="25"/>
      <c r="K1249" s="25"/>
      <c r="L1249" s="25"/>
      <c r="M1249" s="25"/>
      <c r="N1249" s="25"/>
      <c r="O1249" s="25"/>
      <c r="P1249" s="25"/>
      <c r="Q1249" s="25"/>
      <c r="R1249" s="25"/>
      <c r="S1249" s="151"/>
      <c r="T1249" s="151"/>
      <c r="U1249" s="151"/>
      <c r="V1249" s="73"/>
      <c r="W1249" s="28"/>
      <c r="X1249" s="24"/>
    </row>
    <row r="1250" spans="2:24">
      <c r="B1250" s="24"/>
      <c r="C1250" s="47"/>
      <c r="D1250" s="26"/>
      <c r="E1250" s="27"/>
      <c r="F1250" s="25"/>
      <c r="G1250" s="25"/>
      <c r="H1250" s="25"/>
      <c r="I1250" s="25"/>
      <c r="J1250" s="25"/>
      <c r="K1250" s="25"/>
      <c r="L1250" s="25"/>
      <c r="M1250" s="25"/>
      <c r="N1250" s="25"/>
      <c r="O1250" s="25"/>
      <c r="P1250" s="25"/>
      <c r="Q1250" s="25"/>
      <c r="R1250" s="25"/>
      <c r="S1250" s="151"/>
      <c r="T1250" s="151"/>
      <c r="U1250" s="151"/>
      <c r="V1250" s="73"/>
      <c r="W1250" s="28"/>
      <c r="X1250" s="24"/>
    </row>
    <row r="1251" spans="2:24">
      <c r="B1251" s="24"/>
      <c r="C1251" s="47"/>
      <c r="D1251" s="26"/>
      <c r="E1251" s="27"/>
      <c r="F1251" s="25"/>
      <c r="G1251" s="25"/>
      <c r="H1251" s="25"/>
      <c r="I1251" s="25"/>
      <c r="J1251" s="25"/>
      <c r="K1251" s="25"/>
      <c r="L1251" s="25"/>
      <c r="M1251" s="25"/>
      <c r="N1251" s="25"/>
      <c r="O1251" s="25"/>
      <c r="P1251" s="25"/>
      <c r="Q1251" s="25"/>
      <c r="R1251" s="25"/>
      <c r="S1251" s="151"/>
      <c r="T1251" s="151"/>
      <c r="U1251" s="151"/>
      <c r="V1251" s="73"/>
      <c r="W1251" s="28"/>
      <c r="X1251" s="24"/>
    </row>
    <row r="1252" spans="2:24">
      <c r="B1252" s="24"/>
      <c r="C1252" s="47"/>
      <c r="D1252" s="26"/>
      <c r="E1252" s="27"/>
      <c r="F1252" s="25"/>
      <c r="G1252" s="25"/>
      <c r="H1252" s="25"/>
      <c r="I1252" s="25"/>
      <c r="J1252" s="25"/>
      <c r="K1252" s="25"/>
      <c r="L1252" s="25"/>
      <c r="M1252" s="25"/>
      <c r="N1252" s="25"/>
      <c r="O1252" s="25"/>
      <c r="P1252" s="25"/>
      <c r="Q1252" s="25"/>
      <c r="R1252" s="25"/>
      <c r="S1252" s="151"/>
      <c r="T1252" s="151"/>
      <c r="U1252" s="151"/>
      <c r="V1252" s="73"/>
      <c r="W1252" s="28"/>
      <c r="X1252" s="24"/>
    </row>
    <row r="1253" spans="2:24">
      <c r="B1253" s="24"/>
      <c r="C1253" s="47"/>
      <c r="D1253" s="26"/>
      <c r="E1253" s="27"/>
      <c r="F1253" s="25"/>
      <c r="G1253" s="25"/>
      <c r="H1253" s="25"/>
      <c r="I1253" s="25"/>
      <c r="J1253" s="25"/>
      <c r="K1253" s="25"/>
      <c r="L1253" s="25"/>
      <c r="M1253" s="25"/>
      <c r="N1253" s="25"/>
      <c r="O1253" s="25"/>
      <c r="P1253" s="25"/>
      <c r="Q1253" s="25"/>
      <c r="R1253" s="25"/>
      <c r="S1253" s="151"/>
      <c r="T1253" s="151"/>
      <c r="U1253" s="151"/>
      <c r="V1253" s="73"/>
      <c r="W1253" s="28"/>
      <c r="X1253" s="24"/>
    </row>
    <row r="1254" spans="2:24">
      <c r="B1254" s="24"/>
      <c r="C1254" s="47"/>
      <c r="D1254" s="26"/>
      <c r="E1254" s="27"/>
      <c r="F1254" s="25"/>
      <c r="G1254" s="25"/>
      <c r="H1254" s="25"/>
      <c r="I1254" s="25"/>
      <c r="J1254" s="25"/>
      <c r="K1254" s="25"/>
      <c r="L1254" s="25"/>
      <c r="M1254" s="25"/>
      <c r="N1254" s="25"/>
      <c r="O1254" s="25"/>
      <c r="P1254" s="25"/>
      <c r="Q1254" s="25"/>
      <c r="R1254" s="25"/>
      <c r="S1254" s="151"/>
      <c r="T1254" s="151"/>
      <c r="U1254" s="151"/>
      <c r="V1254" s="73"/>
      <c r="W1254" s="28"/>
      <c r="X1254" s="24"/>
    </row>
    <row r="1255" spans="2:24">
      <c r="B1255" s="24"/>
      <c r="C1255" s="47"/>
      <c r="D1255" s="26"/>
      <c r="E1255" s="27"/>
      <c r="F1255" s="25"/>
      <c r="G1255" s="25"/>
      <c r="H1255" s="25"/>
      <c r="I1255" s="25"/>
      <c r="J1255" s="25"/>
      <c r="K1255" s="25"/>
      <c r="L1255" s="25"/>
      <c r="M1255" s="25"/>
      <c r="N1255" s="25"/>
      <c r="O1255" s="25"/>
      <c r="P1255" s="25"/>
      <c r="Q1255" s="25"/>
      <c r="R1255" s="25"/>
      <c r="S1255" s="151"/>
      <c r="T1255" s="151"/>
      <c r="U1255" s="151"/>
      <c r="V1255" s="73"/>
      <c r="W1255" s="28"/>
      <c r="X1255" s="24"/>
    </row>
    <row r="1256" spans="2:24">
      <c r="B1256" s="24"/>
      <c r="C1256" s="47"/>
      <c r="D1256" s="26"/>
      <c r="E1256" s="27"/>
      <c r="F1256" s="25"/>
      <c r="G1256" s="25"/>
      <c r="H1256" s="25"/>
      <c r="I1256" s="25"/>
      <c r="J1256" s="25"/>
      <c r="K1256" s="25"/>
      <c r="L1256" s="25"/>
      <c r="M1256" s="25"/>
      <c r="N1256" s="25"/>
      <c r="O1256" s="25"/>
      <c r="P1256" s="25"/>
      <c r="Q1256" s="25"/>
      <c r="R1256" s="25"/>
      <c r="S1256" s="151"/>
      <c r="T1256" s="151"/>
      <c r="U1256" s="151"/>
      <c r="V1256" s="73"/>
      <c r="W1256" s="28"/>
      <c r="X1256" s="24"/>
    </row>
    <row r="1257" spans="2:24">
      <c r="B1257" s="24"/>
      <c r="C1257" s="47"/>
      <c r="D1257" s="26"/>
      <c r="E1257" s="27"/>
      <c r="F1257" s="25"/>
      <c r="G1257" s="25"/>
      <c r="H1257" s="25"/>
      <c r="I1257" s="25"/>
      <c r="J1257" s="25"/>
      <c r="K1257" s="25"/>
      <c r="L1257" s="25"/>
      <c r="M1257" s="25"/>
      <c r="N1257" s="25"/>
      <c r="O1257" s="25"/>
      <c r="P1257" s="25"/>
      <c r="Q1257" s="25"/>
      <c r="R1257" s="25"/>
      <c r="S1257" s="151"/>
      <c r="T1257" s="151"/>
      <c r="U1257" s="151"/>
      <c r="V1257" s="73"/>
      <c r="W1257" s="28"/>
      <c r="X1257" s="24"/>
    </row>
    <row r="1258" spans="2:24">
      <c r="B1258" s="24"/>
      <c r="C1258" s="47"/>
      <c r="D1258" s="26"/>
      <c r="E1258" s="27"/>
      <c r="F1258" s="25"/>
      <c r="G1258" s="25"/>
      <c r="H1258" s="25"/>
      <c r="I1258" s="25"/>
      <c r="J1258" s="25"/>
      <c r="K1258" s="25"/>
      <c r="L1258" s="25"/>
      <c r="M1258" s="25"/>
      <c r="N1258" s="25"/>
      <c r="O1258" s="25"/>
      <c r="P1258" s="25"/>
      <c r="Q1258" s="25"/>
      <c r="R1258" s="25"/>
      <c r="S1258" s="151"/>
      <c r="T1258" s="151"/>
      <c r="U1258" s="151"/>
      <c r="V1258" s="73"/>
      <c r="W1258" s="28"/>
      <c r="X1258" s="24"/>
    </row>
    <row r="1259" spans="2:24">
      <c r="B1259" s="24"/>
      <c r="C1259" s="47"/>
      <c r="D1259" s="26"/>
      <c r="E1259" s="27"/>
      <c r="F1259" s="25"/>
      <c r="G1259" s="25"/>
      <c r="H1259" s="25"/>
      <c r="I1259" s="25"/>
      <c r="J1259" s="25"/>
      <c r="K1259" s="25"/>
      <c r="L1259" s="25"/>
      <c r="M1259" s="25"/>
      <c r="N1259" s="25"/>
      <c r="O1259" s="25"/>
      <c r="P1259" s="25"/>
      <c r="Q1259" s="25"/>
      <c r="R1259" s="25"/>
      <c r="S1259" s="151"/>
      <c r="T1259" s="151"/>
      <c r="U1259" s="151"/>
      <c r="V1259" s="73"/>
      <c r="W1259" s="28"/>
      <c r="X1259" s="24"/>
    </row>
    <row r="1260" spans="2:24">
      <c r="B1260" s="24"/>
      <c r="C1260" s="47"/>
      <c r="D1260" s="26"/>
      <c r="E1260" s="27"/>
      <c r="F1260" s="25"/>
      <c r="G1260" s="25"/>
      <c r="H1260" s="25"/>
      <c r="I1260" s="25"/>
      <c r="J1260" s="25"/>
      <c r="K1260" s="25"/>
      <c r="L1260" s="25"/>
      <c r="M1260" s="25"/>
      <c r="N1260" s="25"/>
      <c r="O1260" s="25"/>
      <c r="P1260" s="25"/>
      <c r="Q1260" s="25"/>
      <c r="R1260" s="25"/>
      <c r="S1260" s="151"/>
      <c r="T1260" s="151"/>
      <c r="U1260" s="151"/>
      <c r="V1260" s="73"/>
      <c r="W1260" s="28"/>
      <c r="X1260" s="24"/>
    </row>
    <row r="1261" spans="2:24">
      <c r="B1261" s="24"/>
      <c r="C1261" s="47"/>
      <c r="D1261" s="26"/>
      <c r="E1261" s="27"/>
      <c r="F1261" s="25"/>
      <c r="G1261" s="25"/>
      <c r="H1261" s="25"/>
      <c r="I1261" s="191"/>
      <c r="J1261" s="25"/>
      <c r="K1261" s="25"/>
      <c r="L1261" s="25"/>
      <c r="M1261" s="25"/>
      <c r="N1261" s="25"/>
      <c r="O1261" s="25"/>
      <c r="P1261" s="25"/>
      <c r="Q1261" s="25"/>
      <c r="R1261" s="25"/>
      <c r="S1261" s="151"/>
      <c r="T1261" s="151"/>
      <c r="U1261" s="151"/>
      <c r="V1261" s="73"/>
      <c r="W1261" s="28"/>
      <c r="X1261" s="24"/>
    </row>
    <row r="1262" spans="2:24">
      <c r="B1262" s="24"/>
      <c r="C1262" s="47"/>
      <c r="D1262" s="26"/>
      <c r="E1262" s="27"/>
      <c r="F1262" s="25"/>
      <c r="G1262" s="25"/>
      <c r="H1262" s="25"/>
      <c r="I1262" s="25"/>
      <c r="J1262" s="25"/>
      <c r="K1262" s="25"/>
      <c r="L1262" s="25"/>
      <c r="M1262" s="25"/>
      <c r="N1262" s="25"/>
      <c r="O1262" s="25"/>
      <c r="P1262" s="25"/>
      <c r="Q1262" s="25"/>
      <c r="R1262" s="25"/>
      <c r="S1262" s="151"/>
      <c r="T1262" s="151"/>
      <c r="U1262" s="151"/>
      <c r="V1262" s="73"/>
      <c r="W1262" s="28"/>
      <c r="X1262" s="24"/>
    </row>
    <row r="1263" spans="2:24">
      <c r="B1263" s="24"/>
      <c r="C1263" s="47"/>
      <c r="D1263" s="26"/>
      <c r="E1263" s="27"/>
      <c r="F1263" s="25"/>
      <c r="G1263" s="25"/>
      <c r="H1263" s="25"/>
      <c r="I1263" s="25"/>
      <c r="J1263" s="25"/>
      <c r="K1263" s="25"/>
      <c r="L1263" s="25"/>
      <c r="M1263" s="25"/>
      <c r="N1263" s="25"/>
      <c r="O1263" s="25"/>
      <c r="P1263" s="25"/>
      <c r="Q1263" s="25"/>
      <c r="R1263" s="25"/>
      <c r="S1263" s="151"/>
      <c r="T1263" s="151"/>
      <c r="U1263" s="151"/>
      <c r="V1263" s="73"/>
      <c r="W1263" s="28"/>
      <c r="X1263" s="24"/>
    </row>
    <row r="1264" spans="2:24">
      <c r="B1264" s="24"/>
      <c r="C1264" s="47"/>
      <c r="D1264" s="26"/>
      <c r="E1264" s="27"/>
      <c r="F1264" s="25"/>
      <c r="G1264" s="25"/>
      <c r="H1264" s="25"/>
      <c r="I1264" s="25"/>
      <c r="J1264" s="25"/>
      <c r="K1264" s="25"/>
      <c r="L1264" s="25"/>
      <c r="M1264" s="25"/>
      <c r="N1264" s="25"/>
      <c r="O1264" s="25"/>
      <c r="P1264" s="25"/>
      <c r="Q1264" s="25"/>
      <c r="R1264" s="25"/>
      <c r="S1264" s="151"/>
      <c r="T1264" s="151"/>
      <c r="U1264" s="151"/>
      <c r="V1264" s="73"/>
      <c r="W1264" s="28"/>
      <c r="X1264" s="24"/>
    </row>
    <row r="1265" spans="2:24">
      <c r="B1265" s="24"/>
      <c r="C1265" s="47"/>
      <c r="D1265" s="26"/>
      <c r="E1265" s="27"/>
      <c r="F1265" s="25"/>
      <c r="G1265" s="25"/>
      <c r="H1265" s="25"/>
      <c r="I1265" s="25"/>
      <c r="J1265" s="25"/>
      <c r="K1265" s="25"/>
      <c r="L1265" s="25"/>
      <c r="M1265" s="25"/>
      <c r="N1265" s="25"/>
      <c r="O1265" s="25"/>
      <c r="P1265" s="25"/>
      <c r="Q1265" s="25"/>
      <c r="R1265" s="25"/>
      <c r="S1265" s="151"/>
      <c r="T1265" s="151"/>
      <c r="U1265" s="151"/>
      <c r="V1265" s="73"/>
      <c r="W1265" s="28"/>
      <c r="X1265" s="24"/>
    </row>
    <row r="1266" spans="2:24">
      <c r="B1266" s="24"/>
      <c r="C1266" s="47"/>
      <c r="D1266" s="26"/>
      <c r="E1266" s="27"/>
      <c r="F1266" s="25"/>
      <c r="G1266" s="25"/>
      <c r="H1266" s="25"/>
      <c r="I1266" s="25"/>
      <c r="J1266" s="25"/>
      <c r="K1266" s="25"/>
      <c r="L1266" s="25"/>
      <c r="M1266" s="25"/>
      <c r="N1266" s="25"/>
      <c r="O1266" s="25"/>
      <c r="P1266" s="25"/>
      <c r="Q1266" s="25"/>
      <c r="R1266" s="25"/>
      <c r="S1266" s="151"/>
      <c r="T1266" s="151"/>
      <c r="U1266" s="151"/>
      <c r="V1266" s="73"/>
      <c r="W1266" s="28"/>
      <c r="X1266" s="24"/>
    </row>
    <row r="1267" spans="2:24">
      <c r="B1267" s="24"/>
      <c r="C1267" s="47"/>
      <c r="D1267" s="26"/>
      <c r="E1267" s="27"/>
      <c r="F1267" s="25"/>
      <c r="G1267" s="25"/>
      <c r="H1267" s="25"/>
      <c r="I1267" s="25"/>
      <c r="J1267" s="25"/>
      <c r="K1267" s="25"/>
      <c r="L1267" s="25"/>
      <c r="M1267" s="25"/>
      <c r="N1267" s="25"/>
      <c r="O1267" s="25"/>
      <c r="P1267" s="25"/>
      <c r="Q1267" s="25"/>
      <c r="R1267" s="25"/>
      <c r="S1267" s="151"/>
      <c r="T1267" s="151"/>
      <c r="U1267" s="151"/>
      <c r="V1267" s="73"/>
      <c r="W1267" s="28"/>
      <c r="X1267" s="24"/>
    </row>
    <row r="1268" spans="2:24">
      <c r="B1268" s="24"/>
      <c r="C1268" s="47"/>
      <c r="D1268" s="26"/>
      <c r="E1268" s="27"/>
      <c r="F1268" s="25"/>
      <c r="G1268" s="25"/>
      <c r="H1268" s="25"/>
      <c r="I1268" s="25"/>
      <c r="J1268" s="25"/>
      <c r="K1268" s="25"/>
      <c r="L1268" s="25"/>
      <c r="M1268" s="25"/>
      <c r="N1268" s="25"/>
      <c r="O1268" s="25"/>
      <c r="P1268" s="25"/>
      <c r="Q1268" s="25"/>
      <c r="R1268" s="25"/>
      <c r="S1268" s="151"/>
      <c r="T1268" s="151"/>
      <c r="U1268" s="151"/>
      <c r="V1268" s="73"/>
      <c r="W1268" s="28"/>
      <c r="X1268" s="24"/>
    </row>
    <row r="1269" spans="2:24">
      <c r="B1269" s="24"/>
      <c r="C1269" s="47"/>
      <c r="D1269" s="26"/>
      <c r="E1269" s="27"/>
      <c r="F1269" s="25"/>
      <c r="G1269" s="25"/>
      <c r="H1269" s="25"/>
      <c r="I1269" s="25"/>
      <c r="J1269" s="25"/>
      <c r="K1269" s="25"/>
      <c r="L1269" s="25"/>
      <c r="M1269" s="25"/>
      <c r="N1269" s="25"/>
      <c r="O1269" s="25"/>
      <c r="P1269" s="25"/>
      <c r="Q1269" s="25"/>
      <c r="R1269" s="25"/>
      <c r="S1269" s="151"/>
      <c r="T1269" s="151"/>
      <c r="U1269" s="151"/>
      <c r="V1269" s="73"/>
      <c r="W1269" s="28"/>
      <c r="X1269" s="24"/>
    </row>
    <row r="1270" spans="2:24">
      <c r="B1270" s="24"/>
      <c r="C1270" s="47"/>
      <c r="D1270" s="26"/>
      <c r="E1270" s="27"/>
      <c r="F1270" s="25"/>
      <c r="G1270" s="25"/>
      <c r="H1270" s="25"/>
      <c r="I1270" s="25"/>
      <c r="J1270" s="25"/>
      <c r="K1270" s="25"/>
      <c r="L1270" s="25"/>
      <c r="M1270" s="25"/>
      <c r="N1270" s="25"/>
      <c r="O1270" s="25"/>
      <c r="P1270" s="25"/>
      <c r="Q1270" s="25"/>
      <c r="R1270" s="25"/>
      <c r="S1270" s="151"/>
      <c r="T1270" s="151"/>
      <c r="U1270" s="151"/>
      <c r="V1270" s="73"/>
      <c r="W1270" s="28"/>
      <c r="X1270" s="24"/>
    </row>
    <row r="1271" spans="2:24">
      <c r="B1271" s="24"/>
      <c r="C1271" s="47"/>
      <c r="D1271" s="26"/>
      <c r="E1271" s="27"/>
      <c r="F1271" s="25"/>
      <c r="G1271" s="25"/>
      <c r="H1271" s="25"/>
      <c r="I1271" s="25"/>
      <c r="J1271" s="25"/>
      <c r="K1271" s="25"/>
      <c r="L1271" s="25"/>
      <c r="M1271" s="25"/>
      <c r="N1271" s="25"/>
      <c r="O1271" s="25"/>
      <c r="P1271" s="25"/>
      <c r="Q1271" s="25"/>
      <c r="R1271" s="25"/>
      <c r="S1271" s="151"/>
      <c r="T1271" s="151"/>
      <c r="U1271" s="151"/>
      <c r="V1271" s="73"/>
      <c r="W1271" s="28"/>
      <c r="X1271" s="24"/>
    </row>
    <row r="1272" spans="2:24">
      <c r="B1272" s="24"/>
      <c r="C1272" s="47"/>
      <c r="D1272" s="26"/>
      <c r="E1272" s="27"/>
      <c r="F1272" s="25"/>
      <c r="G1272" s="25"/>
      <c r="H1272" s="25"/>
      <c r="I1272" s="25"/>
      <c r="J1272" s="25"/>
      <c r="K1272" s="25"/>
      <c r="L1272" s="25"/>
      <c r="M1272" s="25"/>
      <c r="N1272" s="25"/>
      <c r="O1272" s="25"/>
      <c r="P1272" s="25"/>
      <c r="Q1272" s="25"/>
      <c r="R1272" s="25"/>
      <c r="S1272" s="151"/>
      <c r="T1272" s="151"/>
      <c r="U1272" s="151"/>
      <c r="V1272" s="73"/>
      <c r="W1272" s="28"/>
      <c r="X1272" s="24"/>
    </row>
    <row r="1273" spans="2:24">
      <c r="B1273" s="24"/>
      <c r="C1273" s="47"/>
      <c r="D1273" s="26"/>
      <c r="E1273" s="27"/>
      <c r="F1273" s="25"/>
      <c r="G1273" s="25"/>
      <c r="H1273" s="25"/>
      <c r="I1273" s="25"/>
      <c r="J1273" s="25"/>
      <c r="K1273" s="25"/>
      <c r="L1273" s="25"/>
      <c r="M1273" s="25"/>
      <c r="N1273" s="25"/>
      <c r="O1273" s="25"/>
      <c r="P1273" s="25"/>
      <c r="Q1273" s="25"/>
      <c r="R1273" s="25"/>
      <c r="S1273" s="151"/>
      <c r="T1273" s="151"/>
      <c r="U1273" s="151"/>
      <c r="V1273" s="73"/>
      <c r="W1273" s="28"/>
      <c r="X1273" s="24"/>
    </row>
    <row r="1274" spans="2:24">
      <c r="B1274" s="24"/>
      <c r="C1274" s="47"/>
      <c r="D1274" s="26"/>
      <c r="E1274" s="27"/>
      <c r="F1274" s="25"/>
      <c r="G1274" s="25"/>
      <c r="H1274" s="25"/>
      <c r="I1274" s="25"/>
      <c r="J1274" s="25"/>
      <c r="K1274" s="25"/>
      <c r="L1274" s="25"/>
      <c r="M1274" s="25"/>
      <c r="N1274" s="25"/>
      <c r="O1274" s="25"/>
      <c r="P1274" s="25"/>
      <c r="Q1274" s="25"/>
      <c r="R1274" s="25"/>
      <c r="S1274" s="151"/>
      <c r="T1274" s="151"/>
      <c r="U1274" s="151"/>
      <c r="V1274" s="73"/>
      <c r="W1274" s="28"/>
      <c r="X1274" s="24"/>
    </row>
    <row r="1275" spans="2:24">
      <c r="B1275" s="24"/>
      <c r="C1275" s="47"/>
      <c r="D1275" s="26"/>
      <c r="E1275" s="27"/>
      <c r="F1275" s="25"/>
      <c r="G1275" s="25"/>
      <c r="H1275" s="25"/>
      <c r="I1275" s="25"/>
      <c r="J1275" s="25"/>
      <c r="K1275" s="25"/>
      <c r="L1275" s="25"/>
      <c r="M1275" s="25"/>
      <c r="N1275" s="25"/>
      <c r="O1275" s="25"/>
      <c r="P1275" s="25"/>
      <c r="Q1275" s="25"/>
      <c r="R1275" s="25"/>
      <c r="S1275" s="151"/>
      <c r="T1275" s="151"/>
      <c r="U1275" s="151"/>
      <c r="V1275" s="73"/>
      <c r="W1275" s="28"/>
      <c r="X1275" s="24"/>
    </row>
    <row r="1276" spans="2:24">
      <c r="B1276" s="24"/>
      <c r="C1276" s="47"/>
      <c r="D1276" s="26"/>
      <c r="E1276" s="27"/>
      <c r="F1276" s="25"/>
      <c r="G1276" s="25"/>
      <c r="H1276" s="25"/>
      <c r="I1276" s="25"/>
      <c r="J1276" s="25"/>
      <c r="K1276" s="25"/>
      <c r="L1276" s="25"/>
      <c r="M1276" s="25"/>
      <c r="N1276" s="25"/>
      <c r="O1276" s="25"/>
      <c r="P1276" s="25"/>
      <c r="Q1276" s="25"/>
      <c r="R1276" s="25"/>
      <c r="S1276" s="151"/>
      <c r="T1276" s="151"/>
      <c r="U1276" s="151"/>
      <c r="V1276" s="73"/>
      <c r="W1276" s="28"/>
      <c r="X1276" s="24"/>
    </row>
    <row r="1277" spans="2:24">
      <c r="B1277" s="24"/>
      <c r="C1277" s="47"/>
      <c r="D1277" s="26"/>
      <c r="E1277" s="27"/>
      <c r="F1277" s="25"/>
      <c r="G1277" s="25"/>
      <c r="H1277" s="25"/>
      <c r="I1277" s="25"/>
      <c r="J1277" s="25"/>
      <c r="K1277" s="25"/>
      <c r="L1277" s="25"/>
      <c r="M1277" s="25"/>
      <c r="N1277" s="25"/>
      <c r="O1277" s="25"/>
      <c r="P1277" s="25"/>
      <c r="Q1277" s="25"/>
      <c r="R1277" s="25"/>
      <c r="S1277" s="151"/>
      <c r="T1277" s="151"/>
      <c r="U1277" s="151"/>
      <c r="V1277" s="73"/>
      <c r="W1277" s="28"/>
      <c r="X1277" s="24"/>
    </row>
    <row r="1278" spans="2:24">
      <c r="B1278" s="24"/>
      <c r="C1278" s="47"/>
      <c r="D1278" s="26"/>
      <c r="E1278" s="27"/>
      <c r="F1278" s="25"/>
      <c r="G1278" s="25"/>
      <c r="H1278" s="25"/>
      <c r="I1278" s="25"/>
      <c r="J1278" s="25"/>
      <c r="K1278" s="25"/>
      <c r="L1278" s="25"/>
      <c r="M1278" s="25"/>
      <c r="N1278" s="25"/>
      <c r="O1278" s="25"/>
      <c r="P1278" s="25"/>
      <c r="Q1278" s="25"/>
      <c r="R1278" s="25"/>
      <c r="S1278" s="151"/>
      <c r="T1278" s="151"/>
      <c r="U1278" s="151"/>
      <c r="V1278" s="73"/>
      <c r="W1278" s="28"/>
      <c r="X1278" s="24"/>
    </row>
    <row r="1279" spans="2:24">
      <c r="B1279" s="24"/>
      <c r="C1279" s="47"/>
      <c r="D1279" s="26"/>
      <c r="E1279" s="27"/>
      <c r="F1279" s="25"/>
      <c r="G1279" s="25"/>
      <c r="H1279" s="25"/>
      <c r="I1279" s="25"/>
      <c r="J1279" s="25"/>
      <c r="K1279" s="25"/>
      <c r="L1279" s="25"/>
      <c r="M1279" s="25"/>
      <c r="N1279" s="25"/>
      <c r="O1279" s="25"/>
      <c r="P1279" s="25"/>
      <c r="Q1279" s="25"/>
      <c r="R1279" s="25"/>
      <c r="S1279" s="151"/>
      <c r="T1279" s="151"/>
      <c r="U1279" s="151"/>
      <c r="V1279" s="73"/>
      <c r="W1279" s="28"/>
      <c r="X1279" s="24"/>
    </row>
    <row r="1280" spans="2:24">
      <c r="B1280" s="24"/>
      <c r="C1280" s="47"/>
      <c r="D1280" s="26"/>
      <c r="E1280" s="27"/>
      <c r="F1280" s="25"/>
      <c r="G1280" s="25"/>
      <c r="H1280" s="25"/>
      <c r="I1280" s="25"/>
      <c r="J1280" s="25"/>
      <c r="K1280" s="25"/>
      <c r="L1280" s="25"/>
      <c r="M1280" s="25"/>
      <c r="N1280" s="25"/>
      <c r="O1280" s="25"/>
      <c r="P1280" s="25"/>
      <c r="Q1280" s="25"/>
      <c r="R1280" s="25"/>
      <c r="S1280" s="151"/>
      <c r="T1280" s="151"/>
      <c r="U1280" s="151"/>
      <c r="V1280" s="73"/>
      <c r="W1280" s="28"/>
      <c r="X1280" s="24"/>
    </row>
    <row r="1281" spans="2:24">
      <c r="B1281" s="24"/>
      <c r="C1281" s="47"/>
      <c r="D1281" s="26"/>
      <c r="E1281" s="27"/>
      <c r="F1281" s="25"/>
      <c r="G1281" s="25"/>
      <c r="H1281" s="25"/>
      <c r="I1281" s="25"/>
      <c r="J1281" s="25"/>
      <c r="K1281" s="25"/>
      <c r="L1281" s="25"/>
      <c r="M1281" s="25"/>
      <c r="N1281" s="25"/>
      <c r="O1281" s="25"/>
      <c r="P1281" s="25"/>
      <c r="Q1281" s="25"/>
      <c r="R1281" s="25"/>
      <c r="S1281" s="151"/>
      <c r="T1281" s="151"/>
      <c r="U1281" s="151"/>
      <c r="V1281" s="73"/>
      <c r="W1281" s="28"/>
      <c r="X1281" s="24"/>
    </row>
    <row r="1282" spans="2:24">
      <c r="B1282" s="24"/>
      <c r="C1282" s="47"/>
      <c r="D1282" s="26"/>
      <c r="E1282" s="27"/>
      <c r="F1282" s="25"/>
      <c r="G1282" s="25"/>
      <c r="H1282" s="25"/>
      <c r="I1282" s="25"/>
      <c r="J1282" s="25"/>
      <c r="K1282" s="25"/>
      <c r="L1282" s="25"/>
      <c r="M1282" s="25"/>
      <c r="N1282" s="25"/>
      <c r="O1282" s="25"/>
      <c r="P1282" s="25"/>
      <c r="Q1282" s="25"/>
      <c r="R1282" s="25"/>
      <c r="S1282" s="151"/>
      <c r="T1282" s="151"/>
      <c r="U1282" s="151"/>
      <c r="V1282" s="73"/>
      <c r="W1282" s="28"/>
      <c r="X1282" s="24"/>
    </row>
    <row r="1283" spans="2:24">
      <c r="B1283" s="24"/>
      <c r="C1283" s="47"/>
      <c r="D1283" s="26"/>
      <c r="E1283" s="27"/>
      <c r="F1283" s="25"/>
      <c r="G1283" s="25"/>
      <c r="H1283" s="25"/>
      <c r="I1283" s="25"/>
      <c r="J1283" s="25"/>
      <c r="K1283" s="25"/>
      <c r="L1283" s="25"/>
      <c r="M1283" s="25"/>
      <c r="N1283" s="25"/>
      <c r="O1283" s="25"/>
      <c r="P1283" s="25"/>
      <c r="Q1283" s="25"/>
      <c r="R1283" s="25"/>
      <c r="S1283" s="151"/>
      <c r="T1283" s="151"/>
      <c r="U1283" s="151"/>
      <c r="V1283" s="73"/>
      <c r="W1283" s="28"/>
      <c r="X1283" s="24"/>
    </row>
    <row r="1284" spans="2:24">
      <c r="B1284" s="24"/>
      <c r="C1284" s="47"/>
      <c r="D1284" s="26"/>
      <c r="E1284" s="27"/>
      <c r="F1284" s="25"/>
      <c r="G1284" s="25"/>
      <c r="H1284" s="25"/>
      <c r="I1284" s="25"/>
      <c r="J1284" s="25"/>
      <c r="K1284" s="25"/>
      <c r="L1284" s="25"/>
      <c r="M1284" s="25"/>
      <c r="N1284" s="25"/>
      <c r="O1284" s="25"/>
      <c r="P1284" s="25"/>
      <c r="Q1284" s="25"/>
      <c r="R1284" s="25"/>
      <c r="S1284" s="151"/>
      <c r="T1284" s="151"/>
      <c r="U1284" s="151"/>
      <c r="V1284" s="73"/>
      <c r="W1284" s="28"/>
      <c r="X1284" s="24"/>
    </row>
    <row r="1285" spans="2:24">
      <c r="B1285" s="24"/>
      <c r="C1285" s="47"/>
      <c r="D1285" s="26"/>
      <c r="E1285" s="27"/>
      <c r="F1285" s="25"/>
      <c r="G1285" s="25"/>
      <c r="H1285" s="25"/>
      <c r="I1285" s="25"/>
      <c r="J1285" s="25"/>
      <c r="K1285" s="25"/>
      <c r="L1285" s="25"/>
      <c r="M1285" s="25"/>
      <c r="N1285" s="25"/>
      <c r="O1285" s="25"/>
      <c r="P1285" s="25"/>
      <c r="Q1285" s="25"/>
      <c r="R1285" s="25"/>
      <c r="S1285" s="151"/>
      <c r="T1285" s="151"/>
      <c r="U1285" s="151"/>
      <c r="V1285" s="73"/>
      <c r="W1285" s="28"/>
      <c r="X1285" s="24"/>
    </row>
    <row r="1286" spans="2:24">
      <c r="B1286" s="24"/>
      <c r="C1286" s="47"/>
      <c r="D1286" s="26"/>
      <c r="E1286" s="27"/>
      <c r="F1286" s="25"/>
      <c r="G1286" s="25"/>
      <c r="H1286" s="25"/>
      <c r="I1286" s="25"/>
      <c r="J1286" s="25"/>
      <c r="K1286" s="25"/>
      <c r="L1286" s="25"/>
      <c r="M1286" s="25"/>
      <c r="N1286" s="25"/>
      <c r="O1286" s="25"/>
      <c r="P1286" s="25"/>
      <c r="Q1286" s="25"/>
      <c r="R1286" s="25"/>
      <c r="S1286" s="151"/>
      <c r="T1286" s="151"/>
      <c r="U1286" s="151"/>
      <c r="V1286" s="73"/>
      <c r="W1286" s="28"/>
      <c r="X1286" s="24"/>
    </row>
    <row r="1287" spans="2:24">
      <c r="B1287" s="24"/>
      <c r="C1287" s="47"/>
      <c r="D1287" s="26"/>
      <c r="E1287" s="27"/>
      <c r="F1287" s="25"/>
      <c r="G1287" s="25"/>
      <c r="H1287" s="25"/>
      <c r="I1287" s="25"/>
      <c r="J1287" s="25"/>
      <c r="K1287" s="25"/>
      <c r="L1287" s="25"/>
      <c r="M1287" s="25"/>
      <c r="N1287" s="25"/>
      <c r="O1287" s="25"/>
      <c r="P1287" s="25"/>
      <c r="Q1287" s="25"/>
      <c r="R1287" s="25"/>
      <c r="S1287" s="151"/>
      <c r="T1287" s="151"/>
      <c r="U1287" s="151"/>
      <c r="V1287" s="73"/>
      <c r="W1287" s="28"/>
      <c r="X1287" s="24"/>
    </row>
    <row r="1288" spans="2:24">
      <c r="B1288" s="24"/>
      <c r="C1288" s="47"/>
      <c r="D1288" s="26"/>
      <c r="E1288" s="27"/>
      <c r="F1288" s="25"/>
      <c r="G1288" s="25"/>
      <c r="H1288" s="25"/>
      <c r="I1288" s="25"/>
      <c r="J1288" s="25"/>
      <c r="K1288" s="25"/>
      <c r="L1288" s="25"/>
      <c r="M1288" s="25"/>
      <c r="N1288" s="25"/>
      <c r="O1288" s="25"/>
      <c r="P1288" s="25"/>
      <c r="Q1288" s="25"/>
      <c r="R1288" s="25"/>
      <c r="S1288" s="151"/>
      <c r="T1288" s="151"/>
      <c r="U1288" s="151"/>
      <c r="V1288" s="73"/>
      <c r="W1288" s="28"/>
      <c r="X1288" s="24"/>
    </row>
    <row r="1289" spans="2:24">
      <c r="B1289" s="24"/>
      <c r="C1289" s="47"/>
      <c r="D1289" s="26"/>
      <c r="E1289" s="27"/>
      <c r="F1289" s="25"/>
      <c r="G1289" s="25"/>
      <c r="H1289" s="25"/>
      <c r="I1289" s="25"/>
      <c r="J1289" s="25"/>
      <c r="K1289" s="25"/>
      <c r="L1289" s="25"/>
      <c r="M1289" s="25"/>
      <c r="N1289" s="25"/>
      <c r="O1289" s="25"/>
      <c r="P1289" s="25"/>
      <c r="Q1289" s="25"/>
      <c r="R1289" s="25"/>
      <c r="S1289" s="151"/>
      <c r="T1289" s="151"/>
      <c r="U1289" s="151"/>
      <c r="V1289" s="73"/>
      <c r="W1289" s="28"/>
      <c r="X1289" s="24"/>
    </row>
    <row r="1290" spans="2:24">
      <c r="B1290" s="24"/>
      <c r="C1290" s="47"/>
      <c r="D1290" s="26"/>
      <c r="E1290" s="27"/>
      <c r="F1290" s="25"/>
      <c r="G1290" s="25"/>
      <c r="H1290" s="25"/>
      <c r="I1290" s="25"/>
      <c r="J1290" s="25"/>
      <c r="K1290" s="25"/>
      <c r="L1290" s="25"/>
      <c r="M1290" s="25"/>
      <c r="N1290" s="25"/>
      <c r="O1290" s="25"/>
      <c r="P1290" s="25"/>
      <c r="Q1290" s="25"/>
      <c r="R1290" s="25"/>
      <c r="S1290" s="151"/>
      <c r="T1290" s="151"/>
      <c r="U1290" s="151"/>
      <c r="V1290" s="73"/>
      <c r="W1290" s="28"/>
      <c r="X1290" s="24"/>
    </row>
    <row r="1291" spans="2:24">
      <c r="B1291" s="24"/>
      <c r="C1291" s="47"/>
      <c r="D1291" s="26"/>
      <c r="E1291" s="27"/>
      <c r="F1291" s="25"/>
      <c r="G1291" s="25"/>
      <c r="H1291" s="25"/>
      <c r="I1291" s="25"/>
      <c r="J1291" s="25"/>
      <c r="K1291" s="25"/>
      <c r="L1291" s="25"/>
      <c r="M1291" s="25"/>
      <c r="N1291" s="25"/>
      <c r="O1291" s="25"/>
      <c r="P1291" s="25"/>
      <c r="Q1291" s="25"/>
      <c r="R1291" s="25"/>
      <c r="S1291" s="151"/>
      <c r="T1291" s="151"/>
      <c r="U1291" s="151"/>
      <c r="V1291" s="73"/>
      <c r="W1291" s="28"/>
      <c r="X1291" s="24"/>
    </row>
    <row r="1292" spans="2:24">
      <c r="B1292" s="24"/>
      <c r="C1292" s="47"/>
      <c r="D1292" s="26"/>
      <c r="E1292" s="27"/>
      <c r="F1292" s="25"/>
      <c r="G1292" s="25"/>
      <c r="H1292" s="25"/>
      <c r="I1292" s="25"/>
      <c r="J1292" s="25"/>
      <c r="K1292" s="25"/>
      <c r="L1292" s="25"/>
      <c r="M1292" s="25"/>
      <c r="N1292" s="25"/>
      <c r="O1292" s="25"/>
      <c r="P1292" s="25"/>
      <c r="Q1292" s="25"/>
      <c r="R1292" s="25"/>
      <c r="S1292" s="151"/>
      <c r="T1292" s="151"/>
      <c r="U1292" s="151"/>
      <c r="V1292" s="73"/>
      <c r="W1292" s="28"/>
      <c r="X1292" s="24"/>
    </row>
    <row r="1293" spans="2:24">
      <c r="B1293" s="24"/>
      <c r="C1293" s="47"/>
      <c r="D1293" s="26"/>
      <c r="E1293" s="27"/>
      <c r="F1293" s="25"/>
      <c r="G1293" s="25"/>
      <c r="H1293" s="25"/>
      <c r="I1293" s="25"/>
      <c r="J1293" s="25"/>
      <c r="K1293" s="25"/>
      <c r="L1293" s="25"/>
      <c r="M1293" s="25"/>
      <c r="N1293" s="25"/>
      <c r="O1293" s="25"/>
      <c r="P1293" s="25"/>
      <c r="Q1293" s="25"/>
      <c r="R1293" s="25"/>
      <c r="S1293" s="151"/>
      <c r="T1293" s="151"/>
      <c r="U1293" s="151"/>
      <c r="V1293" s="73"/>
      <c r="W1293" s="28"/>
      <c r="X1293" s="24"/>
    </row>
    <row r="1294" spans="2:24">
      <c r="B1294" s="24"/>
      <c r="C1294" s="47"/>
      <c r="D1294" s="26"/>
      <c r="E1294" s="27"/>
      <c r="F1294" s="25"/>
      <c r="G1294" s="25"/>
      <c r="H1294" s="25"/>
      <c r="I1294" s="25"/>
      <c r="J1294" s="25"/>
      <c r="K1294" s="25"/>
      <c r="L1294" s="25"/>
      <c r="M1294" s="25"/>
      <c r="N1294" s="25"/>
      <c r="O1294" s="25"/>
      <c r="P1294" s="25"/>
      <c r="Q1294" s="25"/>
      <c r="R1294" s="25"/>
      <c r="S1294" s="151"/>
      <c r="T1294" s="151"/>
      <c r="U1294" s="151"/>
      <c r="V1294" s="73"/>
      <c r="W1294" s="28"/>
      <c r="X1294" s="24"/>
    </row>
    <row r="1295" spans="2:24">
      <c r="B1295" s="24"/>
      <c r="C1295" s="47"/>
      <c r="D1295" s="26"/>
      <c r="E1295" s="27"/>
      <c r="F1295" s="25"/>
      <c r="G1295" s="25"/>
      <c r="H1295" s="25"/>
      <c r="I1295" s="25"/>
      <c r="J1295" s="25"/>
      <c r="K1295" s="25"/>
      <c r="L1295" s="25"/>
      <c r="M1295" s="25"/>
      <c r="N1295" s="25"/>
      <c r="O1295" s="25"/>
      <c r="P1295" s="25"/>
      <c r="Q1295" s="25"/>
      <c r="R1295" s="25"/>
      <c r="S1295" s="151"/>
      <c r="T1295" s="151"/>
      <c r="U1295" s="151"/>
      <c r="V1295" s="73"/>
      <c r="W1295" s="28"/>
      <c r="X1295" s="24"/>
    </row>
    <row r="1296" spans="2:24">
      <c r="B1296" s="24"/>
      <c r="C1296" s="47"/>
      <c r="D1296" s="26"/>
      <c r="E1296" s="27"/>
      <c r="F1296" s="25"/>
      <c r="G1296" s="25"/>
      <c r="H1296" s="25"/>
      <c r="I1296" s="25"/>
      <c r="J1296" s="25"/>
      <c r="K1296" s="25"/>
      <c r="L1296" s="25"/>
      <c r="M1296" s="25"/>
      <c r="N1296" s="25"/>
      <c r="O1296" s="25"/>
      <c r="P1296" s="25"/>
      <c r="Q1296" s="25"/>
      <c r="R1296" s="25"/>
      <c r="S1296" s="151"/>
      <c r="T1296" s="151"/>
      <c r="U1296" s="151"/>
      <c r="V1296" s="73"/>
      <c r="W1296" s="28"/>
      <c r="X1296" s="24"/>
    </row>
    <row r="1297" spans="2:24">
      <c r="B1297" s="24"/>
      <c r="C1297" s="47"/>
      <c r="D1297" s="26"/>
      <c r="E1297" s="27"/>
      <c r="F1297" s="25"/>
      <c r="G1297" s="25"/>
      <c r="H1297" s="25"/>
      <c r="I1297" s="25"/>
      <c r="J1297" s="25"/>
      <c r="K1297" s="25"/>
      <c r="L1297" s="25"/>
      <c r="M1297" s="25"/>
      <c r="N1297" s="25"/>
      <c r="O1297" s="25"/>
      <c r="P1297" s="25"/>
      <c r="Q1297" s="25"/>
      <c r="R1297" s="25"/>
      <c r="S1297" s="151"/>
      <c r="T1297" s="151"/>
      <c r="U1297" s="151"/>
      <c r="V1297" s="73"/>
      <c r="W1297" s="28"/>
      <c r="X1297" s="24"/>
    </row>
    <row r="1298" spans="2:24">
      <c r="B1298" s="24"/>
      <c r="C1298" s="47"/>
      <c r="D1298" s="26"/>
      <c r="E1298" s="27"/>
      <c r="F1298" s="25"/>
      <c r="G1298" s="25"/>
      <c r="H1298" s="25"/>
      <c r="I1298" s="25"/>
      <c r="J1298" s="25"/>
      <c r="K1298" s="25"/>
      <c r="L1298" s="25"/>
      <c r="M1298" s="25"/>
      <c r="N1298" s="25"/>
      <c r="O1298" s="25"/>
      <c r="P1298" s="25"/>
      <c r="Q1298" s="25"/>
      <c r="R1298" s="25"/>
      <c r="S1298" s="151"/>
      <c r="T1298" s="151"/>
      <c r="U1298" s="151"/>
      <c r="V1298" s="73"/>
      <c r="W1298" s="28"/>
      <c r="X1298" s="24"/>
    </row>
    <row r="1299" spans="2:24">
      <c r="B1299" s="24"/>
      <c r="C1299" s="47"/>
      <c r="D1299" s="26"/>
      <c r="E1299" s="27"/>
      <c r="F1299" s="25"/>
      <c r="G1299" s="25"/>
      <c r="H1299" s="25"/>
      <c r="I1299" s="25"/>
      <c r="J1299" s="25"/>
      <c r="K1299" s="25"/>
      <c r="L1299" s="25"/>
      <c r="M1299" s="25"/>
      <c r="N1299" s="25"/>
      <c r="O1299" s="25"/>
      <c r="P1299" s="25"/>
      <c r="Q1299" s="25"/>
      <c r="R1299" s="25"/>
      <c r="S1299" s="151"/>
      <c r="T1299" s="151"/>
      <c r="U1299" s="151"/>
      <c r="V1299" s="73"/>
      <c r="W1299" s="28"/>
      <c r="X1299" s="24"/>
    </row>
    <row r="1300" spans="2:24">
      <c r="B1300" s="24"/>
      <c r="C1300" s="47"/>
      <c r="D1300" s="26"/>
      <c r="E1300" s="27"/>
      <c r="F1300" s="25"/>
      <c r="G1300" s="25"/>
      <c r="H1300" s="25"/>
      <c r="I1300" s="25"/>
      <c r="J1300" s="25"/>
      <c r="K1300" s="25"/>
      <c r="L1300" s="25"/>
      <c r="M1300" s="25"/>
      <c r="N1300" s="25"/>
      <c r="O1300" s="25"/>
      <c r="P1300" s="25"/>
      <c r="Q1300" s="25"/>
      <c r="R1300" s="25"/>
      <c r="S1300" s="151"/>
      <c r="T1300" s="151"/>
      <c r="U1300" s="151"/>
      <c r="V1300" s="73"/>
      <c r="W1300" s="28"/>
      <c r="X1300" s="24"/>
    </row>
    <row r="1301" spans="2:24">
      <c r="B1301" s="24"/>
      <c r="C1301" s="47"/>
      <c r="D1301" s="26"/>
      <c r="E1301" s="27"/>
      <c r="F1301" s="25"/>
      <c r="G1301" s="25"/>
      <c r="H1301" s="25"/>
      <c r="I1301" s="25"/>
      <c r="J1301" s="25"/>
      <c r="K1301" s="25"/>
      <c r="L1301" s="25"/>
      <c r="M1301" s="25"/>
      <c r="N1301" s="25"/>
      <c r="O1301" s="25"/>
      <c r="P1301" s="25"/>
      <c r="Q1301" s="25"/>
      <c r="R1301" s="25"/>
      <c r="S1301" s="151"/>
      <c r="T1301" s="151"/>
      <c r="U1301" s="151"/>
      <c r="V1301" s="73"/>
      <c r="W1301" s="28"/>
      <c r="X1301" s="24"/>
    </row>
    <row r="1302" spans="2:24">
      <c r="B1302" s="24"/>
      <c r="C1302" s="47"/>
      <c r="D1302" s="26"/>
      <c r="E1302" s="27"/>
      <c r="F1302" s="25"/>
      <c r="G1302" s="25"/>
      <c r="H1302" s="25"/>
      <c r="I1302" s="25"/>
      <c r="J1302" s="25"/>
      <c r="K1302" s="25"/>
      <c r="L1302" s="25"/>
      <c r="M1302" s="25"/>
      <c r="N1302" s="25"/>
      <c r="O1302" s="25"/>
      <c r="P1302" s="25"/>
      <c r="Q1302" s="25"/>
      <c r="R1302" s="25"/>
      <c r="S1302" s="151"/>
      <c r="T1302" s="151"/>
      <c r="U1302" s="151"/>
      <c r="V1302" s="73"/>
      <c r="W1302" s="28"/>
      <c r="X1302" s="24"/>
    </row>
    <row r="1303" spans="2:24">
      <c r="B1303" s="24"/>
      <c r="C1303" s="47"/>
      <c r="D1303" s="26"/>
      <c r="E1303" s="27"/>
      <c r="F1303" s="25"/>
      <c r="G1303" s="25"/>
      <c r="H1303" s="25"/>
      <c r="I1303" s="25"/>
      <c r="J1303" s="25"/>
      <c r="K1303" s="25"/>
      <c r="L1303" s="25"/>
      <c r="M1303" s="25"/>
      <c r="N1303" s="25"/>
      <c r="O1303" s="25"/>
      <c r="P1303" s="25"/>
      <c r="Q1303" s="25"/>
      <c r="R1303" s="25"/>
      <c r="S1303" s="151"/>
      <c r="T1303" s="151"/>
      <c r="U1303" s="151"/>
      <c r="V1303" s="73"/>
      <c r="W1303" s="28"/>
      <c r="X1303" s="24"/>
    </row>
    <row r="1304" spans="2:24">
      <c r="B1304" s="24"/>
      <c r="C1304" s="47"/>
      <c r="D1304" s="26"/>
      <c r="E1304" s="27"/>
      <c r="F1304" s="25"/>
      <c r="G1304" s="25"/>
      <c r="H1304" s="25"/>
      <c r="I1304" s="25"/>
      <c r="J1304" s="25"/>
      <c r="K1304" s="25"/>
      <c r="L1304" s="25"/>
      <c r="M1304" s="25"/>
      <c r="N1304" s="25"/>
      <c r="O1304" s="25"/>
      <c r="P1304" s="25"/>
      <c r="Q1304" s="25"/>
      <c r="R1304" s="25"/>
      <c r="S1304" s="151"/>
      <c r="T1304" s="151"/>
      <c r="U1304" s="151"/>
      <c r="V1304" s="73"/>
      <c r="W1304" s="28"/>
      <c r="X1304" s="24"/>
    </row>
    <row r="1305" spans="2:24">
      <c r="B1305" s="24"/>
      <c r="C1305" s="47"/>
      <c r="D1305" s="26"/>
      <c r="E1305" s="27"/>
      <c r="F1305" s="25"/>
      <c r="G1305" s="25"/>
      <c r="H1305" s="25"/>
      <c r="I1305" s="25"/>
      <c r="J1305" s="25"/>
      <c r="K1305" s="25"/>
      <c r="L1305" s="25"/>
      <c r="M1305" s="25"/>
      <c r="N1305" s="25"/>
      <c r="O1305" s="25"/>
      <c r="P1305" s="25"/>
      <c r="Q1305" s="25"/>
      <c r="R1305" s="25"/>
      <c r="S1305" s="151"/>
      <c r="T1305" s="151"/>
      <c r="U1305" s="151"/>
      <c r="V1305" s="73"/>
      <c r="W1305" s="28"/>
      <c r="X1305" s="24"/>
    </row>
    <row r="1306" spans="2:24">
      <c r="B1306" s="24"/>
      <c r="C1306" s="47"/>
      <c r="D1306" s="26"/>
      <c r="E1306" s="27"/>
      <c r="F1306" s="25"/>
      <c r="G1306" s="25"/>
      <c r="H1306" s="25"/>
      <c r="I1306" s="25"/>
      <c r="J1306" s="25"/>
      <c r="K1306" s="25"/>
      <c r="L1306" s="25"/>
      <c r="M1306" s="25"/>
      <c r="N1306" s="25"/>
      <c r="O1306" s="25"/>
      <c r="P1306" s="25"/>
      <c r="Q1306" s="25"/>
      <c r="R1306" s="25"/>
      <c r="S1306" s="151"/>
      <c r="T1306" s="151"/>
      <c r="U1306" s="151"/>
      <c r="V1306" s="73"/>
      <c r="W1306" s="28"/>
      <c r="X1306" s="24"/>
    </row>
    <row r="1307" spans="2:24">
      <c r="B1307" s="24"/>
      <c r="C1307" s="47"/>
      <c r="D1307" s="26"/>
      <c r="E1307" s="27"/>
      <c r="F1307" s="25"/>
      <c r="G1307" s="25"/>
      <c r="H1307" s="25"/>
      <c r="I1307" s="25"/>
      <c r="J1307" s="25"/>
      <c r="K1307" s="25"/>
      <c r="L1307" s="25"/>
      <c r="M1307" s="25"/>
      <c r="N1307" s="25"/>
      <c r="O1307" s="25"/>
      <c r="P1307" s="25"/>
      <c r="Q1307" s="25"/>
      <c r="R1307" s="25"/>
      <c r="S1307" s="151"/>
      <c r="T1307" s="151"/>
      <c r="U1307" s="151"/>
      <c r="V1307" s="73"/>
      <c r="W1307" s="28"/>
      <c r="X1307" s="24"/>
    </row>
    <row r="1308" spans="2:24">
      <c r="B1308" s="24"/>
      <c r="C1308" s="47"/>
      <c r="D1308" s="26"/>
      <c r="E1308" s="27"/>
      <c r="F1308" s="25"/>
      <c r="G1308" s="25"/>
      <c r="H1308" s="25"/>
      <c r="I1308" s="25"/>
      <c r="J1308" s="25"/>
      <c r="K1308" s="25"/>
      <c r="L1308" s="25"/>
      <c r="M1308" s="25"/>
      <c r="N1308" s="25"/>
      <c r="O1308" s="25"/>
      <c r="P1308" s="25"/>
      <c r="Q1308" s="25"/>
      <c r="R1308" s="25"/>
      <c r="S1308" s="151"/>
      <c r="T1308" s="151"/>
      <c r="U1308" s="151"/>
      <c r="V1308" s="73"/>
      <c r="W1308" s="28"/>
      <c r="X1308" s="24"/>
    </row>
    <row r="1309" spans="2:24">
      <c r="B1309" s="24"/>
      <c r="C1309" s="47"/>
      <c r="D1309" s="26"/>
      <c r="E1309" s="27"/>
      <c r="F1309" s="25"/>
      <c r="G1309" s="25"/>
      <c r="H1309" s="25"/>
      <c r="I1309" s="25"/>
      <c r="J1309" s="25"/>
      <c r="K1309" s="25"/>
      <c r="L1309" s="25"/>
      <c r="M1309" s="25"/>
      <c r="N1309" s="25"/>
      <c r="O1309" s="25"/>
      <c r="P1309" s="25"/>
      <c r="Q1309" s="25"/>
      <c r="R1309" s="25"/>
      <c r="S1309" s="151"/>
      <c r="T1309" s="151"/>
      <c r="U1309" s="151"/>
      <c r="V1309" s="73"/>
      <c r="W1309" s="28"/>
      <c r="X1309" s="24"/>
    </row>
    <row r="1310" spans="2:24">
      <c r="B1310" s="24"/>
      <c r="C1310" s="47"/>
      <c r="D1310" s="26"/>
      <c r="E1310" s="27"/>
      <c r="F1310" s="25"/>
      <c r="G1310" s="25"/>
      <c r="H1310" s="25"/>
      <c r="I1310" s="25"/>
      <c r="J1310" s="25"/>
      <c r="K1310" s="25"/>
      <c r="L1310" s="25"/>
      <c r="M1310" s="25"/>
      <c r="N1310" s="25"/>
      <c r="O1310" s="25"/>
      <c r="P1310" s="25"/>
      <c r="Q1310" s="25"/>
      <c r="R1310" s="25"/>
      <c r="S1310" s="151"/>
      <c r="T1310" s="151"/>
      <c r="U1310" s="151"/>
      <c r="V1310" s="73"/>
      <c r="W1310" s="28"/>
      <c r="X1310" s="24"/>
    </row>
    <row r="1311" spans="2:24">
      <c r="B1311" s="24"/>
      <c r="C1311" s="47"/>
      <c r="D1311" s="26"/>
      <c r="E1311" s="27"/>
      <c r="F1311" s="25"/>
      <c r="G1311" s="25"/>
      <c r="H1311" s="25"/>
      <c r="I1311" s="25"/>
      <c r="J1311" s="25"/>
      <c r="K1311" s="25"/>
      <c r="L1311" s="25"/>
      <c r="M1311" s="25"/>
      <c r="N1311" s="25"/>
      <c r="O1311" s="25"/>
      <c r="P1311" s="25"/>
      <c r="Q1311" s="25"/>
      <c r="R1311" s="25"/>
      <c r="S1311" s="151"/>
      <c r="T1311" s="151"/>
      <c r="U1311" s="151"/>
      <c r="V1311" s="73"/>
      <c r="W1311" s="28"/>
      <c r="X1311" s="24"/>
    </row>
    <row r="1312" spans="2:24">
      <c r="B1312" s="24"/>
      <c r="C1312" s="47"/>
      <c r="D1312" s="26"/>
      <c r="E1312" s="27"/>
      <c r="F1312" s="25"/>
      <c r="G1312" s="25"/>
      <c r="H1312" s="25"/>
      <c r="I1312" s="25"/>
      <c r="J1312" s="25"/>
      <c r="K1312" s="25"/>
      <c r="L1312" s="25"/>
      <c r="M1312" s="25"/>
      <c r="N1312" s="25"/>
      <c r="O1312" s="25"/>
      <c r="P1312" s="25"/>
      <c r="Q1312" s="25"/>
      <c r="R1312" s="25"/>
      <c r="S1312" s="151"/>
      <c r="T1312" s="151"/>
      <c r="U1312" s="151"/>
      <c r="V1312" s="73"/>
      <c r="W1312" s="28"/>
      <c r="X1312" s="24"/>
    </row>
    <row r="1313" spans="2:24">
      <c r="B1313" s="24"/>
      <c r="C1313" s="47"/>
      <c r="D1313" s="26"/>
      <c r="E1313" s="27"/>
      <c r="F1313" s="25"/>
      <c r="G1313" s="25"/>
      <c r="H1313" s="25"/>
      <c r="I1313" s="25"/>
      <c r="J1313" s="25"/>
      <c r="K1313" s="25"/>
      <c r="L1313" s="25"/>
      <c r="M1313" s="25"/>
      <c r="N1313" s="25"/>
      <c r="O1313" s="25"/>
      <c r="P1313" s="25"/>
      <c r="Q1313" s="25"/>
      <c r="R1313" s="25"/>
      <c r="S1313" s="151"/>
      <c r="T1313" s="151"/>
      <c r="U1313" s="151"/>
      <c r="V1313" s="73"/>
      <c r="W1313" s="28"/>
      <c r="X1313" s="24"/>
    </row>
    <row r="1314" spans="2:24">
      <c r="B1314" s="24"/>
      <c r="C1314" s="47"/>
      <c r="D1314" s="26"/>
      <c r="E1314" s="27"/>
      <c r="F1314" s="25"/>
      <c r="G1314" s="25"/>
      <c r="H1314" s="25"/>
      <c r="I1314" s="25"/>
      <c r="J1314" s="25"/>
      <c r="K1314" s="25"/>
      <c r="L1314" s="25"/>
      <c r="M1314" s="25"/>
      <c r="N1314" s="25"/>
      <c r="O1314" s="25"/>
      <c r="P1314" s="25"/>
      <c r="Q1314" s="25"/>
      <c r="R1314" s="25"/>
      <c r="S1314" s="151"/>
      <c r="T1314" s="151"/>
      <c r="U1314" s="151"/>
      <c r="V1314" s="73"/>
      <c r="W1314" s="28"/>
      <c r="X1314" s="24"/>
    </row>
    <row r="1315" spans="2:24">
      <c r="B1315" s="24"/>
      <c r="C1315" s="47"/>
      <c r="D1315" s="26"/>
      <c r="E1315" s="27"/>
      <c r="F1315" s="25"/>
      <c r="G1315" s="25"/>
      <c r="H1315" s="25"/>
      <c r="I1315" s="25"/>
      <c r="J1315" s="25"/>
      <c r="K1315" s="25"/>
      <c r="L1315" s="25"/>
      <c r="M1315" s="25"/>
      <c r="N1315" s="25"/>
      <c r="O1315" s="25"/>
      <c r="P1315" s="25"/>
      <c r="Q1315" s="25"/>
      <c r="R1315" s="25"/>
      <c r="S1315" s="151"/>
      <c r="T1315" s="151"/>
      <c r="U1315" s="151"/>
      <c r="V1315" s="73"/>
      <c r="W1315" s="28"/>
      <c r="X1315" s="24"/>
    </row>
    <row r="1316" spans="2:24">
      <c r="B1316" s="24"/>
      <c r="C1316" s="47"/>
      <c r="D1316" s="26"/>
      <c r="E1316" s="27"/>
      <c r="F1316" s="25"/>
      <c r="G1316" s="25"/>
      <c r="H1316" s="25"/>
      <c r="I1316" s="25"/>
      <c r="J1316" s="25"/>
      <c r="K1316" s="25"/>
      <c r="L1316" s="25"/>
      <c r="M1316" s="25"/>
      <c r="N1316" s="25"/>
      <c r="O1316" s="25"/>
      <c r="P1316" s="25"/>
      <c r="Q1316" s="25"/>
      <c r="R1316" s="25"/>
      <c r="S1316" s="151"/>
      <c r="T1316" s="151"/>
      <c r="U1316" s="151"/>
      <c r="V1316" s="73"/>
      <c r="W1316" s="28"/>
      <c r="X1316" s="24"/>
    </row>
    <row r="1317" spans="2:24">
      <c r="B1317" s="24"/>
      <c r="C1317" s="47"/>
      <c r="D1317" s="26"/>
      <c r="E1317" s="27"/>
      <c r="F1317" s="25"/>
      <c r="G1317" s="25"/>
      <c r="H1317" s="25"/>
      <c r="I1317" s="25"/>
      <c r="J1317" s="25"/>
      <c r="K1317" s="25"/>
      <c r="L1317" s="25"/>
      <c r="M1317" s="25"/>
      <c r="N1317" s="25"/>
      <c r="O1317" s="25"/>
      <c r="P1317" s="25"/>
      <c r="Q1317" s="25"/>
      <c r="R1317" s="25"/>
      <c r="S1317" s="151"/>
      <c r="T1317" s="151"/>
      <c r="U1317" s="151"/>
      <c r="V1317" s="73"/>
      <c r="W1317" s="28"/>
      <c r="X1317" s="24"/>
    </row>
    <row r="1318" spans="2:24">
      <c r="B1318" s="24"/>
      <c r="C1318" s="47"/>
      <c r="D1318" s="26"/>
      <c r="E1318" s="27"/>
      <c r="F1318" s="25"/>
      <c r="G1318" s="25"/>
      <c r="H1318" s="25"/>
      <c r="I1318" s="25"/>
      <c r="J1318" s="25"/>
      <c r="K1318" s="25"/>
      <c r="L1318" s="25"/>
      <c r="M1318" s="25"/>
      <c r="N1318" s="25"/>
      <c r="O1318" s="25"/>
      <c r="P1318" s="25"/>
      <c r="Q1318" s="25"/>
      <c r="R1318" s="25"/>
      <c r="S1318" s="151"/>
      <c r="T1318" s="151"/>
      <c r="U1318" s="151"/>
      <c r="V1318" s="73"/>
      <c r="W1318" s="28"/>
      <c r="X1318" s="24"/>
    </row>
    <row r="1319" spans="2:24">
      <c r="B1319" s="24"/>
      <c r="C1319" s="47"/>
      <c r="D1319" s="26"/>
      <c r="E1319" s="27"/>
      <c r="F1319" s="25"/>
      <c r="G1319" s="25"/>
      <c r="H1319" s="25"/>
      <c r="I1319" s="25"/>
      <c r="J1319" s="25"/>
      <c r="K1319" s="25"/>
      <c r="L1319" s="25"/>
      <c r="M1319" s="25"/>
      <c r="N1319" s="25"/>
      <c r="O1319" s="25"/>
      <c r="P1319" s="25"/>
      <c r="Q1319" s="25"/>
      <c r="R1319" s="25"/>
      <c r="S1319" s="151"/>
      <c r="T1319" s="151"/>
      <c r="U1319" s="151"/>
      <c r="V1319" s="73"/>
      <c r="W1319" s="28"/>
      <c r="X1319" s="24"/>
    </row>
    <row r="1320" spans="2:24">
      <c r="B1320" s="24"/>
      <c r="C1320" s="47"/>
      <c r="D1320" s="26"/>
      <c r="E1320" s="27"/>
      <c r="F1320" s="25"/>
      <c r="G1320" s="25"/>
      <c r="H1320" s="25"/>
      <c r="I1320" s="25"/>
      <c r="J1320" s="25"/>
      <c r="K1320" s="25"/>
      <c r="L1320" s="25"/>
      <c r="M1320" s="25"/>
      <c r="N1320" s="25"/>
      <c r="O1320" s="25"/>
      <c r="P1320" s="25"/>
      <c r="Q1320" s="25"/>
      <c r="R1320" s="25"/>
      <c r="S1320" s="151"/>
      <c r="T1320" s="151"/>
      <c r="U1320" s="151"/>
      <c r="V1320" s="73"/>
      <c r="W1320" s="28"/>
      <c r="X1320" s="24"/>
    </row>
    <row r="1321" spans="2:24">
      <c r="B1321" s="24"/>
      <c r="C1321" s="47"/>
      <c r="D1321" s="26"/>
      <c r="E1321" s="27"/>
      <c r="F1321" s="25"/>
      <c r="G1321" s="25"/>
      <c r="H1321" s="25"/>
      <c r="I1321" s="25"/>
      <c r="J1321" s="25"/>
      <c r="K1321" s="25"/>
      <c r="L1321" s="25"/>
      <c r="M1321" s="25"/>
      <c r="N1321" s="25"/>
      <c r="O1321" s="25"/>
      <c r="P1321" s="25"/>
      <c r="Q1321" s="25"/>
      <c r="R1321" s="25"/>
      <c r="S1321" s="151"/>
      <c r="T1321" s="151"/>
      <c r="U1321" s="151"/>
      <c r="V1321" s="73"/>
      <c r="W1321" s="28"/>
      <c r="X1321" s="24"/>
    </row>
    <row r="1322" spans="2:24">
      <c r="B1322" s="24"/>
      <c r="C1322" s="47"/>
      <c r="D1322" s="26"/>
      <c r="E1322" s="27"/>
      <c r="F1322" s="25"/>
      <c r="G1322" s="25"/>
      <c r="H1322" s="25"/>
      <c r="I1322" s="25"/>
      <c r="J1322" s="25"/>
      <c r="K1322" s="25"/>
      <c r="L1322" s="25"/>
      <c r="M1322" s="25"/>
      <c r="N1322" s="25"/>
      <c r="O1322" s="25"/>
      <c r="P1322" s="25"/>
      <c r="Q1322" s="25"/>
      <c r="R1322" s="25"/>
      <c r="S1322" s="151"/>
      <c r="T1322" s="151"/>
      <c r="U1322" s="151"/>
      <c r="V1322" s="73"/>
      <c r="W1322" s="28"/>
      <c r="X1322" s="24"/>
    </row>
    <row r="1323" spans="2:24">
      <c r="B1323" s="24"/>
      <c r="C1323" s="47"/>
      <c r="D1323" s="26"/>
      <c r="E1323" s="27"/>
      <c r="F1323" s="25"/>
      <c r="G1323" s="25"/>
      <c r="H1323" s="25"/>
      <c r="I1323" s="25"/>
      <c r="J1323" s="25"/>
      <c r="K1323" s="25"/>
      <c r="L1323" s="25"/>
      <c r="M1323" s="25"/>
      <c r="N1323" s="25"/>
      <c r="O1323" s="25"/>
      <c r="P1323" s="25"/>
      <c r="Q1323" s="25"/>
      <c r="R1323" s="25"/>
      <c r="S1323" s="151"/>
      <c r="T1323" s="151"/>
      <c r="U1323" s="151"/>
      <c r="V1323" s="73"/>
      <c r="W1323" s="28"/>
      <c r="X1323" s="24"/>
    </row>
    <row r="1324" spans="2:24">
      <c r="B1324" s="24"/>
      <c r="C1324" s="47"/>
      <c r="D1324" s="26"/>
      <c r="E1324" s="27"/>
      <c r="F1324" s="25"/>
      <c r="G1324" s="25"/>
      <c r="H1324" s="25"/>
      <c r="I1324" s="25"/>
      <c r="J1324" s="25"/>
      <c r="K1324" s="25"/>
      <c r="L1324" s="25"/>
      <c r="M1324" s="25"/>
      <c r="N1324" s="25"/>
      <c r="O1324" s="25"/>
      <c r="P1324" s="25"/>
      <c r="Q1324" s="25"/>
      <c r="R1324" s="25"/>
      <c r="S1324" s="151"/>
      <c r="T1324" s="151"/>
      <c r="U1324" s="151"/>
      <c r="V1324" s="73"/>
      <c r="W1324" s="28"/>
      <c r="X1324" s="24"/>
    </row>
    <row r="1325" spans="2:24">
      <c r="B1325" s="24"/>
      <c r="C1325" s="47"/>
      <c r="D1325" s="26"/>
      <c r="E1325" s="27"/>
      <c r="F1325" s="25"/>
      <c r="G1325" s="25"/>
      <c r="H1325" s="25"/>
      <c r="I1325" s="25"/>
      <c r="J1325" s="25"/>
      <c r="K1325" s="25"/>
      <c r="L1325" s="25"/>
      <c r="M1325" s="25"/>
      <c r="N1325" s="25"/>
      <c r="O1325" s="25"/>
      <c r="P1325" s="25"/>
      <c r="Q1325" s="25"/>
      <c r="R1325" s="25"/>
      <c r="S1325" s="151"/>
      <c r="T1325" s="151"/>
      <c r="U1325" s="151"/>
      <c r="V1325" s="73"/>
      <c r="W1325" s="28"/>
      <c r="X1325" s="24"/>
    </row>
    <row r="1326" spans="2:24">
      <c r="B1326" s="24"/>
      <c r="C1326" s="47"/>
      <c r="D1326" s="26"/>
      <c r="E1326" s="27"/>
      <c r="F1326" s="25"/>
      <c r="G1326" s="25"/>
      <c r="H1326" s="25"/>
      <c r="I1326" s="25"/>
      <c r="J1326" s="25"/>
      <c r="K1326" s="25"/>
      <c r="L1326" s="25"/>
      <c r="M1326" s="25"/>
      <c r="N1326" s="25"/>
      <c r="O1326" s="25"/>
      <c r="P1326" s="25"/>
      <c r="Q1326" s="25"/>
      <c r="R1326" s="25"/>
      <c r="S1326" s="151"/>
      <c r="T1326" s="151"/>
      <c r="U1326" s="151"/>
      <c r="V1326" s="73"/>
      <c r="W1326" s="28"/>
      <c r="X1326" s="24"/>
    </row>
    <row r="1327" spans="2:24">
      <c r="B1327" s="24"/>
      <c r="C1327" s="47"/>
      <c r="D1327" s="26"/>
      <c r="E1327" s="27"/>
      <c r="F1327" s="25"/>
      <c r="G1327" s="25"/>
      <c r="H1327" s="25"/>
      <c r="I1327" s="25"/>
      <c r="J1327" s="25"/>
      <c r="K1327" s="25"/>
      <c r="L1327" s="25"/>
      <c r="M1327" s="25"/>
      <c r="N1327" s="25"/>
      <c r="O1327" s="25"/>
      <c r="P1327" s="25"/>
      <c r="Q1327" s="25"/>
      <c r="R1327" s="25"/>
      <c r="S1327" s="151"/>
      <c r="T1327" s="151"/>
      <c r="U1327" s="151"/>
      <c r="V1327" s="73"/>
      <c r="W1327" s="28"/>
      <c r="X1327" s="24"/>
    </row>
    <row r="1328" spans="2:24">
      <c r="B1328" s="24"/>
      <c r="C1328" s="47"/>
      <c r="D1328" s="26"/>
      <c r="E1328" s="27"/>
      <c r="F1328" s="25"/>
      <c r="G1328" s="25"/>
      <c r="H1328" s="25"/>
      <c r="I1328" s="25"/>
      <c r="J1328" s="25"/>
      <c r="K1328" s="25"/>
      <c r="L1328" s="25"/>
      <c r="M1328" s="25"/>
      <c r="N1328" s="25"/>
      <c r="O1328" s="25"/>
      <c r="P1328" s="25"/>
      <c r="Q1328" s="25"/>
      <c r="R1328" s="25"/>
      <c r="S1328" s="151"/>
      <c r="T1328" s="151"/>
      <c r="U1328" s="151"/>
      <c r="V1328" s="73"/>
      <c r="W1328" s="28"/>
      <c r="X1328" s="24"/>
    </row>
    <row r="1329" spans="2:24">
      <c r="B1329" s="24"/>
      <c r="C1329" s="47"/>
      <c r="D1329" s="26"/>
      <c r="E1329" s="27"/>
      <c r="F1329" s="25"/>
      <c r="G1329" s="25"/>
      <c r="H1329" s="25"/>
      <c r="I1329" s="25"/>
      <c r="J1329" s="25"/>
      <c r="K1329" s="25"/>
      <c r="L1329" s="25"/>
      <c r="M1329" s="25"/>
      <c r="N1329" s="25"/>
      <c r="O1329" s="25"/>
      <c r="P1329" s="25"/>
      <c r="Q1329" s="25"/>
      <c r="R1329" s="25"/>
      <c r="S1329" s="151"/>
      <c r="T1329" s="151"/>
      <c r="U1329" s="151"/>
      <c r="V1329" s="73"/>
      <c r="W1329" s="28"/>
      <c r="X1329" s="24"/>
    </row>
    <row r="1330" spans="2:24">
      <c r="B1330" s="24"/>
      <c r="C1330" s="47"/>
      <c r="D1330" s="26"/>
      <c r="E1330" s="27"/>
      <c r="F1330" s="25"/>
      <c r="G1330" s="25"/>
      <c r="H1330" s="25"/>
      <c r="I1330" s="25"/>
      <c r="J1330" s="25"/>
      <c r="K1330" s="25"/>
      <c r="L1330" s="25"/>
      <c r="M1330" s="25"/>
      <c r="N1330" s="25"/>
      <c r="O1330" s="25"/>
      <c r="P1330" s="25"/>
      <c r="Q1330" s="25"/>
      <c r="R1330" s="25"/>
      <c r="S1330" s="151"/>
      <c r="T1330" s="151"/>
      <c r="U1330" s="151"/>
      <c r="V1330" s="73"/>
      <c r="W1330" s="28"/>
      <c r="X1330" s="24"/>
    </row>
    <row r="1331" spans="2:24">
      <c r="B1331" s="24"/>
      <c r="C1331" s="47"/>
      <c r="D1331" s="26"/>
      <c r="E1331" s="27"/>
      <c r="F1331" s="25"/>
      <c r="G1331" s="25"/>
      <c r="H1331" s="25"/>
      <c r="I1331" s="25"/>
      <c r="J1331" s="25"/>
      <c r="K1331" s="25"/>
      <c r="L1331" s="25"/>
      <c r="M1331" s="25"/>
      <c r="N1331" s="25"/>
      <c r="O1331" s="25"/>
      <c r="P1331" s="25"/>
      <c r="Q1331" s="25"/>
      <c r="R1331" s="25"/>
      <c r="S1331" s="151"/>
      <c r="T1331" s="151"/>
      <c r="U1331" s="151"/>
      <c r="V1331" s="73"/>
      <c r="W1331" s="28"/>
      <c r="X1331" s="24"/>
    </row>
    <row r="1332" spans="2:24">
      <c r="B1332" s="24"/>
      <c r="C1332" s="47"/>
      <c r="D1332" s="26"/>
      <c r="E1332" s="27"/>
      <c r="F1332" s="25"/>
      <c r="G1332" s="25"/>
      <c r="H1332" s="25"/>
      <c r="I1332" s="25"/>
      <c r="J1332" s="25"/>
      <c r="K1332" s="25"/>
      <c r="L1332" s="25"/>
      <c r="M1332" s="25"/>
      <c r="N1332" s="25"/>
      <c r="O1332" s="25"/>
      <c r="P1332" s="25"/>
      <c r="Q1332" s="25"/>
      <c r="R1332" s="25"/>
      <c r="S1332" s="151"/>
      <c r="T1332" s="151"/>
      <c r="U1332" s="151"/>
      <c r="V1332" s="73"/>
      <c r="W1332" s="28"/>
      <c r="X1332" s="24"/>
    </row>
    <row r="1333" spans="2:24">
      <c r="B1333" s="24"/>
      <c r="C1333" s="47"/>
      <c r="D1333" s="26"/>
      <c r="E1333" s="27"/>
      <c r="F1333" s="25"/>
      <c r="G1333" s="25"/>
      <c r="H1333" s="25"/>
      <c r="I1333" s="25"/>
      <c r="J1333" s="25"/>
      <c r="K1333" s="25"/>
      <c r="L1333" s="25"/>
      <c r="M1333" s="25"/>
      <c r="N1333" s="25"/>
      <c r="O1333" s="25"/>
      <c r="P1333" s="25"/>
      <c r="Q1333" s="25"/>
      <c r="R1333" s="25"/>
      <c r="S1333" s="151"/>
      <c r="T1333" s="151"/>
      <c r="U1333" s="151"/>
      <c r="V1333" s="73"/>
      <c r="W1333" s="28"/>
      <c r="X1333" s="24"/>
    </row>
    <row r="1334" spans="2:24">
      <c r="B1334" s="24"/>
      <c r="C1334" s="47"/>
      <c r="D1334" s="26"/>
      <c r="E1334" s="27"/>
      <c r="F1334" s="25"/>
      <c r="G1334" s="25"/>
      <c r="H1334" s="25"/>
      <c r="I1334" s="25"/>
      <c r="J1334" s="25"/>
      <c r="K1334" s="25"/>
      <c r="L1334" s="25"/>
      <c r="M1334" s="25"/>
      <c r="N1334" s="25"/>
      <c r="O1334" s="25"/>
      <c r="P1334" s="25"/>
      <c r="Q1334" s="25"/>
      <c r="R1334" s="25"/>
      <c r="S1334" s="151"/>
      <c r="T1334" s="151"/>
      <c r="U1334" s="151"/>
      <c r="V1334" s="73"/>
      <c r="W1334" s="28"/>
      <c r="X1334" s="24"/>
    </row>
    <row r="1335" spans="2:24">
      <c r="B1335" s="24"/>
      <c r="C1335" s="47"/>
      <c r="D1335" s="26"/>
      <c r="E1335" s="27"/>
      <c r="F1335" s="25"/>
      <c r="G1335" s="25"/>
      <c r="H1335" s="25"/>
      <c r="I1335" s="25"/>
      <c r="J1335" s="25"/>
      <c r="K1335" s="25"/>
      <c r="L1335" s="25"/>
      <c r="M1335" s="25"/>
      <c r="N1335" s="25"/>
      <c r="O1335" s="25"/>
      <c r="P1335" s="25"/>
      <c r="Q1335" s="25"/>
      <c r="R1335" s="25"/>
      <c r="S1335" s="151"/>
      <c r="T1335" s="151"/>
      <c r="U1335" s="151"/>
      <c r="V1335" s="73"/>
      <c r="W1335" s="28"/>
      <c r="X1335" s="24"/>
    </row>
    <row r="1336" spans="2:24">
      <c r="B1336" s="24"/>
      <c r="C1336" s="47"/>
      <c r="D1336" s="26"/>
      <c r="E1336" s="27"/>
      <c r="F1336" s="25"/>
      <c r="G1336" s="25"/>
      <c r="H1336" s="25"/>
      <c r="I1336" s="25"/>
      <c r="J1336" s="25"/>
      <c r="K1336" s="25"/>
      <c r="L1336" s="25"/>
      <c r="M1336" s="25"/>
      <c r="N1336" s="25"/>
      <c r="O1336" s="25"/>
      <c r="P1336" s="25"/>
      <c r="Q1336" s="25"/>
      <c r="R1336" s="25"/>
      <c r="S1336" s="151"/>
      <c r="T1336" s="151"/>
      <c r="U1336" s="151"/>
      <c r="V1336" s="73"/>
      <c r="W1336" s="28"/>
      <c r="X1336" s="24"/>
    </row>
    <row r="1337" spans="2:24">
      <c r="B1337" s="24"/>
      <c r="C1337" s="47"/>
      <c r="D1337" s="26"/>
      <c r="E1337" s="27"/>
      <c r="F1337" s="25"/>
      <c r="G1337" s="25"/>
      <c r="H1337" s="25"/>
      <c r="I1337" s="25"/>
      <c r="J1337" s="25"/>
      <c r="K1337" s="25"/>
      <c r="L1337" s="25"/>
      <c r="M1337" s="25"/>
      <c r="N1337" s="25"/>
      <c r="O1337" s="25"/>
      <c r="P1337" s="25"/>
      <c r="Q1337" s="25"/>
      <c r="R1337" s="25"/>
      <c r="S1337" s="151"/>
      <c r="T1337" s="151"/>
      <c r="U1337" s="151"/>
      <c r="V1337" s="73"/>
      <c r="W1337" s="28"/>
      <c r="X1337" s="24"/>
    </row>
    <row r="1338" spans="2:24">
      <c r="B1338" s="24"/>
      <c r="C1338" s="47"/>
      <c r="D1338" s="26"/>
      <c r="E1338" s="27"/>
      <c r="F1338" s="25"/>
      <c r="G1338" s="25"/>
      <c r="H1338" s="25"/>
      <c r="I1338" s="25"/>
      <c r="J1338" s="25"/>
      <c r="K1338" s="25"/>
      <c r="L1338" s="25"/>
      <c r="M1338" s="25"/>
      <c r="N1338" s="25"/>
      <c r="O1338" s="25"/>
      <c r="P1338" s="25"/>
      <c r="Q1338" s="25"/>
      <c r="R1338" s="25"/>
      <c r="S1338" s="151"/>
      <c r="T1338" s="151"/>
      <c r="U1338" s="151"/>
      <c r="V1338" s="73"/>
      <c r="W1338" s="28"/>
      <c r="X1338" s="24"/>
    </row>
    <row r="1339" spans="2:24">
      <c r="B1339" s="24"/>
      <c r="C1339" s="47"/>
      <c r="D1339" s="26"/>
      <c r="E1339" s="27"/>
      <c r="F1339" s="25"/>
      <c r="G1339" s="25"/>
      <c r="H1339" s="25"/>
      <c r="I1339" s="25"/>
      <c r="J1339" s="25"/>
      <c r="K1339" s="25"/>
      <c r="L1339" s="25"/>
      <c r="M1339" s="25"/>
      <c r="N1339" s="25"/>
      <c r="O1339" s="25"/>
      <c r="P1339" s="25"/>
      <c r="Q1339" s="25"/>
      <c r="R1339" s="25"/>
      <c r="S1339" s="151"/>
      <c r="T1339" s="151"/>
      <c r="U1339" s="151"/>
      <c r="V1339" s="73"/>
      <c r="W1339" s="28"/>
      <c r="X1339" s="24"/>
    </row>
    <row r="1340" spans="2:24">
      <c r="B1340" s="24"/>
      <c r="C1340" s="47"/>
      <c r="D1340" s="26"/>
      <c r="E1340" s="27"/>
      <c r="F1340" s="25"/>
      <c r="G1340" s="25"/>
      <c r="H1340" s="25"/>
      <c r="I1340" s="25"/>
      <c r="J1340" s="25"/>
      <c r="K1340" s="25"/>
      <c r="L1340" s="25"/>
      <c r="M1340" s="25"/>
      <c r="N1340" s="25"/>
      <c r="O1340" s="25"/>
      <c r="P1340" s="25"/>
      <c r="Q1340" s="25"/>
      <c r="R1340" s="25"/>
      <c r="S1340" s="151"/>
      <c r="T1340" s="151"/>
      <c r="U1340" s="151"/>
      <c r="V1340" s="73"/>
      <c r="W1340" s="28"/>
      <c r="X1340" s="24"/>
    </row>
    <row r="1341" spans="2:24">
      <c r="B1341" s="24"/>
      <c r="C1341" s="47"/>
      <c r="D1341" s="26"/>
      <c r="E1341" s="27"/>
      <c r="F1341" s="25"/>
      <c r="G1341" s="25"/>
      <c r="H1341" s="25"/>
      <c r="I1341" s="25"/>
      <c r="J1341" s="25"/>
      <c r="K1341" s="25"/>
      <c r="L1341" s="25"/>
      <c r="M1341" s="25"/>
      <c r="N1341" s="25"/>
      <c r="O1341" s="25"/>
      <c r="P1341" s="25"/>
      <c r="Q1341" s="25"/>
      <c r="R1341" s="25"/>
      <c r="S1341" s="151"/>
      <c r="T1341" s="151"/>
      <c r="U1341" s="151"/>
      <c r="V1341" s="73"/>
      <c r="W1341" s="28"/>
      <c r="X1341" s="24"/>
    </row>
    <row r="1342" spans="2:24">
      <c r="B1342" s="24"/>
      <c r="C1342" s="47"/>
      <c r="D1342" s="26"/>
      <c r="E1342" s="27"/>
      <c r="F1342" s="25"/>
      <c r="G1342" s="25"/>
      <c r="H1342" s="25"/>
      <c r="I1342" s="25"/>
      <c r="J1342" s="25"/>
      <c r="K1342" s="25"/>
      <c r="L1342" s="25"/>
      <c r="M1342" s="25"/>
      <c r="N1342" s="25"/>
      <c r="O1342" s="25"/>
      <c r="P1342" s="25"/>
      <c r="Q1342" s="25"/>
      <c r="R1342" s="25"/>
      <c r="S1342" s="151"/>
      <c r="T1342" s="151"/>
      <c r="U1342" s="151"/>
      <c r="V1342" s="73"/>
      <c r="W1342" s="28"/>
      <c r="X1342" s="24"/>
    </row>
    <row r="1343" spans="2:24">
      <c r="B1343" s="24"/>
      <c r="C1343" s="47"/>
      <c r="D1343" s="26"/>
      <c r="E1343" s="27"/>
      <c r="F1343" s="25"/>
      <c r="G1343" s="25"/>
      <c r="H1343" s="25"/>
      <c r="I1343" s="25"/>
      <c r="J1343" s="25"/>
      <c r="K1343" s="25"/>
      <c r="L1343" s="25"/>
      <c r="M1343" s="25"/>
      <c r="N1343" s="25"/>
      <c r="O1343" s="25"/>
      <c r="P1343" s="25"/>
      <c r="Q1343" s="25"/>
      <c r="R1343" s="25"/>
      <c r="S1343" s="151"/>
      <c r="T1343" s="151"/>
      <c r="U1343" s="151"/>
      <c r="V1343" s="73"/>
      <c r="W1343" s="28"/>
      <c r="X1343" s="24"/>
    </row>
    <row r="1344" spans="2:24">
      <c r="B1344" s="24"/>
      <c r="C1344" s="47"/>
      <c r="D1344" s="26"/>
      <c r="E1344" s="27"/>
      <c r="F1344" s="25"/>
      <c r="G1344" s="25"/>
      <c r="H1344" s="25"/>
      <c r="I1344" s="25"/>
      <c r="J1344" s="25"/>
      <c r="K1344" s="25"/>
      <c r="L1344" s="25"/>
      <c r="M1344" s="25"/>
      <c r="N1344" s="25"/>
      <c r="O1344" s="25"/>
      <c r="P1344" s="25"/>
      <c r="Q1344" s="25"/>
      <c r="R1344" s="25"/>
      <c r="S1344" s="151"/>
      <c r="T1344" s="151"/>
      <c r="U1344" s="151"/>
      <c r="V1344" s="73"/>
      <c r="W1344" s="28"/>
      <c r="X1344" s="24"/>
    </row>
    <row r="1345" spans="2:24">
      <c r="B1345" s="24"/>
      <c r="C1345" s="47"/>
      <c r="D1345" s="26"/>
      <c r="E1345" s="27"/>
      <c r="F1345" s="25"/>
      <c r="G1345" s="25"/>
      <c r="H1345" s="25"/>
      <c r="I1345" s="25"/>
      <c r="J1345" s="25"/>
      <c r="K1345" s="25"/>
      <c r="L1345" s="25"/>
      <c r="M1345" s="25"/>
      <c r="N1345" s="25"/>
      <c r="O1345" s="25"/>
      <c r="P1345" s="25"/>
      <c r="Q1345" s="25"/>
      <c r="R1345" s="25"/>
      <c r="S1345" s="151"/>
      <c r="T1345" s="151"/>
      <c r="U1345" s="151"/>
      <c r="V1345" s="73"/>
      <c r="W1345" s="28"/>
      <c r="X1345" s="24"/>
    </row>
    <row r="1346" spans="2:24">
      <c r="B1346" s="24"/>
      <c r="C1346" s="47"/>
      <c r="D1346" s="26"/>
      <c r="E1346" s="27"/>
      <c r="F1346" s="25"/>
      <c r="G1346" s="25"/>
      <c r="H1346" s="25"/>
      <c r="I1346" s="25"/>
      <c r="J1346" s="25"/>
      <c r="K1346" s="25"/>
      <c r="L1346" s="25"/>
      <c r="M1346" s="25"/>
      <c r="N1346" s="25"/>
      <c r="O1346" s="25"/>
      <c r="P1346" s="25"/>
      <c r="Q1346" s="25"/>
      <c r="R1346" s="25"/>
      <c r="S1346" s="151"/>
      <c r="T1346" s="151"/>
      <c r="U1346" s="151"/>
      <c r="V1346" s="73"/>
      <c r="W1346" s="28"/>
      <c r="X1346" s="24"/>
    </row>
    <row r="1347" spans="2:24">
      <c r="B1347" s="24"/>
      <c r="C1347" s="47"/>
      <c r="D1347" s="26"/>
      <c r="E1347" s="27"/>
      <c r="F1347" s="25"/>
      <c r="G1347" s="25"/>
      <c r="H1347" s="25"/>
      <c r="I1347" s="25"/>
      <c r="J1347" s="25"/>
      <c r="K1347" s="25"/>
      <c r="L1347" s="25"/>
      <c r="M1347" s="25"/>
      <c r="N1347" s="25"/>
      <c r="O1347" s="25"/>
      <c r="P1347" s="25"/>
      <c r="Q1347" s="25"/>
      <c r="R1347" s="25"/>
      <c r="S1347" s="151"/>
      <c r="T1347" s="151"/>
      <c r="U1347" s="151"/>
      <c r="V1347" s="73"/>
      <c r="W1347" s="28"/>
      <c r="X1347" s="24"/>
    </row>
    <row r="1348" spans="2:24">
      <c r="B1348" s="24"/>
      <c r="C1348" s="47"/>
      <c r="D1348" s="26"/>
      <c r="E1348" s="27"/>
      <c r="F1348" s="25"/>
      <c r="G1348" s="25"/>
      <c r="H1348" s="25"/>
      <c r="I1348" s="25"/>
      <c r="J1348" s="25"/>
      <c r="K1348" s="25"/>
      <c r="L1348" s="25"/>
      <c r="M1348" s="25"/>
      <c r="N1348" s="25"/>
      <c r="O1348" s="25"/>
      <c r="P1348" s="25"/>
      <c r="Q1348" s="25"/>
      <c r="R1348" s="25"/>
      <c r="S1348" s="151"/>
      <c r="T1348" s="151"/>
      <c r="U1348" s="151"/>
      <c r="V1348" s="73"/>
      <c r="W1348" s="28"/>
      <c r="X1348" s="24"/>
    </row>
    <row r="1349" spans="2:24">
      <c r="B1349" s="24"/>
      <c r="C1349" s="47"/>
      <c r="D1349" s="26"/>
      <c r="E1349" s="27"/>
      <c r="F1349" s="25"/>
      <c r="G1349" s="25"/>
      <c r="H1349" s="25"/>
      <c r="I1349" s="25"/>
      <c r="J1349" s="25"/>
      <c r="K1349" s="25"/>
      <c r="L1349" s="25"/>
      <c r="M1349" s="25"/>
      <c r="N1349" s="25"/>
      <c r="O1349" s="25"/>
      <c r="P1349" s="25"/>
      <c r="Q1349" s="25"/>
      <c r="R1349" s="25"/>
      <c r="S1349" s="151"/>
      <c r="T1349" s="151"/>
      <c r="U1349" s="151"/>
      <c r="V1349" s="73"/>
      <c r="W1349" s="28"/>
      <c r="X1349" s="24"/>
    </row>
    <row r="1350" spans="2:24">
      <c r="B1350" s="24"/>
      <c r="C1350" s="47"/>
      <c r="D1350" s="26"/>
      <c r="E1350" s="27"/>
      <c r="F1350" s="25"/>
      <c r="G1350" s="25"/>
      <c r="H1350" s="25"/>
      <c r="I1350" s="25"/>
      <c r="J1350" s="25"/>
      <c r="K1350" s="25"/>
      <c r="L1350" s="25"/>
      <c r="M1350" s="25"/>
      <c r="N1350" s="25"/>
      <c r="O1350" s="25"/>
      <c r="P1350" s="25"/>
      <c r="Q1350" s="25"/>
      <c r="R1350" s="25"/>
      <c r="S1350" s="151"/>
      <c r="T1350" s="151"/>
      <c r="U1350" s="151"/>
      <c r="V1350" s="73"/>
      <c r="W1350" s="28"/>
      <c r="X1350" s="24"/>
    </row>
    <row r="1351" spans="2:24">
      <c r="B1351" s="24"/>
      <c r="C1351" s="47"/>
      <c r="D1351" s="26"/>
      <c r="E1351" s="27"/>
      <c r="F1351" s="25"/>
      <c r="G1351" s="25"/>
      <c r="H1351" s="25"/>
      <c r="I1351" s="25"/>
      <c r="J1351" s="25"/>
      <c r="K1351" s="25"/>
      <c r="L1351" s="25"/>
      <c r="M1351" s="25"/>
      <c r="N1351" s="25"/>
      <c r="O1351" s="25"/>
      <c r="P1351" s="25"/>
      <c r="Q1351" s="25"/>
      <c r="R1351" s="25"/>
      <c r="S1351" s="151"/>
      <c r="T1351" s="151"/>
      <c r="U1351" s="151"/>
      <c r="V1351" s="73"/>
      <c r="W1351" s="28"/>
      <c r="X1351" s="24"/>
    </row>
    <row r="1352" spans="2:24">
      <c r="B1352" s="24"/>
      <c r="C1352" s="47"/>
      <c r="D1352" s="26"/>
      <c r="E1352" s="27"/>
      <c r="F1352" s="25"/>
      <c r="G1352" s="25"/>
      <c r="H1352" s="25"/>
      <c r="I1352" s="25"/>
      <c r="J1352" s="25"/>
      <c r="K1352" s="25"/>
      <c r="L1352" s="25"/>
      <c r="M1352" s="25"/>
      <c r="N1352" s="25"/>
      <c r="O1352" s="25"/>
      <c r="P1352" s="25"/>
      <c r="Q1352" s="25"/>
      <c r="R1352" s="25"/>
      <c r="S1352" s="151"/>
      <c r="T1352" s="151"/>
      <c r="U1352" s="151"/>
      <c r="V1352" s="73"/>
      <c r="W1352" s="28"/>
      <c r="X1352" s="24"/>
    </row>
    <row r="1353" spans="2:24">
      <c r="B1353" s="24"/>
      <c r="C1353" s="47"/>
      <c r="D1353" s="26"/>
      <c r="E1353" s="27"/>
      <c r="F1353" s="25"/>
      <c r="G1353" s="25"/>
      <c r="H1353" s="25"/>
      <c r="I1353" s="25"/>
      <c r="J1353" s="25"/>
      <c r="K1353" s="25"/>
      <c r="L1353" s="25"/>
      <c r="M1353" s="25"/>
      <c r="N1353" s="25"/>
      <c r="O1353" s="25"/>
      <c r="P1353" s="25"/>
      <c r="Q1353" s="25"/>
      <c r="R1353" s="25"/>
      <c r="S1353" s="151"/>
      <c r="T1353" s="151"/>
      <c r="U1353" s="151"/>
      <c r="V1353" s="73"/>
      <c r="W1353" s="28"/>
      <c r="X1353" s="24"/>
    </row>
    <row r="1354" spans="2:24">
      <c r="B1354" s="24"/>
      <c r="C1354" s="47"/>
      <c r="D1354" s="26"/>
      <c r="E1354" s="27"/>
      <c r="F1354" s="25"/>
      <c r="G1354" s="25"/>
      <c r="H1354" s="25"/>
      <c r="I1354" s="25"/>
      <c r="J1354" s="25"/>
      <c r="K1354" s="25"/>
      <c r="L1354" s="25"/>
      <c r="M1354" s="25"/>
      <c r="N1354" s="25"/>
      <c r="O1354" s="25"/>
      <c r="P1354" s="25"/>
      <c r="Q1354" s="25"/>
      <c r="R1354" s="25"/>
      <c r="S1354" s="151"/>
      <c r="T1354" s="151"/>
      <c r="U1354" s="151"/>
      <c r="V1354" s="73"/>
      <c r="W1354" s="28"/>
      <c r="X1354" s="24"/>
    </row>
    <row r="1355" spans="2:24">
      <c r="B1355" s="24"/>
      <c r="C1355" s="47"/>
      <c r="D1355" s="26"/>
      <c r="E1355" s="27"/>
      <c r="F1355" s="25"/>
      <c r="G1355" s="25"/>
      <c r="H1355" s="25"/>
      <c r="I1355" s="25"/>
      <c r="J1355" s="25"/>
      <c r="K1355" s="25"/>
      <c r="L1355" s="25"/>
      <c r="M1355" s="25"/>
      <c r="N1355" s="25"/>
      <c r="O1355" s="25"/>
      <c r="P1355" s="25"/>
      <c r="Q1355" s="25"/>
      <c r="R1355" s="25"/>
      <c r="S1355" s="151"/>
      <c r="T1355" s="151"/>
      <c r="U1355" s="151"/>
      <c r="V1355" s="73"/>
      <c r="W1355" s="28"/>
      <c r="X1355" s="24"/>
    </row>
    <row r="1356" spans="2:24">
      <c r="B1356" s="24"/>
      <c r="C1356" s="47"/>
      <c r="D1356" s="26"/>
      <c r="E1356" s="27"/>
      <c r="F1356" s="25"/>
      <c r="G1356" s="25"/>
      <c r="H1356" s="25"/>
      <c r="I1356" s="25"/>
      <c r="J1356" s="25"/>
      <c r="K1356" s="25"/>
      <c r="L1356" s="25"/>
      <c r="M1356" s="25"/>
      <c r="N1356" s="25"/>
      <c r="O1356" s="25"/>
      <c r="P1356" s="25"/>
      <c r="Q1356" s="25"/>
      <c r="R1356" s="25"/>
      <c r="S1356" s="151"/>
      <c r="T1356" s="151"/>
      <c r="U1356" s="151"/>
      <c r="V1356" s="73"/>
      <c r="W1356" s="28"/>
      <c r="X1356" s="24"/>
    </row>
    <row r="1357" spans="2:24">
      <c r="B1357" s="24"/>
      <c r="C1357" s="47"/>
      <c r="D1357" s="26"/>
      <c r="E1357" s="27"/>
      <c r="F1357" s="25"/>
      <c r="G1357" s="25"/>
      <c r="H1357" s="25"/>
      <c r="I1357" s="25"/>
      <c r="J1357" s="25"/>
      <c r="K1357" s="25"/>
      <c r="L1357" s="25"/>
      <c r="M1357" s="25"/>
      <c r="N1357" s="25"/>
      <c r="O1357" s="25"/>
      <c r="P1357" s="25"/>
      <c r="Q1357" s="25"/>
      <c r="R1357" s="25"/>
      <c r="S1357" s="151"/>
      <c r="T1357" s="151"/>
      <c r="U1357" s="151"/>
      <c r="V1357" s="73"/>
      <c r="W1357" s="28"/>
      <c r="X1357" s="24"/>
    </row>
    <row r="1358" spans="2:24">
      <c r="B1358" s="24"/>
      <c r="C1358" s="47"/>
      <c r="D1358" s="26"/>
      <c r="E1358" s="27"/>
      <c r="F1358" s="25"/>
      <c r="G1358" s="25"/>
      <c r="H1358" s="25"/>
      <c r="I1358" s="25"/>
      <c r="J1358" s="25"/>
      <c r="K1358" s="25"/>
      <c r="L1358" s="25"/>
      <c r="M1358" s="25"/>
      <c r="N1358" s="25"/>
      <c r="O1358" s="25"/>
      <c r="P1358" s="25"/>
      <c r="Q1358" s="25"/>
      <c r="R1358" s="25"/>
      <c r="S1358" s="151"/>
      <c r="T1358" s="151"/>
      <c r="U1358" s="151"/>
      <c r="V1358" s="73"/>
      <c r="W1358" s="28"/>
      <c r="X1358" s="24"/>
    </row>
    <row r="1359" spans="2:24">
      <c r="B1359" s="24"/>
      <c r="C1359" s="47"/>
      <c r="D1359" s="26"/>
      <c r="E1359" s="27"/>
      <c r="F1359" s="25"/>
      <c r="G1359" s="25"/>
      <c r="H1359" s="25"/>
      <c r="I1359" s="25"/>
      <c r="J1359" s="25"/>
      <c r="K1359" s="25"/>
      <c r="L1359" s="25"/>
      <c r="M1359" s="25"/>
      <c r="N1359" s="25"/>
      <c r="O1359" s="25"/>
      <c r="P1359" s="25"/>
      <c r="Q1359" s="25"/>
      <c r="R1359" s="25"/>
      <c r="S1359" s="151"/>
      <c r="T1359" s="151"/>
      <c r="U1359" s="151"/>
      <c r="V1359" s="73"/>
      <c r="W1359" s="28"/>
      <c r="X1359" s="24"/>
    </row>
    <row r="1360" spans="2:24">
      <c r="B1360" s="24"/>
      <c r="C1360" s="47"/>
      <c r="D1360" s="26"/>
      <c r="E1360" s="27"/>
      <c r="F1360" s="25"/>
      <c r="G1360" s="25"/>
      <c r="H1360" s="25"/>
      <c r="I1360" s="25"/>
      <c r="J1360" s="25"/>
      <c r="K1360" s="25"/>
      <c r="L1360" s="25"/>
      <c r="M1360" s="25"/>
      <c r="N1360" s="25"/>
      <c r="O1360" s="25"/>
      <c r="P1360" s="25"/>
      <c r="Q1360" s="25"/>
      <c r="R1360" s="25"/>
      <c r="S1360" s="151"/>
      <c r="T1360" s="151"/>
      <c r="U1360" s="151"/>
      <c r="V1360" s="73"/>
      <c r="W1360" s="28"/>
      <c r="X1360" s="24"/>
    </row>
    <row r="1361" spans="2:24">
      <c r="B1361" s="24"/>
      <c r="C1361" s="47"/>
      <c r="D1361" s="26"/>
      <c r="E1361" s="27"/>
      <c r="F1361" s="25"/>
      <c r="G1361" s="25"/>
      <c r="H1361" s="25"/>
      <c r="I1361" s="25"/>
      <c r="J1361" s="25"/>
      <c r="K1361" s="25"/>
      <c r="L1361" s="25"/>
      <c r="M1361" s="25"/>
      <c r="N1361" s="25"/>
      <c r="O1361" s="25"/>
      <c r="P1361" s="25"/>
      <c r="Q1361" s="25"/>
      <c r="R1361" s="25"/>
      <c r="S1361" s="151"/>
      <c r="T1361" s="151"/>
      <c r="U1361" s="151"/>
      <c r="V1361" s="73"/>
      <c r="W1361" s="28"/>
      <c r="X1361" s="24"/>
    </row>
    <row r="1362" spans="2:24">
      <c r="B1362" s="24"/>
      <c r="C1362" s="47"/>
      <c r="D1362" s="26"/>
      <c r="E1362" s="27"/>
      <c r="F1362" s="25"/>
      <c r="G1362" s="25"/>
      <c r="H1362" s="25"/>
      <c r="I1362" s="25"/>
      <c r="J1362" s="25"/>
      <c r="K1362" s="25"/>
      <c r="L1362" s="25"/>
      <c r="M1362" s="25"/>
      <c r="N1362" s="25"/>
      <c r="O1362" s="25"/>
      <c r="P1362" s="25"/>
      <c r="Q1362" s="25"/>
      <c r="R1362" s="25"/>
      <c r="S1362" s="151"/>
      <c r="T1362" s="151"/>
      <c r="U1362" s="151"/>
      <c r="V1362" s="73"/>
      <c r="W1362" s="28"/>
      <c r="X1362" s="24"/>
    </row>
    <row r="1363" spans="2:24">
      <c r="B1363" s="24"/>
      <c r="C1363" s="47"/>
      <c r="D1363" s="26"/>
      <c r="E1363" s="27"/>
      <c r="F1363" s="25"/>
      <c r="G1363" s="25"/>
      <c r="H1363" s="25"/>
      <c r="I1363" s="25"/>
      <c r="J1363" s="25"/>
      <c r="K1363" s="25"/>
      <c r="L1363" s="25"/>
      <c r="M1363" s="25"/>
      <c r="N1363" s="25"/>
      <c r="O1363" s="25"/>
      <c r="P1363" s="25"/>
      <c r="Q1363" s="25"/>
      <c r="R1363" s="25"/>
      <c r="S1363" s="151"/>
      <c r="T1363" s="151"/>
      <c r="U1363" s="151"/>
      <c r="V1363" s="73"/>
      <c r="W1363" s="28"/>
      <c r="X1363" s="24"/>
    </row>
    <row r="1364" spans="2:24">
      <c r="B1364" s="24"/>
      <c r="C1364" s="47"/>
      <c r="D1364" s="26"/>
      <c r="E1364" s="27"/>
      <c r="F1364" s="25"/>
      <c r="G1364" s="25"/>
      <c r="H1364" s="25"/>
      <c r="I1364" s="25"/>
      <c r="J1364" s="25"/>
      <c r="K1364" s="25"/>
      <c r="L1364" s="25"/>
      <c r="M1364" s="25"/>
      <c r="N1364" s="25"/>
      <c r="O1364" s="25"/>
      <c r="P1364" s="25"/>
      <c r="Q1364" s="25"/>
      <c r="R1364" s="25"/>
      <c r="S1364" s="151"/>
      <c r="T1364" s="151"/>
      <c r="U1364" s="151"/>
      <c r="V1364" s="73"/>
      <c r="W1364" s="28"/>
      <c r="X1364" s="24"/>
    </row>
    <row r="1365" spans="2:24">
      <c r="B1365" s="24"/>
      <c r="C1365" s="47"/>
      <c r="D1365" s="26"/>
      <c r="E1365" s="27"/>
      <c r="F1365" s="25"/>
      <c r="G1365" s="25"/>
      <c r="H1365" s="25"/>
      <c r="I1365" s="25"/>
      <c r="J1365" s="25"/>
      <c r="K1365" s="25"/>
      <c r="L1365" s="25"/>
      <c r="M1365" s="25"/>
      <c r="N1365" s="25"/>
      <c r="O1365" s="25"/>
      <c r="P1365" s="25"/>
      <c r="Q1365" s="25"/>
      <c r="R1365" s="25"/>
      <c r="S1365" s="151"/>
      <c r="T1365" s="151"/>
      <c r="U1365" s="151"/>
      <c r="V1365" s="73"/>
      <c r="W1365" s="28"/>
      <c r="X1365" s="24"/>
    </row>
    <row r="1366" spans="2:24">
      <c r="B1366" s="24"/>
      <c r="C1366" s="47"/>
      <c r="D1366" s="26"/>
      <c r="E1366" s="27"/>
      <c r="F1366" s="25"/>
      <c r="G1366" s="25"/>
      <c r="H1366" s="25"/>
      <c r="I1366" s="25"/>
      <c r="J1366" s="25"/>
      <c r="K1366" s="25"/>
      <c r="L1366" s="25"/>
      <c r="M1366" s="25"/>
      <c r="N1366" s="25"/>
      <c r="O1366" s="25"/>
      <c r="P1366" s="25"/>
      <c r="Q1366" s="25"/>
      <c r="R1366" s="25"/>
      <c r="S1366" s="151"/>
      <c r="T1366" s="151"/>
      <c r="U1366" s="151"/>
      <c r="V1366" s="73"/>
      <c r="W1366" s="28"/>
      <c r="X1366" s="24"/>
    </row>
    <row r="1367" spans="2:24">
      <c r="B1367" s="24"/>
      <c r="C1367" s="47"/>
      <c r="D1367" s="26"/>
      <c r="E1367" s="27"/>
      <c r="F1367" s="25"/>
      <c r="G1367" s="25"/>
      <c r="H1367" s="25"/>
      <c r="I1367" s="25"/>
      <c r="J1367" s="25"/>
      <c r="K1367" s="25"/>
      <c r="L1367" s="25"/>
      <c r="M1367" s="25"/>
      <c r="N1367" s="25"/>
      <c r="O1367" s="25"/>
      <c r="P1367" s="25"/>
      <c r="Q1367" s="25"/>
      <c r="R1367" s="25"/>
      <c r="S1367" s="151"/>
      <c r="T1367" s="151"/>
      <c r="U1367" s="151"/>
      <c r="V1367" s="73"/>
      <c r="W1367" s="28"/>
      <c r="X1367" s="24"/>
    </row>
    <row r="1368" spans="2:24">
      <c r="B1368" s="24"/>
      <c r="C1368" s="47"/>
      <c r="D1368" s="26"/>
      <c r="E1368" s="27"/>
      <c r="F1368" s="25"/>
      <c r="G1368" s="25"/>
      <c r="H1368" s="25"/>
      <c r="I1368" s="25"/>
      <c r="J1368" s="25"/>
      <c r="K1368" s="25"/>
      <c r="L1368" s="25"/>
      <c r="M1368" s="25"/>
      <c r="N1368" s="25"/>
      <c r="O1368" s="25"/>
      <c r="P1368" s="25"/>
      <c r="Q1368" s="25"/>
      <c r="R1368" s="25"/>
      <c r="S1368" s="151"/>
      <c r="T1368" s="151"/>
      <c r="U1368" s="151"/>
      <c r="V1368" s="73"/>
      <c r="W1368" s="28"/>
      <c r="X1368" s="24"/>
    </row>
    <row r="1369" spans="2:24">
      <c r="B1369" s="24"/>
      <c r="C1369" s="47"/>
      <c r="D1369" s="26"/>
      <c r="E1369" s="27"/>
      <c r="F1369" s="25"/>
      <c r="G1369" s="25"/>
      <c r="H1369" s="25"/>
      <c r="I1369" s="25"/>
      <c r="J1369" s="25"/>
      <c r="K1369" s="25"/>
      <c r="L1369" s="25"/>
      <c r="M1369" s="25"/>
      <c r="N1369" s="25"/>
      <c r="O1369" s="25"/>
      <c r="P1369" s="25"/>
      <c r="Q1369" s="25"/>
      <c r="R1369" s="25"/>
      <c r="S1369" s="151"/>
      <c r="T1369" s="151"/>
      <c r="U1369" s="151"/>
      <c r="V1369" s="73"/>
      <c r="W1369" s="28"/>
      <c r="X1369" s="24"/>
    </row>
    <row r="1370" spans="2:24">
      <c r="B1370" s="24"/>
      <c r="C1370" s="47"/>
      <c r="D1370" s="26"/>
      <c r="E1370" s="27"/>
      <c r="F1370" s="25"/>
      <c r="G1370" s="25"/>
      <c r="H1370" s="25"/>
      <c r="I1370" s="25"/>
      <c r="J1370" s="25"/>
      <c r="K1370" s="25"/>
      <c r="L1370" s="25"/>
      <c r="M1370" s="25"/>
      <c r="N1370" s="25"/>
      <c r="O1370" s="25"/>
      <c r="P1370" s="25"/>
      <c r="Q1370" s="25"/>
      <c r="R1370" s="25"/>
      <c r="S1370" s="151"/>
      <c r="T1370" s="151"/>
      <c r="U1370" s="151"/>
      <c r="V1370" s="73"/>
      <c r="W1370" s="28"/>
      <c r="X1370" s="24"/>
    </row>
    <row r="1371" spans="2:24">
      <c r="B1371" s="24"/>
      <c r="C1371" s="47"/>
      <c r="D1371" s="26"/>
      <c r="E1371" s="27"/>
      <c r="F1371" s="25"/>
      <c r="G1371" s="25"/>
      <c r="H1371" s="25"/>
      <c r="I1371" s="25"/>
      <c r="J1371" s="25"/>
      <c r="K1371" s="25"/>
      <c r="L1371" s="25"/>
      <c r="M1371" s="25"/>
      <c r="N1371" s="25"/>
      <c r="O1371" s="25"/>
      <c r="P1371" s="25"/>
      <c r="Q1371" s="25"/>
      <c r="R1371" s="25"/>
      <c r="S1371" s="151"/>
      <c r="T1371" s="151"/>
      <c r="U1371" s="151"/>
      <c r="V1371" s="73"/>
      <c r="W1371" s="28"/>
      <c r="X1371" s="24"/>
    </row>
    <row r="1372" spans="2:24">
      <c r="B1372" s="24"/>
      <c r="C1372" s="47"/>
      <c r="D1372" s="26"/>
      <c r="E1372" s="27"/>
      <c r="F1372" s="25"/>
      <c r="G1372" s="25"/>
      <c r="H1372" s="25"/>
      <c r="I1372" s="25"/>
      <c r="J1372" s="25"/>
      <c r="K1372" s="25"/>
      <c r="L1372" s="25"/>
      <c r="M1372" s="25"/>
      <c r="N1372" s="25"/>
      <c r="O1372" s="25"/>
      <c r="P1372" s="25"/>
      <c r="Q1372" s="25"/>
      <c r="R1372" s="25"/>
      <c r="S1372" s="151"/>
      <c r="T1372" s="151"/>
      <c r="U1372" s="151"/>
      <c r="V1372" s="73"/>
      <c r="W1372" s="28"/>
      <c r="X1372" s="24"/>
    </row>
    <row r="1373" spans="2:24">
      <c r="B1373" s="24"/>
      <c r="C1373" s="47"/>
      <c r="D1373" s="26"/>
      <c r="E1373" s="27"/>
      <c r="F1373" s="25"/>
      <c r="G1373" s="25"/>
      <c r="H1373" s="25"/>
      <c r="I1373" s="25"/>
      <c r="J1373" s="25"/>
      <c r="K1373" s="25"/>
      <c r="L1373" s="25"/>
      <c r="M1373" s="25"/>
      <c r="N1373" s="25"/>
      <c r="O1373" s="25"/>
      <c r="P1373" s="25"/>
      <c r="Q1373" s="25"/>
      <c r="R1373" s="25"/>
      <c r="S1373" s="151"/>
      <c r="T1373" s="151"/>
      <c r="U1373" s="151"/>
      <c r="V1373" s="73"/>
      <c r="W1373" s="28"/>
      <c r="X1373" s="24"/>
    </row>
    <row r="1374" spans="2:24">
      <c r="B1374" s="24"/>
      <c r="C1374" s="47"/>
      <c r="D1374" s="26"/>
      <c r="E1374" s="27"/>
      <c r="F1374" s="25"/>
      <c r="G1374" s="25"/>
      <c r="H1374" s="25"/>
      <c r="I1374" s="25"/>
      <c r="J1374" s="25"/>
      <c r="K1374" s="25"/>
      <c r="L1374" s="25"/>
      <c r="M1374" s="25"/>
      <c r="N1374" s="25"/>
      <c r="O1374" s="25"/>
      <c r="P1374" s="25"/>
      <c r="Q1374" s="25"/>
      <c r="R1374" s="25"/>
      <c r="S1374" s="151"/>
      <c r="T1374" s="151"/>
      <c r="U1374" s="151"/>
      <c r="V1374" s="73"/>
      <c r="W1374" s="28"/>
      <c r="X1374" s="24"/>
    </row>
    <row r="1375" spans="2:24">
      <c r="B1375" s="24"/>
      <c r="C1375" s="47"/>
      <c r="D1375" s="26"/>
      <c r="E1375" s="27"/>
      <c r="F1375" s="25"/>
      <c r="G1375" s="25"/>
      <c r="H1375" s="25"/>
      <c r="I1375" s="25"/>
      <c r="J1375" s="25"/>
      <c r="K1375" s="25"/>
      <c r="L1375" s="25"/>
      <c r="M1375" s="25"/>
      <c r="N1375" s="25"/>
      <c r="O1375" s="25"/>
      <c r="P1375" s="25"/>
      <c r="Q1375" s="25"/>
      <c r="R1375" s="25"/>
      <c r="S1375" s="151"/>
      <c r="T1375" s="151"/>
      <c r="U1375" s="151"/>
      <c r="V1375" s="73"/>
      <c r="W1375" s="28"/>
      <c r="X1375" s="24"/>
    </row>
    <row r="1376" spans="2:24">
      <c r="B1376" s="24"/>
      <c r="C1376" s="47"/>
      <c r="D1376" s="26"/>
      <c r="E1376" s="27"/>
      <c r="F1376" s="25"/>
      <c r="G1376" s="25"/>
      <c r="H1376" s="25"/>
      <c r="I1376" s="25"/>
      <c r="J1376" s="25"/>
      <c r="K1376" s="25"/>
      <c r="L1376" s="25"/>
      <c r="M1376" s="25"/>
      <c r="N1376" s="25"/>
      <c r="O1376" s="25"/>
      <c r="P1376" s="25"/>
      <c r="Q1376" s="25"/>
      <c r="R1376" s="25"/>
      <c r="S1376" s="151"/>
      <c r="T1376" s="151"/>
      <c r="U1376" s="151"/>
      <c r="V1376" s="73"/>
      <c r="W1376" s="28"/>
      <c r="X1376" s="24"/>
    </row>
    <row r="1377" spans="2:24">
      <c r="B1377" s="24"/>
      <c r="C1377" s="47"/>
      <c r="D1377" s="26"/>
      <c r="E1377" s="27"/>
      <c r="F1377" s="25"/>
      <c r="G1377" s="25"/>
      <c r="H1377" s="25"/>
      <c r="I1377" s="25"/>
      <c r="J1377" s="25"/>
      <c r="K1377" s="25"/>
      <c r="L1377" s="25"/>
      <c r="M1377" s="25"/>
      <c r="N1377" s="25"/>
      <c r="O1377" s="25"/>
      <c r="P1377" s="25"/>
      <c r="Q1377" s="25"/>
      <c r="R1377" s="25"/>
      <c r="S1377" s="151"/>
      <c r="T1377" s="151"/>
      <c r="U1377" s="151"/>
      <c r="V1377" s="73"/>
      <c r="W1377" s="28"/>
      <c r="X1377" s="24"/>
    </row>
    <row r="1378" spans="2:24">
      <c r="B1378" s="24"/>
      <c r="C1378" s="47"/>
      <c r="D1378" s="26"/>
      <c r="E1378" s="27"/>
      <c r="F1378" s="25"/>
      <c r="G1378" s="25"/>
      <c r="H1378" s="25"/>
      <c r="I1378" s="25"/>
      <c r="J1378" s="25"/>
      <c r="K1378" s="25"/>
      <c r="L1378" s="25"/>
      <c r="M1378" s="25"/>
      <c r="N1378" s="25"/>
      <c r="O1378" s="25"/>
      <c r="P1378" s="25"/>
      <c r="Q1378" s="25"/>
      <c r="R1378" s="25"/>
      <c r="S1378" s="151"/>
      <c r="T1378" s="151"/>
      <c r="U1378" s="151"/>
      <c r="V1378" s="73"/>
      <c r="W1378" s="28"/>
      <c r="X1378" s="24"/>
    </row>
    <row r="1379" spans="2:24">
      <c r="B1379" s="24"/>
      <c r="C1379" s="47"/>
      <c r="D1379" s="26"/>
      <c r="E1379" s="27"/>
      <c r="F1379" s="25"/>
      <c r="G1379" s="25"/>
      <c r="H1379" s="25"/>
      <c r="I1379" s="25"/>
      <c r="J1379" s="25"/>
      <c r="K1379" s="25"/>
      <c r="L1379" s="25"/>
      <c r="M1379" s="25"/>
      <c r="N1379" s="25"/>
      <c r="O1379" s="25"/>
      <c r="P1379" s="25"/>
      <c r="Q1379" s="25"/>
      <c r="R1379" s="25"/>
      <c r="S1379" s="151"/>
      <c r="T1379" s="151"/>
      <c r="U1379" s="151"/>
      <c r="V1379" s="73"/>
      <c r="W1379" s="28"/>
      <c r="X1379" s="24"/>
    </row>
    <row r="1380" spans="2:24">
      <c r="B1380" s="24"/>
      <c r="C1380" s="47"/>
      <c r="D1380" s="26"/>
      <c r="E1380" s="27"/>
      <c r="F1380" s="25"/>
      <c r="G1380" s="25"/>
      <c r="H1380" s="25"/>
      <c r="I1380" s="25"/>
      <c r="J1380" s="25"/>
      <c r="K1380" s="25"/>
      <c r="L1380" s="25"/>
      <c r="M1380" s="25"/>
      <c r="N1380" s="25"/>
      <c r="O1380" s="25"/>
      <c r="P1380" s="25"/>
      <c r="Q1380" s="25"/>
      <c r="R1380" s="25"/>
      <c r="S1380" s="151"/>
      <c r="T1380" s="151"/>
      <c r="U1380" s="151"/>
      <c r="V1380" s="73"/>
      <c r="W1380" s="28"/>
      <c r="X1380" s="24"/>
    </row>
    <row r="1381" spans="2:24">
      <c r="B1381" s="24"/>
      <c r="C1381" s="47"/>
      <c r="D1381" s="26"/>
      <c r="E1381" s="27"/>
      <c r="F1381" s="25"/>
      <c r="G1381" s="25"/>
      <c r="H1381" s="25"/>
      <c r="I1381" s="25"/>
      <c r="J1381" s="25"/>
      <c r="K1381" s="25"/>
      <c r="L1381" s="25"/>
      <c r="M1381" s="25"/>
      <c r="N1381" s="25"/>
      <c r="O1381" s="25"/>
      <c r="P1381" s="25"/>
      <c r="Q1381" s="25"/>
      <c r="R1381" s="25"/>
      <c r="S1381" s="151"/>
      <c r="T1381" s="151"/>
      <c r="U1381" s="151"/>
      <c r="V1381" s="73"/>
      <c r="W1381" s="28"/>
      <c r="X1381" s="24"/>
    </row>
    <row r="1382" spans="2:24">
      <c r="B1382" s="24"/>
      <c r="C1382" s="47"/>
      <c r="D1382" s="26"/>
      <c r="E1382" s="27"/>
      <c r="F1382" s="25"/>
      <c r="G1382" s="25"/>
      <c r="H1382" s="25"/>
      <c r="I1382" s="25"/>
      <c r="J1382" s="25"/>
      <c r="K1382" s="25"/>
      <c r="L1382" s="25"/>
      <c r="M1382" s="25"/>
      <c r="N1382" s="25"/>
      <c r="O1382" s="25"/>
      <c r="P1382" s="25"/>
      <c r="Q1382" s="25"/>
      <c r="R1382" s="25"/>
      <c r="S1382" s="151"/>
      <c r="T1382" s="151"/>
      <c r="U1382" s="151"/>
      <c r="V1382" s="73"/>
      <c r="W1382" s="28"/>
      <c r="X1382" s="24"/>
    </row>
    <row r="1383" spans="2:24">
      <c r="B1383" s="24"/>
      <c r="C1383" s="47"/>
      <c r="D1383" s="26"/>
      <c r="E1383" s="27"/>
      <c r="F1383" s="25"/>
      <c r="G1383" s="25"/>
      <c r="H1383" s="25"/>
      <c r="I1383" s="25"/>
      <c r="J1383" s="25"/>
      <c r="K1383" s="25"/>
      <c r="L1383" s="25"/>
      <c r="M1383" s="25"/>
      <c r="N1383" s="25"/>
      <c r="O1383" s="25"/>
      <c r="P1383" s="25"/>
      <c r="Q1383" s="25"/>
      <c r="R1383" s="25"/>
      <c r="S1383" s="151"/>
      <c r="T1383" s="151"/>
      <c r="U1383" s="151"/>
      <c r="V1383" s="73"/>
      <c r="W1383" s="28"/>
      <c r="X1383" s="24"/>
    </row>
    <row r="1384" spans="2:24">
      <c r="B1384" s="24"/>
      <c r="C1384" s="47"/>
      <c r="D1384" s="26"/>
      <c r="E1384" s="27"/>
      <c r="F1384" s="25"/>
      <c r="G1384" s="25"/>
      <c r="H1384" s="25"/>
      <c r="I1384" s="25"/>
      <c r="J1384" s="25"/>
      <c r="K1384" s="25"/>
      <c r="L1384" s="25"/>
      <c r="M1384" s="25"/>
      <c r="N1384" s="25"/>
      <c r="O1384" s="25"/>
      <c r="P1384" s="25"/>
      <c r="Q1384" s="25"/>
      <c r="R1384" s="25"/>
      <c r="S1384" s="151"/>
      <c r="T1384" s="151"/>
      <c r="U1384" s="151"/>
      <c r="V1384" s="73"/>
      <c r="W1384" s="28"/>
      <c r="X1384" s="24"/>
    </row>
    <row r="1385" spans="2:24">
      <c r="B1385" s="24"/>
      <c r="C1385" s="47"/>
      <c r="D1385" s="26"/>
      <c r="E1385" s="27"/>
      <c r="F1385" s="25"/>
      <c r="G1385" s="25"/>
      <c r="H1385" s="25"/>
      <c r="I1385" s="25"/>
      <c r="J1385" s="25"/>
      <c r="K1385" s="25"/>
      <c r="L1385" s="25"/>
      <c r="M1385" s="25"/>
      <c r="N1385" s="25"/>
      <c r="O1385" s="25"/>
      <c r="P1385" s="25"/>
      <c r="Q1385" s="25"/>
      <c r="R1385" s="25"/>
      <c r="S1385" s="151"/>
      <c r="T1385" s="151"/>
      <c r="U1385" s="151"/>
      <c r="V1385" s="73"/>
      <c r="W1385" s="28"/>
      <c r="X1385" s="24"/>
    </row>
    <row r="1386" spans="2:24">
      <c r="B1386" s="24"/>
      <c r="C1386" s="47"/>
      <c r="D1386" s="26"/>
      <c r="E1386" s="27"/>
      <c r="F1386" s="25"/>
      <c r="G1386" s="25"/>
      <c r="H1386" s="25"/>
      <c r="I1386" s="25"/>
      <c r="J1386" s="25"/>
      <c r="K1386" s="25"/>
      <c r="L1386" s="25"/>
      <c r="M1386" s="25"/>
      <c r="N1386" s="25"/>
      <c r="O1386" s="25"/>
      <c r="P1386" s="25"/>
      <c r="Q1386" s="25"/>
      <c r="R1386" s="25"/>
      <c r="S1386" s="151"/>
      <c r="T1386" s="151"/>
      <c r="U1386" s="151"/>
      <c r="V1386" s="73"/>
      <c r="W1386" s="28"/>
      <c r="X1386" s="24"/>
    </row>
    <row r="1387" spans="2:24">
      <c r="B1387" s="24"/>
      <c r="C1387" s="47"/>
      <c r="D1387" s="26"/>
      <c r="E1387" s="27"/>
      <c r="F1387" s="25"/>
      <c r="G1387" s="25"/>
      <c r="H1387" s="25"/>
      <c r="I1387" s="25"/>
      <c r="J1387" s="25"/>
      <c r="K1387" s="25"/>
      <c r="L1387" s="25"/>
      <c r="M1387" s="25"/>
      <c r="N1387" s="25"/>
      <c r="O1387" s="25"/>
      <c r="P1387" s="25"/>
      <c r="Q1387" s="25"/>
      <c r="R1387" s="25"/>
      <c r="S1387" s="151"/>
      <c r="T1387" s="151"/>
      <c r="U1387" s="151"/>
      <c r="V1387" s="73"/>
      <c r="W1387" s="28"/>
      <c r="X1387" s="24"/>
    </row>
    <row r="1388" spans="2:24">
      <c r="B1388" s="24"/>
      <c r="C1388" s="47"/>
      <c r="D1388" s="26"/>
      <c r="E1388" s="27"/>
      <c r="F1388" s="25"/>
      <c r="G1388" s="25"/>
      <c r="H1388" s="25"/>
      <c r="I1388" s="25"/>
      <c r="J1388" s="25"/>
      <c r="K1388" s="25"/>
      <c r="L1388" s="25"/>
      <c r="M1388" s="25"/>
      <c r="N1388" s="25"/>
      <c r="O1388" s="25"/>
      <c r="P1388" s="25"/>
      <c r="Q1388" s="25"/>
      <c r="R1388" s="25"/>
      <c r="S1388" s="151"/>
      <c r="T1388" s="151"/>
      <c r="U1388" s="151"/>
      <c r="V1388" s="73"/>
      <c r="W1388" s="28"/>
      <c r="X1388" s="24"/>
    </row>
    <row r="1389" spans="2:24">
      <c r="B1389" s="24"/>
      <c r="C1389" s="47"/>
      <c r="D1389" s="26"/>
      <c r="E1389" s="27"/>
      <c r="F1389" s="25"/>
      <c r="G1389" s="25"/>
      <c r="H1389" s="25"/>
      <c r="I1389" s="25"/>
      <c r="J1389" s="25"/>
      <c r="K1389" s="25"/>
      <c r="L1389" s="25"/>
      <c r="M1389" s="25"/>
      <c r="N1389" s="25"/>
      <c r="O1389" s="25"/>
      <c r="P1389" s="25"/>
      <c r="Q1389" s="25"/>
      <c r="R1389" s="25"/>
      <c r="S1389" s="151"/>
      <c r="T1389" s="151"/>
      <c r="U1389" s="151"/>
      <c r="V1389" s="73"/>
      <c r="W1389" s="28"/>
      <c r="X1389" s="24"/>
    </row>
    <row r="1390" spans="2:24">
      <c r="B1390" s="24"/>
      <c r="C1390" s="47"/>
      <c r="D1390" s="26"/>
      <c r="E1390" s="27"/>
      <c r="F1390" s="25"/>
      <c r="G1390" s="25"/>
      <c r="H1390" s="25"/>
      <c r="I1390" s="25"/>
      <c r="J1390" s="25"/>
      <c r="K1390" s="25"/>
      <c r="L1390" s="25"/>
      <c r="M1390" s="25"/>
      <c r="N1390" s="25"/>
      <c r="O1390" s="25"/>
      <c r="P1390" s="25"/>
      <c r="Q1390" s="25"/>
      <c r="R1390" s="25"/>
      <c r="S1390" s="151"/>
      <c r="T1390" s="151"/>
      <c r="U1390" s="151"/>
      <c r="V1390" s="73"/>
      <c r="W1390" s="28"/>
      <c r="X1390" s="24"/>
    </row>
    <row r="1391" spans="2:24">
      <c r="B1391" s="24"/>
      <c r="C1391" s="47"/>
      <c r="D1391" s="26"/>
      <c r="E1391" s="27"/>
      <c r="F1391" s="25"/>
      <c r="G1391" s="25"/>
      <c r="H1391" s="25"/>
      <c r="I1391" s="25"/>
      <c r="J1391" s="25"/>
      <c r="K1391" s="25"/>
      <c r="L1391" s="25"/>
      <c r="M1391" s="25"/>
      <c r="N1391" s="25"/>
      <c r="O1391" s="25"/>
      <c r="P1391" s="25"/>
      <c r="Q1391" s="25"/>
      <c r="R1391" s="25"/>
      <c r="S1391" s="151"/>
      <c r="T1391" s="151"/>
      <c r="U1391" s="151"/>
      <c r="V1391" s="73"/>
      <c r="W1391" s="28"/>
      <c r="X1391" s="24"/>
    </row>
    <row r="1392" spans="2:24">
      <c r="B1392" s="24"/>
      <c r="C1392" s="47"/>
      <c r="D1392" s="26"/>
      <c r="E1392" s="27"/>
      <c r="F1392" s="25"/>
      <c r="G1392" s="25"/>
      <c r="H1392" s="25"/>
      <c r="I1392" s="25"/>
      <c r="J1392" s="25"/>
      <c r="K1392" s="25"/>
      <c r="L1392" s="25"/>
      <c r="M1392" s="25"/>
      <c r="N1392" s="25"/>
      <c r="O1392" s="25"/>
      <c r="P1392" s="25"/>
      <c r="Q1392" s="25"/>
      <c r="R1392" s="25"/>
      <c r="S1392" s="151"/>
      <c r="T1392" s="151"/>
      <c r="U1392" s="151"/>
      <c r="V1392" s="73"/>
      <c r="W1392" s="28"/>
      <c r="X1392" s="24"/>
    </row>
    <row r="1393" spans="2:24">
      <c r="B1393" s="24"/>
      <c r="C1393" s="47"/>
      <c r="D1393" s="26"/>
      <c r="E1393" s="27"/>
      <c r="F1393" s="25"/>
      <c r="G1393" s="25"/>
      <c r="H1393" s="25"/>
      <c r="I1393" s="25"/>
      <c r="J1393" s="25"/>
      <c r="K1393" s="25"/>
      <c r="L1393" s="25"/>
      <c r="M1393" s="25"/>
      <c r="N1393" s="25"/>
      <c r="O1393" s="25"/>
      <c r="P1393" s="25"/>
      <c r="Q1393" s="25"/>
      <c r="R1393" s="25"/>
      <c r="S1393" s="151"/>
      <c r="T1393" s="151"/>
      <c r="U1393" s="151"/>
      <c r="V1393" s="73"/>
      <c r="W1393" s="28"/>
      <c r="X1393" s="24"/>
    </row>
    <row r="1394" spans="2:24">
      <c r="B1394" s="24"/>
      <c r="C1394" s="47"/>
      <c r="D1394" s="26"/>
      <c r="E1394" s="27"/>
      <c r="F1394" s="25"/>
      <c r="G1394" s="25"/>
      <c r="H1394" s="25"/>
      <c r="I1394" s="25"/>
      <c r="J1394" s="25"/>
      <c r="K1394" s="25"/>
      <c r="L1394" s="25"/>
      <c r="M1394" s="25"/>
      <c r="N1394" s="25"/>
      <c r="O1394" s="25"/>
      <c r="P1394" s="25"/>
      <c r="Q1394" s="25"/>
      <c r="R1394" s="25"/>
      <c r="S1394" s="151"/>
      <c r="T1394" s="151"/>
      <c r="U1394" s="151"/>
      <c r="V1394" s="73"/>
      <c r="W1394" s="28"/>
      <c r="X1394" s="24"/>
    </row>
    <row r="1395" spans="2:24">
      <c r="B1395" s="24"/>
      <c r="C1395" s="47"/>
      <c r="D1395" s="26"/>
      <c r="E1395" s="27"/>
      <c r="F1395" s="25"/>
      <c r="G1395" s="25"/>
      <c r="H1395" s="25"/>
      <c r="I1395" s="25"/>
      <c r="J1395" s="25"/>
      <c r="K1395" s="25"/>
      <c r="L1395" s="25"/>
      <c r="M1395" s="25"/>
      <c r="N1395" s="25"/>
      <c r="O1395" s="25"/>
      <c r="P1395" s="25"/>
      <c r="Q1395" s="25"/>
      <c r="R1395" s="25"/>
      <c r="S1395" s="151"/>
      <c r="T1395" s="151"/>
      <c r="U1395" s="151"/>
      <c r="V1395" s="73"/>
      <c r="W1395" s="28"/>
      <c r="X1395" s="24"/>
    </row>
    <row r="1396" spans="2:24">
      <c r="B1396" s="24"/>
      <c r="C1396" s="47"/>
      <c r="D1396" s="26"/>
      <c r="E1396" s="27"/>
      <c r="F1396" s="25"/>
      <c r="G1396" s="25"/>
      <c r="H1396" s="25"/>
      <c r="I1396" s="25"/>
      <c r="J1396" s="25"/>
      <c r="K1396" s="25"/>
      <c r="L1396" s="25"/>
      <c r="M1396" s="25"/>
      <c r="N1396" s="25"/>
      <c r="O1396" s="25"/>
      <c r="P1396" s="25"/>
      <c r="Q1396" s="25"/>
      <c r="R1396" s="25"/>
      <c r="S1396" s="151"/>
      <c r="T1396" s="151"/>
      <c r="U1396" s="151"/>
      <c r="V1396" s="73"/>
      <c r="W1396" s="28"/>
      <c r="X1396" s="24"/>
    </row>
    <row r="1397" spans="2:24">
      <c r="B1397" s="24"/>
      <c r="C1397" s="47"/>
      <c r="D1397" s="26"/>
      <c r="E1397" s="27"/>
      <c r="F1397" s="25"/>
      <c r="G1397" s="25"/>
      <c r="H1397" s="25"/>
      <c r="I1397" s="25"/>
      <c r="J1397" s="25"/>
      <c r="K1397" s="25"/>
      <c r="L1397" s="25"/>
      <c r="M1397" s="25"/>
      <c r="N1397" s="25"/>
      <c r="O1397" s="25"/>
      <c r="P1397" s="25"/>
      <c r="Q1397" s="25"/>
      <c r="R1397" s="25"/>
      <c r="S1397" s="151"/>
      <c r="T1397" s="151"/>
      <c r="U1397" s="151"/>
      <c r="V1397" s="73"/>
      <c r="W1397" s="28"/>
      <c r="X1397" s="24"/>
    </row>
    <row r="1398" spans="2:24">
      <c r="B1398" s="24"/>
      <c r="C1398" s="47"/>
      <c r="D1398" s="26"/>
      <c r="E1398" s="27"/>
      <c r="F1398" s="25"/>
      <c r="G1398" s="25"/>
      <c r="H1398" s="25"/>
      <c r="I1398" s="25"/>
      <c r="J1398" s="25"/>
      <c r="K1398" s="25"/>
      <c r="L1398" s="25"/>
      <c r="M1398" s="25"/>
      <c r="N1398" s="25"/>
      <c r="O1398" s="25"/>
      <c r="P1398" s="25"/>
      <c r="Q1398" s="25"/>
      <c r="R1398" s="25"/>
      <c r="S1398" s="151"/>
      <c r="T1398" s="151"/>
      <c r="U1398" s="151"/>
      <c r="V1398" s="73"/>
      <c r="W1398" s="28"/>
      <c r="X1398" s="24"/>
    </row>
    <row r="1399" spans="2:24">
      <c r="B1399" s="24"/>
      <c r="C1399" s="47"/>
      <c r="D1399" s="26"/>
      <c r="E1399" s="27"/>
      <c r="F1399" s="25"/>
      <c r="G1399" s="25"/>
      <c r="H1399" s="25"/>
      <c r="I1399" s="25"/>
      <c r="J1399" s="25"/>
      <c r="K1399" s="25"/>
      <c r="L1399" s="25"/>
      <c r="M1399" s="25"/>
      <c r="N1399" s="25"/>
      <c r="O1399" s="25"/>
      <c r="P1399" s="25"/>
      <c r="Q1399" s="25"/>
      <c r="R1399" s="25"/>
      <c r="S1399" s="151"/>
      <c r="T1399" s="151"/>
      <c r="U1399" s="151"/>
      <c r="V1399" s="73"/>
      <c r="W1399" s="28"/>
      <c r="X1399" s="24"/>
    </row>
    <row r="1400" spans="2:24">
      <c r="B1400" s="24"/>
      <c r="C1400" s="47"/>
      <c r="D1400" s="26"/>
      <c r="E1400" s="27"/>
      <c r="F1400" s="25"/>
      <c r="G1400" s="25"/>
      <c r="H1400" s="25"/>
      <c r="I1400" s="25"/>
      <c r="J1400" s="25"/>
      <c r="K1400" s="25"/>
      <c r="L1400" s="25"/>
      <c r="M1400" s="25"/>
      <c r="N1400" s="25"/>
      <c r="O1400" s="25"/>
      <c r="P1400" s="25"/>
      <c r="Q1400" s="25"/>
      <c r="R1400" s="25"/>
      <c r="S1400" s="151"/>
      <c r="T1400" s="151"/>
      <c r="U1400" s="151"/>
      <c r="V1400" s="73"/>
      <c r="W1400" s="28"/>
      <c r="X1400" s="24"/>
    </row>
    <row r="1401" spans="2:24">
      <c r="B1401" s="24"/>
      <c r="C1401" s="47"/>
      <c r="D1401" s="26"/>
      <c r="E1401" s="27"/>
      <c r="F1401" s="25"/>
      <c r="G1401" s="25"/>
      <c r="H1401" s="25"/>
      <c r="I1401" s="25"/>
      <c r="J1401" s="25"/>
      <c r="K1401" s="25"/>
      <c r="L1401" s="25"/>
      <c r="M1401" s="25"/>
      <c r="N1401" s="25"/>
      <c r="O1401" s="25"/>
      <c r="P1401" s="25"/>
      <c r="Q1401" s="25"/>
      <c r="R1401" s="25"/>
      <c r="S1401" s="151"/>
      <c r="T1401" s="151"/>
      <c r="U1401" s="151"/>
      <c r="V1401" s="73"/>
      <c r="W1401" s="28"/>
      <c r="X1401" s="24"/>
    </row>
    <row r="1402" spans="2:24">
      <c r="B1402" s="24"/>
      <c r="C1402" s="47"/>
      <c r="D1402" s="26"/>
      <c r="E1402" s="27"/>
      <c r="F1402" s="25"/>
      <c r="G1402" s="25"/>
      <c r="H1402" s="25"/>
      <c r="I1402" s="25"/>
      <c r="J1402" s="25"/>
      <c r="K1402" s="25"/>
      <c r="L1402" s="25"/>
      <c r="M1402" s="25"/>
      <c r="N1402" s="25"/>
      <c r="O1402" s="25"/>
      <c r="P1402" s="25"/>
      <c r="Q1402" s="25"/>
      <c r="R1402" s="25"/>
      <c r="S1402" s="151"/>
      <c r="T1402" s="151"/>
      <c r="U1402" s="151"/>
      <c r="V1402" s="73"/>
      <c r="W1402" s="28"/>
      <c r="X1402" s="24"/>
    </row>
    <row r="1403" spans="2:24">
      <c r="B1403" s="24"/>
      <c r="C1403" s="47"/>
      <c r="D1403" s="26"/>
      <c r="E1403" s="27"/>
      <c r="F1403" s="25"/>
      <c r="G1403" s="25"/>
      <c r="H1403" s="25"/>
      <c r="I1403" s="25"/>
      <c r="J1403" s="25"/>
      <c r="K1403" s="25"/>
      <c r="L1403" s="25"/>
      <c r="M1403" s="25"/>
      <c r="N1403" s="25"/>
      <c r="O1403" s="25"/>
      <c r="P1403" s="25"/>
      <c r="Q1403" s="25"/>
      <c r="R1403" s="25"/>
      <c r="S1403" s="151"/>
      <c r="T1403" s="151"/>
      <c r="U1403" s="151"/>
      <c r="V1403" s="73"/>
      <c r="W1403" s="28"/>
      <c r="X1403" s="24"/>
    </row>
    <row r="1404" spans="2:24">
      <c r="B1404" s="24"/>
      <c r="C1404" s="47"/>
      <c r="D1404" s="26"/>
      <c r="E1404" s="27"/>
      <c r="F1404" s="25"/>
      <c r="G1404" s="25"/>
      <c r="H1404" s="25"/>
      <c r="I1404" s="25"/>
      <c r="J1404" s="25"/>
      <c r="K1404" s="25"/>
      <c r="L1404" s="25"/>
      <c r="M1404" s="25"/>
      <c r="N1404" s="25"/>
      <c r="O1404" s="25"/>
      <c r="P1404" s="25"/>
      <c r="Q1404" s="25"/>
      <c r="R1404" s="25"/>
      <c r="S1404" s="151"/>
      <c r="T1404" s="151"/>
      <c r="U1404" s="151"/>
      <c r="V1404" s="73"/>
      <c r="W1404" s="28"/>
      <c r="X1404" s="24"/>
    </row>
    <row r="1405" spans="2:24">
      <c r="B1405" s="24"/>
      <c r="C1405" s="47"/>
      <c r="D1405" s="26"/>
      <c r="E1405" s="27"/>
      <c r="F1405" s="25"/>
      <c r="G1405" s="25"/>
      <c r="H1405" s="25"/>
      <c r="I1405" s="25"/>
      <c r="J1405" s="25"/>
      <c r="K1405" s="25"/>
      <c r="L1405" s="25"/>
      <c r="M1405" s="25"/>
      <c r="N1405" s="25"/>
      <c r="O1405" s="25"/>
      <c r="P1405" s="25"/>
      <c r="Q1405" s="25"/>
      <c r="R1405" s="25"/>
      <c r="S1405" s="151"/>
      <c r="T1405" s="151"/>
      <c r="U1405" s="151"/>
      <c r="V1405" s="73"/>
      <c r="W1405" s="28"/>
      <c r="X1405" s="24"/>
    </row>
    <row r="1406" spans="2:24">
      <c r="B1406" s="24"/>
      <c r="C1406" s="47"/>
      <c r="D1406" s="26"/>
      <c r="E1406" s="27"/>
      <c r="F1406" s="25"/>
      <c r="G1406" s="25"/>
      <c r="H1406" s="25"/>
      <c r="I1406" s="25"/>
      <c r="J1406" s="25"/>
      <c r="K1406" s="25"/>
      <c r="L1406" s="25"/>
      <c r="M1406" s="25"/>
      <c r="N1406" s="25"/>
      <c r="O1406" s="25"/>
      <c r="P1406" s="25"/>
      <c r="Q1406" s="25"/>
      <c r="R1406" s="25"/>
      <c r="S1406" s="151"/>
      <c r="T1406" s="151"/>
      <c r="U1406" s="151"/>
      <c r="V1406" s="73"/>
      <c r="W1406" s="28"/>
      <c r="X1406" s="24"/>
    </row>
    <row r="1407" spans="2:24">
      <c r="B1407" s="24"/>
      <c r="C1407" s="47"/>
      <c r="D1407" s="26"/>
      <c r="E1407" s="27"/>
      <c r="F1407" s="25"/>
      <c r="G1407" s="25"/>
      <c r="H1407" s="25"/>
      <c r="I1407" s="25"/>
      <c r="J1407" s="25"/>
      <c r="K1407" s="25"/>
      <c r="L1407" s="25"/>
      <c r="M1407" s="25"/>
      <c r="N1407" s="25"/>
      <c r="O1407" s="25"/>
      <c r="P1407" s="25"/>
      <c r="Q1407" s="25"/>
      <c r="R1407" s="25"/>
      <c r="S1407" s="151"/>
      <c r="T1407" s="151"/>
      <c r="U1407" s="151"/>
      <c r="V1407" s="73"/>
      <c r="W1407" s="28"/>
      <c r="X1407" s="24"/>
    </row>
    <row r="1408" spans="2:24">
      <c r="B1408" s="24"/>
      <c r="C1408" s="47"/>
      <c r="D1408" s="26"/>
      <c r="E1408" s="27"/>
      <c r="F1408" s="25"/>
      <c r="G1408" s="25"/>
      <c r="H1408" s="25"/>
      <c r="I1408" s="25"/>
      <c r="J1408" s="25"/>
      <c r="K1408" s="25"/>
      <c r="L1408" s="25"/>
      <c r="M1408" s="25"/>
      <c r="N1408" s="25"/>
      <c r="O1408" s="25"/>
      <c r="P1408" s="25"/>
      <c r="Q1408" s="25"/>
      <c r="R1408" s="25"/>
      <c r="S1408" s="151"/>
      <c r="T1408" s="151"/>
      <c r="U1408" s="151"/>
      <c r="V1408" s="73"/>
      <c r="W1408" s="28"/>
      <c r="X1408" s="24"/>
    </row>
    <row r="1409" spans="2:24">
      <c r="B1409" s="24"/>
      <c r="C1409" s="47"/>
      <c r="D1409" s="26"/>
      <c r="E1409" s="27"/>
      <c r="F1409" s="25"/>
      <c r="G1409" s="25"/>
      <c r="H1409" s="25"/>
      <c r="I1409" s="25"/>
      <c r="J1409" s="25"/>
      <c r="K1409" s="25"/>
      <c r="L1409" s="25"/>
      <c r="M1409" s="25"/>
      <c r="N1409" s="25"/>
      <c r="O1409" s="25"/>
      <c r="P1409" s="25"/>
      <c r="Q1409" s="25"/>
      <c r="R1409" s="25"/>
      <c r="S1409" s="151"/>
      <c r="T1409" s="151"/>
      <c r="U1409" s="151"/>
      <c r="V1409" s="73"/>
      <c r="W1409" s="28"/>
      <c r="X1409" s="24"/>
    </row>
    <row r="1410" spans="2:24">
      <c r="B1410" s="24"/>
      <c r="C1410" s="47"/>
      <c r="D1410" s="26"/>
      <c r="E1410" s="27"/>
      <c r="F1410" s="25"/>
      <c r="G1410" s="25"/>
      <c r="H1410" s="25"/>
      <c r="I1410" s="25"/>
      <c r="J1410" s="25"/>
      <c r="K1410" s="25"/>
      <c r="L1410" s="25"/>
      <c r="M1410" s="25"/>
      <c r="N1410" s="25"/>
      <c r="O1410" s="25"/>
      <c r="P1410" s="25"/>
      <c r="Q1410" s="25"/>
      <c r="R1410" s="25"/>
      <c r="S1410" s="151"/>
      <c r="T1410" s="151"/>
      <c r="U1410" s="151"/>
      <c r="V1410" s="73"/>
      <c r="W1410" s="28"/>
      <c r="X1410" s="24"/>
    </row>
    <row r="1411" spans="2:24">
      <c r="B1411" s="24"/>
      <c r="C1411" s="47"/>
      <c r="D1411" s="26"/>
      <c r="E1411" s="27"/>
      <c r="F1411" s="25"/>
      <c r="G1411" s="25"/>
      <c r="H1411" s="25"/>
      <c r="I1411" s="25"/>
      <c r="J1411" s="25"/>
      <c r="K1411" s="25"/>
      <c r="L1411" s="25"/>
      <c r="M1411" s="25"/>
      <c r="N1411" s="25"/>
      <c r="O1411" s="25"/>
      <c r="P1411" s="25"/>
      <c r="Q1411" s="25"/>
      <c r="R1411" s="25"/>
      <c r="S1411" s="151"/>
      <c r="T1411" s="151"/>
      <c r="U1411" s="151"/>
      <c r="V1411" s="73"/>
      <c r="W1411" s="28"/>
      <c r="X1411" s="24"/>
    </row>
    <row r="1412" spans="2:24">
      <c r="B1412" s="24"/>
      <c r="C1412" s="47"/>
      <c r="D1412" s="26"/>
      <c r="E1412" s="27"/>
      <c r="F1412" s="25"/>
      <c r="G1412" s="25"/>
      <c r="H1412" s="25"/>
      <c r="I1412" s="25"/>
      <c r="J1412" s="25"/>
      <c r="K1412" s="25"/>
      <c r="L1412" s="25"/>
      <c r="M1412" s="25"/>
      <c r="N1412" s="25"/>
      <c r="O1412" s="25"/>
      <c r="P1412" s="25"/>
      <c r="Q1412" s="25"/>
      <c r="R1412" s="25"/>
      <c r="S1412" s="151"/>
      <c r="T1412" s="151"/>
      <c r="U1412" s="151"/>
      <c r="V1412" s="73"/>
      <c r="W1412" s="28"/>
      <c r="X1412" s="24"/>
    </row>
    <row r="1413" spans="2:24">
      <c r="B1413" s="24"/>
      <c r="C1413" s="47"/>
      <c r="D1413" s="26"/>
      <c r="E1413" s="27"/>
      <c r="F1413" s="25"/>
      <c r="G1413" s="25"/>
      <c r="H1413" s="25"/>
      <c r="I1413" s="25"/>
      <c r="J1413" s="25"/>
      <c r="K1413" s="25"/>
      <c r="L1413" s="25"/>
      <c r="M1413" s="25"/>
      <c r="N1413" s="25"/>
      <c r="O1413" s="25"/>
      <c r="P1413" s="25"/>
      <c r="Q1413" s="25"/>
      <c r="R1413" s="25"/>
      <c r="S1413" s="151"/>
      <c r="T1413" s="151"/>
      <c r="U1413" s="151"/>
      <c r="V1413" s="73"/>
      <c r="W1413" s="28"/>
      <c r="X1413" s="24"/>
    </row>
    <row r="1414" spans="2:24">
      <c r="B1414" s="24"/>
      <c r="C1414" s="47"/>
      <c r="D1414" s="26"/>
      <c r="E1414" s="27"/>
      <c r="F1414" s="25"/>
      <c r="G1414" s="25"/>
      <c r="H1414" s="25"/>
      <c r="I1414" s="25"/>
      <c r="J1414" s="25"/>
      <c r="K1414" s="25"/>
      <c r="L1414" s="25"/>
      <c r="M1414" s="25"/>
      <c r="N1414" s="25"/>
      <c r="O1414" s="25"/>
      <c r="P1414" s="25"/>
      <c r="Q1414" s="25"/>
      <c r="R1414" s="25"/>
      <c r="S1414" s="151"/>
      <c r="T1414" s="151"/>
      <c r="U1414" s="151"/>
      <c r="V1414" s="73"/>
      <c r="W1414" s="28"/>
      <c r="X1414" s="24"/>
    </row>
    <row r="1415" spans="2:24">
      <c r="B1415" s="24"/>
      <c r="C1415" s="47"/>
      <c r="D1415" s="26"/>
      <c r="E1415" s="27"/>
      <c r="F1415" s="25"/>
      <c r="G1415" s="25"/>
      <c r="H1415" s="25"/>
      <c r="I1415" s="25"/>
      <c r="J1415" s="25"/>
      <c r="K1415" s="25"/>
      <c r="L1415" s="25"/>
      <c r="M1415" s="25"/>
      <c r="N1415" s="25"/>
      <c r="O1415" s="25"/>
      <c r="P1415" s="25"/>
      <c r="Q1415" s="25"/>
      <c r="R1415" s="25"/>
      <c r="S1415" s="151"/>
      <c r="T1415" s="151"/>
      <c r="U1415" s="151"/>
      <c r="V1415" s="73"/>
      <c r="W1415" s="28"/>
      <c r="X1415" s="24"/>
    </row>
    <row r="1416" spans="2:24">
      <c r="B1416" s="24"/>
      <c r="C1416" s="47"/>
      <c r="D1416" s="26"/>
      <c r="E1416" s="27"/>
      <c r="F1416" s="25"/>
      <c r="G1416" s="25"/>
      <c r="H1416" s="25"/>
      <c r="I1416" s="25"/>
      <c r="J1416" s="25"/>
      <c r="K1416" s="25"/>
      <c r="L1416" s="25"/>
      <c r="M1416" s="25"/>
      <c r="N1416" s="25"/>
      <c r="O1416" s="25"/>
      <c r="P1416" s="25"/>
      <c r="Q1416" s="25"/>
      <c r="R1416" s="25"/>
      <c r="S1416" s="151"/>
      <c r="T1416" s="151"/>
      <c r="U1416" s="151"/>
      <c r="V1416" s="73"/>
      <c r="W1416" s="28"/>
      <c r="X1416" s="24"/>
    </row>
    <row r="1417" spans="2:24">
      <c r="B1417" s="24"/>
      <c r="C1417" s="47"/>
      <c r="D1417" s="26"/>
      <c r="E1417" s="27"/>
      <c r="F1417" s="25"/>
      <c r="G1417" s="25"/>
      <c r="H1417" s="25"/>
      <c r="I1417" s="25"/>
      <c r="J1417" s="25"/>
      <c r="K1417" s="25"/>
      <c r="L1417" s="25"/>
      <c r="M1417" s="25"/>
      <c r="N1417" s="25"/>
      <c r="O1417" s="25"/>
      <c r="P1417" s="25"/>
      <c r="Q1417" s="25"/>
      <c r="R1417" s="25"/>
      <c r="S1417" s="151"/>
      <c r="T1417" s="151"/>
      <c r="U1417" s="151"/>
      <c r="V1417" s="73"/>
      <c r="W1417" s="28"/>
      <c r="X1417" s="24"/>
    </row>
    <row r="1418" spans="2:24">
      <c r="B1418" s="24"/>
      <c r="C1418" s="47"/>
      <c r="D1418" s="26"/>
      <c r="E1418" s="27"/>
      <c r="F1418" s="25"/>
      <c r="G1418" s="25"/>
      <c r="H1418" s="25"/>
      <c r="I1418" s="25"/>
      <c r="J1418" s="25"/>
      <c r="K1418" s="25"/>
      <c r="L1418" s="25"/>
      <c r="M1418" s="25"/>
      <c r="N1418" s="25"/>
      <c r="O1418" s="25"/>
      <c r="P1418" s="25"/>
      <c r="Q1418" s="25"/>
      <c r="R1418" s="25"/>
      <c r="S1418" s="151"/>
      <c r="T1418" s="151"/>
      <c r="U1418" s="151"/>
      <c r="V1418" s="73"/>
      <c r="W1418" s="28"/>
      <c r="X1418" s="24"/>
    </row>
    <row r="1419" spans="2:24">
      <c r="B1419" s="24"/>
      <c r="C1419" s="47"/>
      <c r="D1419" s="26"/>
      <c r="E1419" s="27"/>
      <c r="F1419" s="25"/>
      <c r="G1419" s="25"/>
      <c r="H1419" s="25"/>
      <c r="I1419" s="25"/>
      <c r="J1419" s="25"/>
      <c r="K1419" s="25"/>
      <c r="L1419" s="25"/>
      <c r="M1419" s="25"/>
      <c r="N1419" s="25"/>
      <c r="O1419" s="25"/>
      <c r="P1419" s="25"/>
      <c r="Q1419" s="25"/>
      <c r="R1419" s="25"/>
      <c r="S1419" s="151"/>
      <c r="T1419" s="151"/>
      <c r="U1419" s="151"/>
      <c r="V1419" s="73"/>
      <c r="W1419" s="28"/>
      <c r="X1419" s="24"/>
    </row>
    <row r="1420" spans="2:24">
      <c r="B1420" s="24"/>
      <c r="C1420" s="47"/>
      <c r="D1420" s="26"/>
      <c r="E1420" s="27"/>
      <c r="F1420" s="25"/>
      <c r="G1420" s="25"/>
      <c r="H1420" s="25"/>
      <c r="I1420" s="25"/>
      <c r="J1420" s="25"/>
      <c r="K1420" s="25"/>
      <c r="L1420" s="25"/>
      <c r="M1420" s="25"/>
      <c r="N1420" s="25"/>
      <c r="O1420" s="25"/>
      <c r="P1420" s="25"/>
      <c r="Q1420" s="25"/>
      <c r="R1420" s="25"/>
      <c r="S1420" s="151"/>
      <c r="T1420" s="151"/>
      <c r="U1420" s="151"/>
      <c r="V1420" s="73"/>
      <c r="W1420" s="28"/>
      <c r="X1420" s="24"/>
    </row>
    <row r="1421" spans="2:24">
      <c r="B1421" s="24"/>
      <c r="C1421" s="47"/>
      <c r="D1421" s="26"/>
      <c r="E1421" s="27"/>
      <c r="F1421" s="25"/>
      <c r="G1421" s="25"/>
      <c r="H1421" s="25"/>
      <c r="I1421" s="25"/>
      <c r="J1421" s="25"/>
      <c r="K1421" s="25"/>
      <c r="L1421" s="25"/>
      <c r="M1421" s="25"/>
      <c r="N1421" s="25"/>
      <c r="O1421" s="25"/>
      <c r="P1421" s="25"/>
      <c r="Q1421" s="25"/>
      <c r="R1421" s="25"/>
      <c r="S1421" s="151"/>
      <c r="T1421" s="151"/>
      <c r="U1421" s="151"/>
      <c r="V1421" s="73"/>
      <c r="W1421" s="28"/>
      <c r="X1421" s="24"/>
    </row>
    <row r="1422" spans="2:24">
      <c r="B1422" s="24"/>
      <c r="C1422" s="47"/>
      <c r="D1422" s="26"/>
      <c r="E1422" s="27"/>
      <c r="F1422" s="25"/>
      <c r="G1422" s="25"/>
      <c r="H1422" s="25"/>
      <c r="I1422" s="25"/>
      <c r="J1422" s="25"/>
      <c r="K1422" s="25"/>
      <c r="L1422" s="25"/>
      <c r="M1422" s="25"/>
      <c r="N1422" s="25"/>
      <c r="O1422" s="25"/>
      <c r="P1422" s="25"/>
      <c r="Q1422" s="25"/>
      <c r="R1422" s="25"/>
      <c r="S1422" s="151"/>
      <c r="T1422" s="151"/>
      <c r="U1422" s="151"/>
      <c r="V1422" s="73"/>
      <c r="W1422" s="28"/>
      <c r="X1422" s="24"/>
    </row>
    <row r="1423" spans="2:24">
      <c r="B1423" s="24"/>
      <c r="C1423" s="47"/>
      <c r="D1423" s="26"/>
      <c r="E1423" s="27"/>
      <c r="F1423" s="25"/>
      <c r="G1423" s="25"/>
      <c r="H1423" s="25"/>
      <c r="I1423" s="25"/>
      <c r="J1423" s="25"/>
      <c r="K1423" s="25"/>
      <c r="L1423" s="25"/>
      <c r="M1423" s="25"/>
      <c r="N1423" s="25"/>
      <c r="O1423" s="25"/>
      <c r="P1423" s="25"/>
      <c r="Q1423" s="25"/>
      <c r="R1423" s="25"/>
      <c r="S1423" s="151"/>
      <c r="T1423" s="151"/>
      <c r="U1423" s="151"/>
      <c r="V1423" s="73"/>
      <c r="W1423" s="28"/>
      <c r="X1423" s="24"/>
    </row>
    <row r="1424" spans="2:24">
      <c r="B1424" s="24"/>
      <c r="C1424" s="47"/>
      <c r="D1424" s="26"/>
      <c r="E1424" s="27"/>
      <c r="F1424" s="25"/>
      <c r="G1424" s="25"/>
      <c r="H1424" s="25"/>
      <c r="I1424" s="25"/>
      <c r="J1424" s="25"/>
      <c r="K1424" s="25"/>
      <c r="L1424" s="25"/>
      <c r="M1424" s="25"/>
      <c r="N1424" s="25"/>
      <c r="O1424" s="25"/>
      <c r="P1424" s="25"/>
      <c r="Q1424" s="25"/>
      <c r="R1424" s="25"/>
      <c r="S1424" s="151"/>
      <c r="T1424" s="151"/>
      <c r="U1424" s="151"/>
      <c r="V1424" s="73"/>
      <c r="W1424" s="28"/>
      <c r="X1424" s="24"/>
    </row>
    <row r="1425" spans="2:24">
      <c r="B1425" s="24"/>
      <c r="C1425" s="47"/>
      <c r="D1425" s="26"/>
      <c r="E1425" s="27"/>
      <c r="F1425" s="25"/>
      <c r="G1425" s="25"/>
      <c r="H1425" s="25"/>
      <c r="I1425" s="25"/>
      <c r="J1425" s="25"/>
      <c r="K1425" s="25"/>
      <c r="L1425" s="25"/>
      <c r="M1425" s="25"/>
      <c r="N1425" s="25"/>
      <c r="O1425" s="25"/>
      <c r="P1425" s="25"/>
      <c r="Q1425" s="25"/>
      <c r="R1425" s="25"/>
      <c r="S1425" s="151"/>
      <c r="T1425" s="151"/>
      <c r="U1425" s="151"/>
      <c r="V1425" s="73"/>
      <c r="W1425" s="28"/>
      <c r="X1425" s="24"/>
    </row>
    <row r="1426" spans="2:24">
      <c r="B1426" s="24"/>
      <c r="C1426" s="47"/>
      <c r="D1426" s="26"/>
      <c r="E1426" s="27"/>
      <c r="F1426" s="25"/>
      <c r="G1426" s="25"/>
      <c r="H1426" s="25"/>
      <c r="I1426" s="25"/>
      <c r="J1426" s="25"/>
      <c r="K1426" s="25"/>
      <c r="L1426" s="25"/>
      <c r="M1426" s="25"/>
      <c r="N1426" s="25"/>
      <c r="O1426" s="25"/>
      <c r="P1426" s="25"/>
      <c r="Q1426" s="25"/>
      <c r="R1426" s="25"/>
      <c r="S1426" s="151"/>
      <c r="T1426" s="151"/>
      <c r="U1426" s="151"/>
      <c r="V1426" s="73"/>
      <c r="W1426" s="28"/>
      <c r="X1426" s="24"/>
    </row>
    <row r="1427" spans="2:24">
      <c r="B1427" s="24"/>
      <c r="C1427" s="47"/>
      <c r="D1427" s="26"/>
      <c r="E1427" s="27"/>
      <c r="F1427" s="25"/>
      <c r="G1427" s="25"/>
      <c r="H1427" s="25"/>
      <c r="I1427" s="25"/>
      <c r="J1427" s="25"/>
      <c r="K1427" s="25"/>
      <c r="L1427" s="25"/>
      <c r="M1427" s="25"/>
      <c r="N1427" s="25"/>
      <c r="O1427" s="25"/>
      <c r="P1427" s="25"/>
      <c r="Q1427" s="25"/>
      <c r="R1427" s="25"/>
      <c r="S1427" s="151"/>
      <c r="T1427" s="151"/>
      <c r="U1427" s="151"/>
      <c r="V1427" s="73"/>
      <c r="W1427" s="28"/>
      <c r="X1427" s="24"/>
    </row>
    <row r="1428" spans="2:24">
      <c r="B1428" s="24"/>
      <c r="C1428" s="47"/>
      <c r="D1428" s="26"/>
      <c r="E1428" s="27"/>
      <c r="F1428" s="25"/>
      <c r="G1428" s="25"/>
      <c r="H1428" s="25"/>
      <c r="I1428" s="25"/>
      <c r="J1428" s="25"/>
      <c r="K1428" s="25"/>
      <c r="L1428" s="25"/>
      <c r="M1428" s="25"/>
      <c r="N1428" s="25"/>
      <c r="O1428" s="25"/>
      <c r="P1428" s="25"/>
      <c r="Q1428" s="25"/>
      <c r="R1428" s="25"/>
      <c r="S1428" s="151"/>
      <c r="T1428" s="151"/>
      <c r="U1428" s="151"/>
      <c r="V1428" s="73"/>
      <c r="W1428" s="28"/>
      <c r="X1428" s="24"/>
    </row>
    <row r="1429" spans="2:24">
      <c r="B1429" s="24"/>
      <c r="C1429" s="47"/>
      <c r="D1429" s="26"/>
      <c r="E1429" s="27"/>
      <c r="F1429" s="25"/>
      <c r="G1429" s="25"/>
      <c r="H1429" s="25"/>
      <c r="I1429" s="25"/>
      <c r="J1429" s="25"/>
      <c r="K1429" s="25"/>
      <c r="L1429" s="25"/>
      <c r="M1429" s="25"/>
      <c r="N1429" s="25"/>
      <c r="O1429" s="25"/>
      <c r="P1429" s="25"/>
      <c r="Q1429" s="25"/>
      <c r="R1429" s="25"/>
      <c r="S1429" s="151"/>
      <c r="T1429" s="151"/>
      <c r="U1429" s="151"/>
      <c r="V1429" s="73"/>
      <c r="W1429" s="28"/>
      <c r="X1429" s="24"/>
    </row>
    <row r="1430" spans="2:24">
      <c r="B1430" s="24"/>
      <c r="C1430" s="47"/>
      <c r="D1430" s="26"/>
      <c r="E1430" s="27"/>
      <c r="F1430" s="25"/>
      <c r="G1430" s="25"/>
      <c r="H1430" s="25"/>
      <c r="I1430" s="25"/>
      <c r="J1430" s="25"/>
      <c r="K1430" s="25"/>
      <c r="L1430" s="25"/>
      <c r="M1430" s="25"/>
      <c r="N1430" s="25"/>
      <c r="O1430" s="25"/>
      <c r="P1430" s="25"/>
      <c r="Q1430" s="25"/>
      <c r="R1430" s="25"/>
      <c r="S1430" s="151"/>
      <c r="T1430" s="151"/>
      <c r="U1430" s="151"/>
      <c r="V1430" s="73"/>
      <c r="W1430" s="28"/>
      <c r="X1430" s="24"/>
    </row>
    <row r="1431" spans="2:24">
      <c r="B1431" s="24"/>
      <c r="C1431" s="47"/>
      <c r="D1431" s="26"/>
      <c r="E1431" s="27"/>
      <c r="F1431" s="25"/>
      <c r="G1431" s="25"/>
      <c r="H1431" s="25"/>
      <c r="I1431" s="25"/>
      <c r="J1431" s="25"/>
      <c r="K1431" s="25"/>
      <c r="L1431" s="25"/>
      <c r="M1431" s="25"/>
      <c r="N1431" s="25"/>
      <c r="O1431" s="25"/>
      <c r="P1431" s="25"/>
      <c r="Q1431" s="25"/>
      <c r="R1431" s="25"/>
      <c r="S1431" s="151"/>
      <c r="T1431" s="151"/>
      <c r="U1431" s="151"/>
      <c r="V1431" s="73"/>
      <c r="W1431" s="28"/>
      <c r="X1431" s="24"/>
    </row>
    <row r="1432" spans="2:24">
      <c r="B1432" s="24"/>
      <c r="C1432" s="47"/>
      <c r="D1432" s="26"/>
      <c r="E1432" s="27"/>
      <c r="F1432" s="25"/>
      <c r="G1432" s="25"/>
      <c r="H1432" s="25"/>
      <c r="I1432" s="25"/>
      <c r="J1432" s="25"/>
      <c r="K1432" s="25"/>
      <c r="L1432" s="25"/>
      <c r="M1432" s="25"/>
      <c r="N1432" s="25"/>
      <c r="O1432" s="25"/>
      <c r="P1432" s="25"/>
      <c r="Q1432" s="25"/>
      <c r="R1432" s="25"/>
      <c r="S1432" s="151"/>
      <c r="T1432" s="151"/>
      <c r="U1432" s="151"/>
      <c r="V1432" s="73"/>
      <c r="W1432" s="28"/>
      <c r="X1432" s="24"/>
    </row>
    <row r="1433" spans="2:24">
      <c r="B1433" s="24"/>
      <c r="C1433" s="47"/>
      <c r="D1433" s="26"/>
      <c r="E1433" s="27"/>
      <c r="F1433" s="25"/>
      <c r="G1433" s="25"/>
      <c r="H1433" s="25"/>
      <c r="I1433" s="25"/>
      <c r="J1433" s="25"/>
      <c r="K1433" s="25"/>
      <c r="L1433" s="25"/>
      <c r="M1433" s="25"/>
      <c r="N1433" s="25"/>
      <c r="O1433" s="25"/>
      <c r="P1433" s="25"/>
      <c r="Q1433" s="25"/>
      <c r="R1433" s="25"/>
      <c r="S1433" s="151"/>
      <c r="T1433" s="151"/>
      <c r="U1433" s="151"/>
      <c r="V1433" s="73"/>
      <c r="W1433" s="28"/>
      <c r="X1433" s="24"/>
    </row>
    <row r="1434" spans="2:24">
      <c r="B1434" s="24"/>
      <c r="C1434" s="47"/>
      <c r="D1434" s="26"/>
      <c r="E1434" s="27"/>
      <c r="F1434" s="25"/>
      <c r="G1434" s="25"/>
      <c r="H1434" s="25"/>
      <c r="I1434" s="25"/>
      <c r="J1434" s="25"/>
      <c r="K1434" s="25"/>
      <c r="L1434" s="25"/>
      <c r="M1434" s="25"/>
      <c r="N1434" s="25"/>
      <c r="O1434" s="25"/>
      <c r="P1434" s="25"/>
      <c r="Q1434" s="25"/>
      <c r="R1434" s="25"/>
      <c r="S1434" s="151"/>
      <c r="T1434" s="151"/>
      <c r="U1434" s="151"/>
      <c r="V1434" s="73"/>
      <c r="W1434" s="28"/>
      <c r="X1434" s="24"/>
    </row>
    <row r="1435" spans="2:24">
      <c r="B1435" s="24"/>
      <c r="C1435" s="47"/>
      <c r="D1435" s="26"/>
      <c r="E1435" s="27"/>
      <c r="F1435" s="25"/>
      <c r="G1435" s="25"/>
      <c r="H1435" s="25"/>
      <c r="I1435" s="25"/>
      <c r="J1435" s="25"/>
      <c r="K1435" s="25"/>
      <c r="L1435" s="25"/>
      <c r="M1435" s="25"/>
      <c r="N1435" s="25"/>
      <c r="O1435" s="25"/>
      <c r="P1435" s="25"/>
      <c r="Q1435" s="25"/>
      <c r="R1435" s="25"/>
      <c r="S1435" s="151"/>
      <c r="T1435" s="151"/>
      <c r="U1435" s="151"/>
      <c r="V1435" s="73"/>
      <c r="W1435" s="28"/>
      <c r="X1435" s="24"/>
    </row>
    <row r="1436" spans="2:24">
      <c r="B1436" s="24"/>
      <c r="C1436" s="47"/>
      <c r="D1436" s="26"/>
      <c r="E1436" s="27"/>
      <c r="F1436" s="25"/>
      <c r="G1436" s="25"/>
      <c r="H1436" s="25"/>
      <c r="I1436" s="25"/>
      <c r="J1436" s="25"/>
      <c r="K1436" s="25"/>
      <c r="L1436" s="25"/>
      <c r="M1436" s="25"/>
      <c r="N1436" s="25"/>
      <c r="O1436" s="25"/>
      <c r="P1436" s="25"/>
      <c r="Q1436" s="25"/>
      <c r="R1436" s="25"/>
      <c r="S1436" s="151"/>
      <c r="T1436" s="151"/>
      <c r="U1436" s="151"/>
      <c r="V1436" s="73"/>
      <c r="W1436" s="28"/>
      <c r="X1436" s="24"/>
    </row>
    <row r="1437" spans="2:24">
      <c r="B1437" s="24"/>
      <c r="C1437" s="47"/>
      <c r="D1437" s="26"/>
      <c r="E1437" s="27"/>
      <c r="F1437" s="25"/>
      <c r="G1437" s="25"/>
      <c r="H1437" s="25"/>
      <c r="I1437" s="25"/>
      <c r="J1437" s="25"/>
      <c r="K1437" s="25"/>
      <c r="L1437" s="25"/>
      <c r="M1437" s="25"/>
      <c r="N1437" s="25"/>
      <c r="O1437" s="25"/>
      <c r="P1437" s="25"/>
      <c r="Q1437" s="25"/>
      <c r="R1437" s="25"/>
      <c r="S1437" s="151"/>
      <c r="T1437" s="151"/>
      <c r="U1437" s="151"/>
      <c r="V1437" s="73"/>
      <c r="W1437" s="28"/>
      <c r="X1437" s="24"/>
    </row>
    <row r="1438" spans="2:24">
      <c r="B1438" s="24"/>
      <c r="C1438" s="47"/>
      <c r="D1438" s="26"/>
      <c r="E1438" s="27"/>
      <c r="F1438" s="25"/>
      <c r="G1438" s="25"/>
      <c r="H1438" s="25"/>
      <c r="I1438" s="25"/>
      <c r="J1438" s="25"/>
      <c r="K1438" s="25"/>
      <c r="L1438" s="25"/>
      <c r="M1438" s="25"/>
      <c r="N1438" s="25"/>
      <c r="O1438" s="25"/>
      <c r="P1438" s="25"/>
      <c r="Q1438" s="25"/>
      <c r="R1438" s="25"/>
      <c r="S1438" s="151"/>
      <c r="T1438" s="151"/>
      <c r="U1438" s="151"/>
      <c r="V1438" s="73"/>
      <c r="W1438" s="28"/>
      <c r="X1438" s="24"/>
    </row>
    <row r="1439" spans="2:24">
      <c r="B1439" s="24"/>
      <c r="C1439" s="47"/>
      <c r="D1439" s="26"/>
      <c r="E1439" s="27"/>
      <c r="F1439" s="25"/>
      <c r="G1439" s="25"/>
      <c r="H1439" s="25"/>
      <c r="I1439" s="25"/>
      <c r="J1439" s="25"/>
      <c r="K1439" s="25"/>
      <c r="L1439" s="25"/>
      <c r="M1439" s="25"/>
      <c r="N1439" s="25"/>
      <c r="O1439" s="25"/>
      <c r="P1439" s="25"/>
      <c r="Q1439" s="25"/>
      <c r="R1439" s="25"/>
      <c r="S1439" s="151"/>
      <c r="T1439" s="151"/>
      <c r="U1439" s="151"/>
      <c r="V1439" s="73"/>
      <c r="W1439" s="28"/>
      <c r="X1439" s="24"/>
    </row>
    <row r="1440" spans="2:24">
      <c r="B1440" s="24"/>
      <c r="C1440" s="47"/>
      <c r="D1440" s="26"/>
      <c r="E1440" s="27"/>
      <c r="F1440" s="25"/>
      <c r="G1440" s="25"/>
      <c r="H1440" s="25"/>
      <c r="I1440" s="25"/>
      <c r="J1440" s="25"/>
      <c r="K1440" s="25"/>
      <c r="L1440" s="25"/>
      <c r="M1440" s="25"/>
      <c r="N1440" s="25"/>
      <c r="O1440" s="25"/>
      <c r="P1440" s="25"/>
      <c r="Q1440" s="25"/>
      <c r="R1440" s="25"/>
      <c r="S1440" s="151"/>
      <c r="T1440" s="151"/>
      <c r="U1440" s="151"/>
      <c r="V1440" s="73"/>
      <c r="W1440" s="28"/>
      <c r="X1440" s="24"/>
    </row>
    <row r="1441" spans="2:24">
      <c r="B1441" s="24"/>
      <c r="C1441" s="47"/>
      <c r="D1441" s="26"/>
      <c r="E1441" s="27"/>
      <c r="F1441" s="25"/>
      <c r="G1441" s="25"/>
      <c r="H1441" s="25"/>
      <c r="I1441" s="25"/>
      <c r="J1441" s="25"/>
      <c r="K1441" s="25"/>
      <c r="L1441" s="25"/>
      <c r="M1441" s="25"/>
      <c r="N1441" s="25"/>
      <c r="O1441" s="25"/>
      <c r="P1441" s="25"/>
      <c r="Q1441" s="25"/>
      <c r="R1441" s="25"/>
      <c r="S1441" s="151"/>
      <c r="T1441" s="151"/>
      <c r="U1441" s="151"/>
      <c r="V1441" s="73"/>
      <c r="W1441" s="28"/>
      <c r="X1441" s="24"/>
    </row>
    <row r="1442" spans="2:24">
      <c r="B1442" s="24"/>
      <c r="C1442" s="47"/>
      <c r="D1442" s="26"/>
      <c r="E1442" s="27"/>
      <c r="F1442" s="25"/>
      <c r="G1442" s="25"/>
      <c r="H1442" s="25"/>
      <c r="I1442" s="25"/>
      <c r="J1442" s="25"/>
      <c r="K1442" s="25"/>
      <c r="L1442" s="25"/>
      <c r="M1442" s="25"/>
      <c r="N1442" s="25"/>
      <c r="O1442" s="25"/>
      <c r="P1442" s="25"/>
      <c r="Q1442" s="25"/>
      <c r="R1442" s="25"/>
      <c r="S1442" s="151"/>
      <c r="T1442" s="151"/>
      <c r="U1442" s="151"/>
      <c r="V1442" s="73"/>
      <c r="W1442" s="28"/>
      <c r="X1442" s="24"/>
    </row>
    <row r="1443" spans="2:24">
      <c r="B1443" s="24"/>
      <c r="C1443" s="47"/>
      <c r="D1443" s="26"/>
      <c r="E1443" s="27"/>
      <c r="F1443" s="25"/>
      <c r="G1443" s="25"/>
      <c r="H1443" s="25"/>
      <c r="I1443" s="25"/>
      <c r="J1443" s="25"/>
      <c r="K1443" s="25"/>
      <c r="L1443" s="25"/>
      <c r="M1443" s="25"/>
      <c r="N1443" s="25"/>
      <c r="O1443" s="25"/>
      <c r="P1443" s="25"/>
      <c r="Q1443" s="25"/>
      <c r="R1443" s="25"/>
      <c r="S1443" s="151"/>
      <c r="T1443" s="151"/>
      <c r="U1443" s="151"/>
      <c r="V1443" s="73"/>
      <c r="W1443" s="28"/>
      <c r="X1443" s="24"/>
    </row>
    <row r="1444" spans="2:24">
      <c r="B1444" s="24"/>
      <c r="C1444" s="47"/>
      <c r="D1444" s="26"/>
      <c r="E1444" s="27"/>
      <c r="F1444" s="25"/>
      <c r="G1444" s="25"/>
      <c r="H1444" s="25"/>
      <c r="I1444" s="25"/>
      <c r="J1444" s="25"/>
      <c r="K1444" s="25"/>
      <c r="L1444" s="25"/>
      <c r="M1444" s="25"/>
      <c r="N1444" s="25"/>
      <c r="O1444" s="25"/>
      <c r="P1444" s="25"/>
      <c r="Q1444" s="25"/>
      <c r="R1444" s="25"/>
      <c r="S1444" s="151"/>
      <c r="T1444" s="151"/>
      <c r="U1444" s="151"/>
      <c r="V1444" s="73"/>
      <c r="W1444" s="28"/>
      <c r="X1444" s="24"/>
    </row>
    <row r="1445" spans="2:24">
      <c r="B1445" s="24"/>
      <c r="C1445" s="47"/>
      <c r="D1445" s="26"/>
      <c r="E1445" s="27"/>
      <c r="F1445" s="25"/>
      <c r="G1445" s="25"/>
      <c r="H1445" s="25"/>
      <c r="I1445" s="25"/>
      <c r="J1445" s="25"/>
      <c r="K1445" s="25"/>
      <c r="L1445" s="25"/>
      <c r="M1445" s="25"/>
      <c r="N1445" s="25"/>
      <c r="O1445" s="25"/>
      <c r="P1445" s="25"/>
      <c r="Q1445" s="25"/>
      <c r="R1445" s="25"/>
      <c r="S1445" s="151"/>
      <c r="T1445" s="151"/>
      <c r="U1445" s="151"/>
      <c r="V1445" s="73"/>
      <c r="W1445" s="28"/>
      <c r="X1445" s="24"/>
    </row>
    <row r="1446" spans="2:24">
      <c r="B1446" s="24"/>
      <c r="C1446" s="47"/>
      <c r="D1446" s="26"/>
      <c r="E1446" s="27"/>
      <c r="F1446" s="25"/>
      <c r="G1446" s="25"/>
      <c r="H1446" s="25"/>
      <c r="I1446" s="25"/>
      <c r="J1446" s="25"/>
      <c r="K1446" s="25"/>
      <c r="L1446" s="25"/>
      <c r="M1446" s="25"/>
      <c r="N1446" s="25"/>
      <c r="O1446" s="25"/>
      <c r="P1446" s="25"/>
      <c r="Q1446" s="25"/>
      <c r="R1446" s="25"/>
      <c r="S1446" s="151"/>
      <c r="T1446" s="151"/>
      <c r="U1446" s="151"/>
      <c r="V1446" s="73"/>
      <c r="W1446" s="28"/>
      <c r="X1446" s="24"/>
    </row>
    <row r="1447" spans="2:24">
      <c r="B1447" s="24"/>
      <c r="C1447" s="47"/>
      <c r="D1447" s="26"/>
      <c r="E1447" s="27"/>
      <c r="F1447" s="25"/>
      <c r="G1447" s="25"/>
      <c r="H1447" s="25"/>
      <c r="I1447" s="25"/>
      <c r="J1447" s="25"/>
      <c r="K1447" s="25"/>
      <c r="L1447" s="25"/>
      <c r="M1447" s="25"/>
      <c r="N1447" s="25"/>
      <c r="O1447" s="25"/>
      <c r="P1447" s="25"/>
      <c r="Q1447" s="25"/>
      <c r="R1447" s="25"/>
      <c r="S1447" s="151"/>
      <c r="T1447" s="151"/>
      <c r="U1447" s="151"/>
      <c r="V1447" s="73"/>
      <c r="W1447" s="28"/>
      <c r="X1447" s="24"/>
    </row>
    <row r="1448" spans="2:24">
      <c r="B1448" s="24"/>
      <c r="C1448" s="47"/>
      <c r="D1448" s="26"/>
      <c r="E1448" s="27"/>
      <c r="F1448" s="25"/>
      <c r="G1448" s="25"/>
      <c r="H1448" s="25"/>
      <c r="I1448" s="25"/>
      <c r="J1448" s="25"/>
      <c r="K1448" s="25"/>
      <c r="L1448" s="25"/>
      <c r="M1448" s="25"/>
      <c r="N1448" s="25"/>
      <c r="O1448" s="25"/>
      <c r="P1448" s="25"/>
      <c r="Q1448" s="25"/>
      <c r="R1448" s="25"/>
      <c r="S1448" s="151"/>
      <c r="T1448" s="151"/>
      <c r="U1448" s="151"/>
      <c r="V1448" s="73"/>
      <c r="W1448" s="28"/>
      <c r="X1448" s="24"/>
    </row>
    <row r="1449" spans="2:24">
      <c r="B1449" s="24"/>
      <c r="C1449" s="47"/>
      <c r="D1449" s="26"/>
      <c r="E1449" s="27"/>
      <c r="F1449" s="25"/>
      <c r="G1449" s="25"/>
      <c r="H1449" s="25"/>
      <c r="I1449" s="25"/>
      <c r="J1449" s="25"/>
      <c r="K1449" s="25"/>
      <c r="L1449" s="25"/>
      <c r="M1449" s="25"/>
      <c r="N1449" s="25"/>
      <c r="O1449" s="25"/>
      <c r="P1449" s="25"/>
      <c r="Q1449" s="25"/>
      <c r="R1449" s="25"/>
      <c r="S1449" s="151"/>
      <c r="T1449" s="151"/>
      <c r="U1449" s="151"/>
      <c r="V1449" s="73"/>
      <c r="W1449" s="28"/>
      <c r="X1449" s="24"/>
    </row>
    <row r="1450" spans="2:24">
      <c r="B1450" s="24"/>
      <c r="C1450" s="47"/>
      <c r="D1450" s="26"/>
      <c r="E1450" s="27"/>
      <c r="F1450" s="25"/>
      <c r="G1450" s="25"/>
      <c r="H1450" s="25"/>
      <c r="I1450" s="25"/>
      <c r="J1450" s="25"/>
      <c r="K1450" s="25"/>
      <c r="L1450" s="25"/>
      <c r="M1450" s="25"/>
      <c r="N1450" s="25"/>
      <c r="O1450" s="25"/>
      <c r="P1450" s="25"/>
      <c r="Q1450" s="25"/>
      <c r="R1450" s="25"/>
      <c r="S1450" s="151"/>
      <c r="T1450" s="151"/>
      <c r="U1450" s="151"/>
      <c r="V1450" s="73"/>
      <c r="W1450" s="28"/>
      <c r="X1450" s="24"/>
    </row>
    <row r="1451" spans="2:24">
      <c r="B1451" s="24"/>
      <c r="C1451" s="47"/>
      <c r="D1451" s="26"/>
      <c r="E1451" s="27"/>
      <c r="F1451" s="25"/>
      <c r="G1451" s="25"/>
      <c r="H1451" s="25"/>
      <c r="I1451" s="25"/>
      <c r="J1451" s="25"/>
      <c r="K1451" s="25"/>
      <c r="L1451" s="25"/>
      <c r="M1451" s="25"/>
      <c r="N1451" s="25"/>
      <c r="O1451" s="25"/>
      <c r="P1451" s="25"/>
      <c r="Q1451" s="25"/>
      <c r="R1451" s="25"/>
      <c r="S1451" s="151"/>
      <c r="T1451" s="151"/>
      <c r="U1451" s="151"/>
      <c r="V1451" s="73"/>
      <c r="W1451" s="28"/>
      <c r="X1451" s="24"/>
    </row>
    <row r="1452" spans="2:24">
      <c r="B1452" s="24"/>
      <c r="C1452" s="47"/>
      <c r="D1452" s="26"/>
      <c r="E1452" s="27"/>
      <c r="F1452" s="25"/>
      <c r="G1452" s="25"/>
      <c r="H1452" s="25"/>
      <c r="I1452" s="25"/>
      <c r="J1452" s="25"/>
      <c r="K1452" s="25"/>
      <c r="L1452" s="25"/>
      <c r="M1452" s="25"/>
      <c r="N1452" s="25"/>
      <c r="O1452" s="25"/>
      <c r="P1452" s="25"/>
      <c r="Q1452" s="25"/>
      <c r="R1452" s="25"/>
      <c r="S1452" s="151"/>
      <c r="T1452" s="151"/>
      <c r="U1452" s="151"/>
      <c r="V1452" s="73"/>
      <c r="W1452" s="28"/>
      <c r="X1452" s="24"/>
    </row>
    <row r="1453" spans="2:24">
      <c r="B1453" s="24"/>
      <c r="C1453" s="47"/>
      <c r="D1453" s="26"/>
      <c r="E1453" s="27"/>
      <c r="F1453" s="25"/>
      <c r="G1453" s="25"/>
      <c r="H1453" s="25"/>
      <c r="I1453" s="25"/>
      <c r="J1453" s="25"/>
      <c r="K1453" s="25"/>
      <c r="L1453" s="25"/>
      <c r="M1453" s="25"/>
      <c r="N1453" s="25"/>
      <c r="O1453" s="25"/>
      <c r="P1453" s="25"/>
      <c r="Q1453" s="25"/>
      <c r="R1453" s="25"/>
      <c r="S1453" s="151"/>
      <c r="T1453" s="151"/>
      <c r="U1453" s="151"/>
      <c r="V1453" s="73"/>
      <c r="W1453" s="28"/>
      <c r="X1453" s="24"/>
    </row>
    <row r="1454" spans="2:24">
      <c r="B1454" s="24"/>
      <c r="C1454" s="47"/>
      <c r="D1454" s="26"/>
      <c r="E1454" s="27"/>
      <c r="F1454" s="25"/>
      <c r="G1454" s="25"/>
      <c r="H1454" s="25"/>
      <c r="I1454" s="25"/>
      <c r="J1454" s="25"/>
      <c r="K1454" s="25"/>
      <c r="L1454" s="25"/>
      <c r="M1454" s="25"/>
      <c r="N1454" s="25"/>
      <c r="O1454" s="25"/>
      <c r="P1454" s="25"/>
      <c r="Q1454" s="25"/>
      <c r="R1454" s="25"/>
      <c r="S1454" s="151"/>
      <c r="T1454" s="151"/>
      <c r="U1454" s="151"/>
      <c r="V1454" s="73"/>
      <c r="W1454" s="28"/>
      <c r="X1454" s="24"/>
    </row>
    <row r="1455" spans="2:24">
      <c r="B1455" s="24"/>
      <c r="C1455" s="47"/>
      <c r="D1455" s="26"/>
      <c r="E1455" s="27"/>
      <c r="F1455" s="25"/>
      <c r="G1455" s="25"/>
      <c r="H1455" s="25"/>
      <c r="I1455" s="25"/>
      <c r="J1455" s="25"/>
      <c r="K1455" s="25"/>
      <c r="L1455" s="25"/>
      <c r="M1455" s="25"/>
      <c r="N1455" s="25"/>
      <c r="O1455" s="25"/>
      <c r="P1455" s="25"/>
      <c r="Q1455" s="25"/>
      <c r="R1455" s="25"/>
      <c r="S1455" s="151"/>
      <c r="T1455" s="151"/>
      <c r="U1455" s="151"/>
      <c r="V1455" s="73"/>
      <c r="W1455" s="28"/>
      <c r="X1455" s="24"/>
    </row>
    <row r="1456" spans="2:24">
      <c r="B1456" s="24"/>
      <c r="C1456" s="47"/>
      <c r="D1456" s="26"/>
      <c r="E1456" s="27"/>
      <c r="F1456" s="25"/>
      <c r="G1456" s="25"/>
      <c r="H1456" s="25"/>
      <c r="I1456" s="25"/>
      <c r="J1456" s="25"/>
      <c r="K1456" s="25"/>
      <c r="L1456" s="25"/>
      <c r="M1456" s="25"/>
      <c r="N1456" s="25"/>
      <c r="O1456" s="25"/>
      <c r="P1456" s="25"/>
      <c r="Q1456" s="25"/>
      <c r="R1456" s="25"/>
      <c r="S1456" s="151"/>
      <c r="T1456" s="151"/>
      <c r="U1456" s="151"/>
      <c r="V1456" s="73"/>
      <c r="W1456" s="28"/>
      <c r="X1456" s="24"/>
    </row>
    <row r="1457" spans="2:24">
      <c r="B1457" s="24"/>
      <c r="C1457" s="47"/>
      <c r="D1457" s="26"/>
      <c r="E1457" s="27"/>
      <c r="F1457" s="25"/>
      <c r="G1457" s="25"/>
      <c r="H1457" s="25"/>
      <c r="I1457" s="25"/>
      <c r="J1457" s="25"/>
      <c r="K1457" s="25"/>
      <c r="L1457" s="25"/>
      <c r="M1457" s="25"/>
      <c r="N1457" s="25"/>
      <c r="O1457" s="25"/>
      <c r="P1457" s="25"/>
      <c r="Q1457" s="25"/>
      <c r="R1457" s="25"/>
      <c r="S1457" s="151"/>
      <c r="T1457" s="151"/>
      <c r="U1457" s="151"/>
      <c r="V1457" s="73"/>
      <c r="W1457" s="28"/>
      <c r="X1457" s="24"/>
    </row>
    <row r="1458" spans="2:24">
      <c r="B1458" s="24"/>
      <c r="C1458" s="47"/>
      <c r="D1458" s="26"/>
      <c r="E1458" s="27"/>
      <c r="F1458" s="25"/>
      <c r="G1458" s="25"/>
      <c r="H1458" s="25"/>
      <c r="I1458" s="25"/>
      <c r="J1458" s="25"/>
      <c r="K1458" s="25"/>
      <c r="L1458" s="25"/>
      <c r="M1458" s="25"/>
      <c r="N1458" s="25"/>
      <c r="O1458" s="25"/>
      <c r="P1458" s="25"/>
      <c r="Q1458" s="25"/>
      <c r="R1458" s="25"/>
      <c r="S1458" s="151"/>
      <c r="T1458" s="151"/>
      <c r="U1458" s="151"/>
      <c r="V1458" s="73"/>
      <c r="W1458" s="28"/>
      <c r="X1458" s="24"/>
    </row>
    <row r="1459" spans="2:24">
      <c r="B1459" s="24"/>
      <c r="C1459" s="47"/>
      <c r="D1459" s="26"/>
      <c r="E1459" s="27"/>
      <c r="F1459" s="25"/>
      <c r="G1459" s="25"/>
      <c r="H1459" s="25"/>
      <c r="I1459" s="25"/>
      <c r="J1459" s="25"/>
      <c r="K1459" s="25"/>
      <c r="L1459" s="25"/>
      <c r="M1459" s="25"/>
      <c r="N1459" s="25"/>
      <c r="O1459" s="25"/>
      <c r="P1459" s="25"/>
      <c r="Q1459" s="25"/>
      <c r="R1459" s="25"/>
      <c r="S1459" s="151"/>
      <c r="T1459" s="151"/>
      <c r="U1459" s="151"/>
      <c r="V1459" s="73"/>
      <c r="W1459" s="28"/>
      <c r="X1459" s="24"/>
    </row>
    <row r="1460" spans="2:24">
      <c r="B1460" s="24"/>
      <c r="C1460" s="47"/>
      <c r="D1460" s="26"/>
      <c r="E1460" s="27"/>
      <c r="F1460" s="25"/>
      <c r="G1460" s="25"/>
      <c r="H1460" s="25"/>
      <c r="I1460" s="25"/>
      <c r="J1460" s="25"/>
      <c r="K1460" s="25"/>
      <c r="L1460" s="25"/>
      <c r="M1460" s="25"/>
      <c r="N1460" s="25"/>
      <c r="O1460" s="25"/>
      <c r="P1460" s="25"/>
      <c r="Q1460" s="25"/>
      <c r="R1460" s="25"/>
      <c r="S1460" s="151"/>
      <c r="T1460" s="151"/>
      <c r="U1460" s="151"/>
      <c r="V1460" s="73"/>
      <c r="W1460" s="28"/>
      <c r="X1460" s="24"/>
    </row>
    <row r="1461" spans="2:24">
      <c r="B1461" s="24"/>
      <c r="C1461" s="47"/>
      <c r="D1461" s="26"/>
      <c r="E1461" s="27"/>
      <c r="F1461" s="25"/>
      <c r="G1461" s="25"/>
      <c r="H1461" s="25"/>
      <c r="I1461" s="25"/>
      <c r="J1461" s="25"/>
      <c r="K1461" s="25"/>
      <c r="L1461" s="25"/>
      <c r="M1461" s="25"/>
      <c r="N1461" s="25"/>
      <c r="O1461" s="25"/>
      <c r="P1461" s="25"/>
      <c r="Q1461" s="25"/>
      <c r="R1461" s="25"/>
      <c r="S1461" s="151"/>
      <c r="T1461" s="151"/>
      <c r="U1461" s="151"/>
      <c r="V1461" s="73"/>
      <c r="W1461" s="28"/>
      <c r="X1461" s="24"/>
    </row>
    <row r="1462" spans="2:24">
      <c r="B1462" s="24"/>
      <c r="C1462" s="47"/>
      <c r="D1462" s="26"/>
      <c r="E1462" s="27"/>
      <c r="F1462" s="25"/>
      <c r="G1462" s="25"/>
      <c r="H1462" s="25"/>
      <c r="I1462" s="25"/>
      <c r="J1462" s="25"/>
      <c r="K1462" s="25"/>
      <c r="L1462" s="25"/>
      <c r="M1462" s="25"/>
      <c r="N1462" s="25"/>
      <c r="O1462" s="25"/>
      <c r="P1462" s="25"/>
      <c r="Q1462" s="25"/>
      <c r="R1462" s="25"/>
      <c r="S1462" s="151"/>
      <c r="T1462" s="151"/>
      <c r="U1462" s="151"/>
      <c r="V1462" s="73"/>
      <c r="W1462" s="28"/>
      <c r="X1462" s="24"/>
    </row>
    <row r="1463" spans="2:24">
      <c r="B1463" s="24"/>
      <c r="C1463" s="47"/>
      <c r="D1463" s="26"/>
      <c r="E1463" s="27"/>
      <c r="F1463" s="25"/>
      <c r="G1463" s="25"/>
      <c r="H1463" s="25"/>
      <c r="I1463" s="25"/>
      <c r="J1463" s="25"/>
      <c r="K1463" s="25"/>
      <c r="L1463" s="25"/>
      <c r="M1463" s="25"/>
      <c r="N1463" s="25"/>
      <c r="O1463" s="25"/>
      <c r="P1463" s="25"/>
      <c r="Q1463" s="25"/>
      <c r="R1463" s="25"/>
      <c r="S1463" s="151"/>
      <c r="T1463" s="151"/>
      <c r="U1463" s="151"/>
      <c r="V1463" s="73"/>
      <c r="W1463" s="28"/>
      <c r="X1463" s="24"/>
    </row>
    <row r="1464" spans="2:24">
      <c r="B1464" s="24"/>
      <c r="C1464" s="47"/>
      <c r="D1464" s="26"/>
      <c r="E1464" s="27"/>
      <c r="F1464" s="25"/>
      <c r="G1464" s="25"/>
      <c r="H1464" s="25"/>
      <c r="I1464" s="25"/>
      <c r="J1464" s="25"/>
      <c r="K1464" s="25"/>
      <c r="L1464" s="25"/>
      <c r="M1464" s="25"/>
      <c r="N1464" s="25"/>
      <c r="O1464" s="25"/>
      <c r="P1464" s="25"/>
      <c r="Q1464" s="25"/>
      <c r="R1464" s="25"/>
      <c r="S1464" s="151"/>
      <c r="T1464" s="151"/>
      <c r="U1464" s="151"/>
      <c r="V1464" s="73"/>
      <c r="W1464" s="28"/>
      <c r="X1464" s="24"/>
    </row>
    <row r="1465" spans="2:24">
      <c r="B1465" s="24"/>
      <c r="C1465" s="47"/>
      <c r="D1465" s="26"/>
      <c r="E1465" s="27"/>
      <c r="F1465" s="25"/>
      <c r="G1465" s="25"/>
      <c r="H1465" s="25"/>
      <c r="I1465" s="25"/>
      <c r="J1465" s="25"/>
      <c r="K1465" s="25"/>
      <c r="L1465" s="25"/>
      <c r="M1465" s="25"/>
      <c r="N1465" s="25"/>
      <c r="O1465" s="25"/>
      <c r="P1465" s="25"/>
      <c r="Q1465" s="25"/>
      <c r="R1465" s="25"/>
      <c r="S1465" s="151"/>
      <c r="T1465" s="151"/>
      <c r="U1465" s="151"/>
      <c r="V1465" s="73"/>
      <c r="W1465" s="28"/>
      <c r="X1465" s="24"/>
    </row>
    <row r="1466" spans="2:24">
      <c r="B1466" s="24"/>
      <c r="C1466" s="47"/>
      <c r="D1466" s="26"/>
      <c r="E1466" s="27"/>
      <c r="F1466" s="25"/>
      <c r="G1466" s="25"/>
      <c r="H1466" s="25"/>
      <c r="I1466" s="25"/>
      <c r="J1466" s="25"/>
      <c r="K1466" s="25"/>
      <c r="L1466" s="25"/>
      <c r="M1466" s="25"/>
      <c r="N1466" s="25"/>
      <c r="O1466" s="25"/>
      <c r="P1466" s="25"/>
      <c r="Q1466" s="25"/>
      <c r="R1466" s="25"/>
      <c r="S1466" s="151"/>
      <c r="T1466" s="151"/>
      <c r="U1466" s="151"/>
      <c r="V1466" s="73"/>
      <c r="W1466" s="28"/>
      <c r="X1466" s="24"/>
    </row>
    <row r="1467" spans="2:24">
      <c r="B1467" s="24"/>
      <c r="C1467" s="47"/>
      <c r="D1467" s="26"/>
      <c r="E1467" s="27"/>
      <c r="F1467" s="25"/>
      <c r="G1467" s="25"/>
      <c r="H1467" s="25"/>
      <c r="I1467" s="25"/>
      <c r="J1467" s="25"/>
      <c r="K1467" s="25"/>
      <c r="L1467" s="25"/>
      <c r="M1467" s="25"/>
      <c r="N1467" s="25"/>
      <c r="O1467" s="25"/>
      <c r="P1467" s="25"/>
      <c r="Q1467" s="25"/>
      <c r="R1467" s="25"/>
      <c r="S1467" s="151"/>
      <c r="T1467" s="151"/>
      <c r="U1467" s="151"/>
      <c r="V1467" s="73"/>
      <c r="W1467" s="28"/>
      <c r="X1467" s="24"/>
    </row>
    <row r="1468" spans="2:24">
      <c r="B1468" s="24"/>
      <c r="C1468" s="47"/>
      <c r="D1468" s="26"/>
      <c r="E1468" s="27"/>
      <c r="F1468" s="25"/>
      <c r="G1468" s="25"/>
      <c r="H1468" s="25"/>
      <c r="I1468" s="25"/>
      <c r="J1468" s="25"/>
      <c r="K1468" s="25"/>
      <c r="L1468" s="25"/>
      <c r="M1468" s="25"/>
      <c r="N1468" s="25"/>
      <c r="O1468" s="25"/>
      <c r="P1468" s="25"/>
      <c r="Q1468" s="25"/>
      <c r="R1468" s="25"/>
      <c r="S1468" s="151"/>
      <c r="T1468" s="151"/>
      <c r="U1468" s="151"/>
      <c r="V1468" s="73"/>
      <c r="W1468" s="28"/>
      <c r="X1468" s="24"/>
    </row>
    <row r="1469" spans="2:24">
      <c r="B1469" s="24"/>
      <c r="C1469" s="47"/>
      <c r="D1469" s="26"/>
      <c r="E1469" s="27"/>
      <c r="F1469" s="25"/>
      <c r="G1469" s="25"/>
      <c r="H1469" s="25"/>
      <c r="I1469" s="25"/>
      <c r="J1469" s="25"/>
      <c r="K1469" s="25"/>
      <c r="L1469" s="25"/>
      <c r="M1469" s="25"/>
      <c r="N1469" s="25"/>
      <c r="O1469" s="25"/>
      <c r="P1469" s="25"/>
      <c r="Q1469" s="25"/>
      <c r="R1469" s="25"/>
      <c r="S1469" s="151"/>
      <c r="T1469" s="151"/>
      <c r="U1469" s="151"/>
      <c r="V1469" s="73"/>
      <c r="W1469" s="28"/>
      <c r="X1469" s="24"/>
    </row>
    <row r="1470" spans="2:24">
      <c r="B1470" s="24"/>
      <c r="C1470" s="47"/>
      <c r="D1470" s="26"/>
      <c r="E1470" s="27"/>
      <c r="F1470" s="25"/>
      <c r="G1470" s="25"/>
      <c r="H1470" s="25"/>
      <c r="I1470" s="25"/>
      <c r="J1470" s="25"/>
      <c r="K1470" s="25"/>
      <c r="L1470" s="25"/>
      <c r="M1470" s="25"/>
      <c r="N1470" s="25"/>
      <c r="O1470" s="25"/>
      <c r="P1470" s="25"/>
      <c r="Q1470" s="25"/>
      <c r="R1470" s="25"/>
      <c r="S1470" s="151"/>
      <c r="T1470" s="151"/>
      <c r="U1470" s="151"/>
      <c r="V1470" s="73"/>
      <c r="W1470" s="28"/>
      <c r="X1470" s="24"/>
    </row>
    <row r="1471" spans="2:24">
      <c r="B1471" s="24"/>
      <c r="C1471" s="47"/>
      <c r="D1471" s="26"/>
      <c r="E1471" s="27"/>
      <c r="F1471" s="25"/>
      <c r="G1471" s="25"/>
      <c r="H1471" s="25"/>
      <c r="I1471" s="25"/>
      <c r="J1471" s="25"/>
      <c r="K1471" s="25"/>
      <c r="L1471" s="25"/>
      <c r="M1471" s="25"/>
      <c r="N1471" s="25"/>
      <c r="O1471" s="25"/>
      <c r="P1471" s="25"/>
      <c r="Q1471" s="25"/>
      <c r="R1471" s="25"/>
      <c r="S1471" s="151"/>
      <c r="T1471" s="151"/>
      <c r="U1471" s="151"/>
      <c r="V1471" s="73"/>
      <c r="W1471" s="28"/>
      <c r="X1471" s="24"/>
    </row>
    <row r="1472" spans="2:24">
      <c r="B1472" s="24"/>
      <c r="C1472" s="47"/>
      <c r="D1472" s="26"/>
      <c r="E1472" s="27"/>
      <c r="F1472" s="25"/>
      <c r="G1472" s="25"/>
      <c r="H1472" s="25"/>
      <c r="I1472" s="25"/>
      <c r="J1472" s="25"/>
      <c r="K1472" s="25"/>
      <c r="L1472" s="25"/>
      <c r="M1472" s="25"/>
      <c r="N1472" s="25"/>
      <c r="O1472" s="25"/>
      <c r="P1472" s="25"/>
      <c r="Q1472" s="25"/>
      <c r="R1472" s="25"/>
      <c r="S1472" s="151"/>
      <c r="T1472" s="151"/>
      <c r="U1472" s="151"/>
      <c r="V1472" s="73"/>
      <c r="W1472" s="28"/>
      <c r="X1472" s="24"/>
    </row>
    <row r="1473" spans="2:24">
      <c r="B1473" s="24"/>
      <c r="C1473" s="47"/>
      <c r="D1473" s="26"/>
      <c r="E1473" s="27"/>
      <c r="F1473" s="25"/>
      <c r="G1473" s="25"/>
      <c r="H1473" s="25"/>
      <c r="I1473" s="25"/>
      <c r="J1473" s="25"/>
      <c r="K1473" s="25"/>
      <c r="L1473" s="25"/>
      <c r="M1473" s="25"/>
      <c r="N1473" s="25"/>
      <c r="O1473" s="25"/>
      <c r="P1473" s="25"/>
      <c r="Q1473" s="25"/>
      <c r="R1473" s="25"/>
      <c r="S1473" s="151"/>
      <c r="T1473" s="151"/>
      <c r="U1473" s="151"/>
      <c r="V1473" s="73"/>
      <c r="W1473" s="28"/>
      <c r="X1473" s="24"/>
    </row>
    <row r="1474" spans="2:24">
      <c r="B1474" s="24"/>
      <c r="C1474" s="47"/>
      <c r="D1474" s="26"/>
      <c r="E1474" s="27"/>
      <c r="F1474" s="25"/>
      <c r="G1474" s="25"/>
      <c r="H1474" s="25"/>
      <c r="I1474" s="25"/>
      <c r="J1474" s="25"/>
      <c r="K1474" s="25"/>
      <c r="L1474" s="25"/>
      <c r="M1474" s="25"/>
      <c r="N1474" s="25"/>
      <c r="O1474" s="25"/>
      <c r="P1474" s="25"/>
      <c r="Q1474" s="25"/>
      <c r="R1474" s="25"/>
      <c r="S1474" s="151"/>
      <c r="T1474" s="151"/>
      <c r="U1474" s="151"/>
      <c r="V1474" s="73"/>
      <c r="W1474" s="28"/>
      <c r="X1474" s="24"/>
    </row>
    <row r="1475" spans="2:24">
      <c r="B1475" s="24"/>
      <c r="C1475" s="47"/>
      <c r="D1475" s="26"/>
      <c r="E1475" s="27"/>
      <c r="F1475" s="25"/>
      <c r="G1475" s="25"/>
      <c r="H1475" s="25"/>
      <c r="I1475" s="25"/>
      <c r="J1475" s="25"/>
      <c r="K1475" s="25"/>
      <c r="L1475" s="25"/>
      <c r="M1475" s="25"/>
      <c r="N1475" s="25"/>
      <c r="O1475" s="25"/>
      <c r="P1475" s="25"/>
      <c r="Q1475" s="25"/>
      <c r="R1475" s="25"/>
      <c r="S1475" s="151"/>
      <c r="T1475" s="151"/>
      <c r="U1475" s="151"/>
      <c r="V1475" s="73"/>
      <c r="W1475" s="28"/>
      <c r="X1475" s="24"/>
    </row>
    <row r="1476" spans="2:24">
      <c r="B1476" s="24"/>
      <c r="C1476" s="47"/>
      <c r="D1476" s="26"/>
      <c r="E1476" s="27"/>
      <c r="F1476" s="25"/>
      <c r="G1476" s="25"/>
      <c r="H1476" s="25"/>
      <c r="I1476" s="25"/>
      <c r="J1476" s="25"/>
      <c r="K1476" s="25"/>
      <c r="L1476" s="25"/>
      <c r="M1476" s="25"/>
      <c r="N1476" s="25"/>
      <c r="O1476" s="25"/>
      <c r="P1476" s="25"/>
      <c r="Q1476" s="25"/>
      <c r="R1476" s="25"/>
      <c r="S1476" s="151"/>
      <c r="T1476" s="151"/>
      <c r="U1476" s="151"/>
      <c r="V1476" s="73"/>
      <c r="W1476" s="28"/>
      <c r="X1476" s="24"/>
    </row>
    <row r="1477" spans="2:24">
      <c r="B1477" s="24"/>
      <c r="C1477" s="47"/>
      <c r="D1477" s="26"/>
      <c r="E1477" s="27"/>
      <c r="F1477" s="25"/>
      <c r="G1477" s="25"/>
      <c r="H1477" s="25"/>
      <c r="I1477" s="25"/>
      <c r="J1477" s="25"/>
      <c r="K1477" s="25"/>
      <c r="L1477" s="25"/>
      <c r="M1477" s="25"/>
      <c r="N1477" s="25"/>
      <c r="O1477" s="25"/>
      <c r="P1477" s="25"/>
      <c r="Q1477" s="25"/>
      <c r="R1477" s="25"/>
      <c r="S1477" s="151"/>
      <c r="T1477" s="151"/>
      <c r="U1477" s="151"/>
      <c r="V1477" s="73"/>
      <c r="W1477" s="28"/>
      <c r="X1477" s="24"/>
    </row>
    <row r="1478" spans="2:24">
      <c r="B1478" s="24"/>
      <c r="C1478" s="47"/>
      <c r="D1478" s="26"/>
      <c r="E1478" s="27"/>
      <c r="F1478" s="25"/>
      <c r="G1478" s="25"/>
      <c r="H1478" s="25"/>
      <c r="I1478" s="25"/>
      <c r="J1478" s="25"/>
      <c r="K1478" s="25"/>
      <c r="L1478" s="25"/>
      <c r="M1478" s="25"/>
      <c r="N1478" s="25"/>
      <c r="O1478" s="25"/>
      <c r="P1478" s="25"/>
      <c r="Q1478" s="25"/>
      <c r="R1478" s="25"/>
      <c r="S1478" s="151"/>
      <c r="T1478" s="151"/>
      <c r="U1478" s="151"/>
      <c r="V1478" s="73"/>
      <c r="W1478" s="28"/>
      <c r="X1478" s="24"/>
    </row>
    <row r="1479" spans="2:24">
      <c r="B1479" s="24"/>
      <c r="C1479" s="47"/>
      <c r="D1479" s="26"/>
      <c r="E1479" s="27"/>
      <c r="F1479" s="25"/>
      <c r="G1479" s="25"/>
      <c r="H1479" s="25"/>
      <c r="I1479" s="25"/>
      <c r="J1479" s="25"/>
      <c r="K1479" s="25"/>
      <c r="L1479" s="25"/>
      <c r="M1479" s="25"/>
      <c r="N1479" s="25"/>
      <c r="O1479" s="25"/>
      <c r="P1479" s="25"/>
      <c r="Q1479" s="25"/>
      <c r="R1479" s="25"/>
      <c r="S1479" s="151"/>
      <c r="T1479" s="151"/>
      <c r="U1479" s="151"/>
      <c r="V1479" s="73"/>
      <c r="W1479" s="28"/>
      <c r="X1479" s="24"/>
    </row>
    <row r="1480" spans="2:24">
      <c r="B1480" s="24"/>
      <c r="C1480" s="47"/>
      <c r="D1480" s="26"/>
      <c r="E1480" s="27"/>
      <c r="F1480" s="25"/>
      <c r="G1480" s="25"/>
      <c r="H1480" s="25"/>
      <c r="I1480" s="25"/>
      <c r="J1480" s="25"/>
      <c r="K1480" s="25"/>
      <c r="L1480" s="25"/>
      <c r="M1480" s="25"/>
      <c r="N1480" s="25"/>
      <c r="O1480" s="25"/>
      <c r="P1480" s="25"/>
      <c r="Q1480" s="25"/>
      <c r="R1480" s="25"/>
      <c r="S1480" s="151"/>
      <c r="T1480" s="151"/>
      <c r="U1480" s="151"/>
      <c r="V1480" s="73"/>
      <c r="W1480" s="28"/>
      <c r="X1480" s="24"/>
    </row>
    <row r="1481" spans="2:24">
      <c r="B1481" s="24"/>
      <c r="C1481" s="47"/>
      <c r="D1481" s="26"/>
      <c r="E1481" s="27"/>
      <c r="F1481" s="25"/>
      <c r="G1481" s="25"/>
      <c r="H1481" s="25"/>
      <c r="I1481" s="25"/>
      <c r="J1481" s="25"/>
      <c r="K1481" s="25"/>
      <c r="L1481" s="25"/>
      <c r="M1481" s="25"/>
      <c r="N1481" s="25"/>
      <c r="O1481" s="25"/>
      <c r="P1481" s="25"/>
      <c r="Q1481" s="25"/>
      <c r="R1481" s="25"/>
      <c r="S1481" s="151"/>
      <c r="T1481" s="151"/>
      <c r="U1481" s="151"/>
      <c r="V1481" s="73"/>
      <c r="W1481" s="28"/>
      <c r="X1481" s="24"/>
    </row>
    <row r="1482" spans="2:24">
      <c r="B1482" s="24"/>
      <c r="C1482" s="47"/>
      <c r="D1482" s="26"/>
      <c r="E1482" s="27"/>
      <c r="F1482" s="25"/>
      <c r="G1482" s="25"/>
      <c r="H1482" s="25"/>
      <c r="I1482" s="25"/>
      <c r="J1482" s="25"/>
      <c r="K1482" s="25"/>
      <c r="L1482" s="25"/>
      <c r="M1482" s="25"/>
      <c r="N1482" s="25"/>
      <c r="O1482" s="25"/>
      <c r="P1482" s="25"/>
      <c r="Q1482" s="25"/>
      <c r="R1482" s="25"/>
      <c r="S1482" s="151"/>
      <c r="T1482" s="151"/>
      <c r="U1482" s="151"/>
      <c r="V1482" s="73"/>
      <c r="W1482" s="28"/>
      <c r="X1482" s="24"/>
    </row>
    <row r="1483" spans="2:24">
      <c r="B1483" s="24"/>
      <c r="C1483" s="47"/>
      <c r="D1483" s="26"/>
      <c r="E1483" s="27"/>
      <c r="F1483" s="25"/>
      <c r="G1483" s="25"/>
      <c r="H1483" s="25"/>
      <c r="I1483" s="25"/>
      <c r="J1483" s="25"/>
      <c r="K1483" s="25"/>
      <c r="L1483" s="25"/>
      <c r="M1483" s="25"/>
      <c r="N1483" s="25"/>
      <c r="O1483" s="25"/>
      <c r="P1483" s="25"/>
      <c r="Q1483" s="25"/>
      <c r="R1483" s="25"/>
      <c r="S1483" s="151"/>
      <c r="T1483" s="151"/>
      <c r="U1483" s="151"/>
      <c r="V1483" s="73"/>
      <c r="W1483" s="28"/>
      <c r="X1483" s="24"/>
    </row>
    <row r="1484" spans="2:24">
      <c r="B1484" s="24"/>
      <c r="C1484" s="47"/>
      <c r="D1484" s="26"/>
      <c r="E1484" s="27"/>
      <c r="F1484" s="25"/>
      <c r="G1484" s="25"/>
      <c r="H1484" s="25"/>
      <c r="I1484" s="25"/>
      <c r="J1484" s="25"/>
      <c r="K1484" s="25"/>
      <c r="L1484" s="25"/>
      <c r="M1484" s="25"/>
      <c r="N1484" s="25"/>
      <c r="O1484" s="25"/>
      <c r="P1484" s="25"/>
      <c r="Q1484" s="25"/>
      <c r="R1484" s="25"/>
      <c r="S1484" s="151"/>
      <c r="T1484" s="151"/>
      <c r="U1484" s="151"/>
      <c r="V1484" s="73"/>
      <c r="W1484" s="28"/>
      <c r="X1484" s="24"/>
    </row>
    <row r="1485" spans="2:24">
      <c r="B1485" s="24"/>
      <c r="C1485" s="47"/>
      <c r="D1485" s="26"/>
      <c r="E1485" s="27"/>
      <c r="F1485" s="25"/>
      <c r="G1485" s="25"/>
      <c r="H1485" s="25"/>
      <c r="I1485" s="25"/>
      <c r="J1485" s="25"/>
      <c r="K1485" s="25"/>
      <c r="L1485" s="25"/>
      <c r="M1485" s="25"/>
      <c r="N1485" s="25"/>
      <c r="O1485" s="25"/>
      <c r="P1485" s="25"/>
      <c r="Q1485" s="25"/>
      <c r="R1485" s="25"/>
      <c r="S1485" s="151"/>
      <c r="T1485" s="151"/>
      <c r="U1485" s="151"/>
      <c r="V1485" s="73"/>
      <c r="W1485" s="28"/>
      <c r="X1485" s="24"/>
    </row>
    <row r="1486" spans="2:24">
      <c r="B1486" s="24"/>
      <c r="C1486" s="47"/>
      <c r="D1486" s="26"/>
      <c r="E1486" s="27"/>
      <c r="F1486" s="25"/>
      <c r="G1486" s="25"/>
      <c r="H1486" s="25"/>
      <c r="I1486" s="25"/>
      <c r="J1486" s="25"/>
      <c r="K1486" s="25"/>
      <c r="L1486" s="25"/>
      <c r="M1486" s="25"/>
      <c r="N1486" s="25"/>
      <c r="O1486" s="25"/>
      <c r="P1486" s="25"/>
      <c r="Q1486" s="25"/>
      <c r="R1486" s="25"/>
      <c r="S1486" s="151"/>
      <c r="T1486" s="151"/>
      <c r="U1486" s="151"/>
      <c r="V1486" s="73"/>
      <c r="W1486" s="28"/>
      <c r="X1486" s="24"/>
    </row>
    <row r="1487" spans="2:24">
      <c r="B1487" s="24"/>
      <c r="C1487" s="47"/>
      <c r="D1487" s="26"/>
      <c r="E1487" s="27"/>
      <c r="F1487" s="25"/>
      <c r="G1487" s="25"/>
      <c r="H1487" s="25"/>
      <c r="I1487" s="25"/>
      <c r="J1487" s="25"/>
      <c r="K1487" s="25"/>
      <c r="L1487" s="25"/>
      <c r="M1487" s="25"/>
      <c r="N1487" s="25"/>
      <c r="O1487" s="25"/>
      <c r="P1487" s="25"/>
      <c r="Q1487" s="25"/>
      <c r="R1487" s="25"/>
      <c r="S1487" s="151"/>
      <c r="T1487" s="151"/>
      <c r="U1487" s="151"/>
      <c r="V1487" s="73"/>
      <c r="W1487" s="28"/>
      <c r="X1487" s="24"/>
    </row>
    <row r="1488" spans="2:24">
      <c r="B1488" s="24"/>
      <c r="C1488" s="47"/>
      <c r="D1488" s="26"/>
      <c r="E1488" s="27"/>
      <c r="F1488" s="25"/>
      <c r="G1488" s="25"/>
      <c r="H1488" s="25"/>
      <c r="I1488" s="25"/>
      <c r="J1488" s="25"/>
      <c r="K1488" s="25"/>
      <c r="L1488" s="25"/>
      <c r="M1488" s="25"/>
      <c r="N1488" s="25"/>
      <c r="O1488" s="25"/>
      <c r="P1488" s="25"/>
      <c r="Q1488" s="25"/>
      <c r="R1488" s="25"/>
      <c r="S1488" s="151"/>
      <c r="T1488" s="151"/>
      <c r="U1488" s="151"/>
      <c r="V1488" s="73"/>
      <c r="W1488" s="28"/>
      <c r="X1488" s="24"/>
    </row>
    <row r="1489" spans="2:24">
      <c r="B1489" s="24"/>
      <c r="C1489" s="47"/>
      <c r="D1489" s="26"/>
      <c r="E1489" s="27"/>
      <c r="F1489" s="25"/>
      <c r="G1489" s="25"/>
      <c r="H1489" s="25"/>
      <c r="I1489" s="25"/>
      <c r="J1489" s="25"/>
      <c r="K1489" s="25"/>
      <c r="L1489" s="25"/>
      <c r="M1489" s="25"/>
      <c r="N1489" s="25"/>
      <c r="O1489" s="25"/>
      <c r="P1489" s="25"/>
      <c r="Q1489" s="25"/>
      <c r="R1489" s="25"/>
      <c r="S1489" s="151"/>
      <c r="T1489" s="151"/>
      <c r="U1489" s="151"/>
      <c r="V1489" s="73"/>
      <c r="W1489" s="28"/>
      <c r="X1489" s="24"/>
    </row>
    <row r="1490" spans="2:24">
      <c r="B1490" s="24"/>
      <c r="C1490" s="47"/>
      <c r="D1490" s="26"/>
      <c r="E1490" s="27"/>
      <c r="F1490" s="25"/>
      <c r="G1490" s="25"/>
      <c r="H1490" s="25"/>
      <c r="I1490" s="25"/>
      <c r="J1490" s="25"/>
      <c r="K1490" s="25"/>
      <c r="L1490" s="25"/>
      <c r="M1490" s="25"/>
      <c r="N1490" s="25"/>
      <c r="O1490" s="25"/>
      <c r="P1490" s="25"/>
      <c r="Q1490" s="25"/>
      <c r="R1490" s="25"/>
      <c r="S1490" s="151"/>
      <c r="T1490" s="151"/>
      <c r="U1490" s="151"/>
      <c r="V1490" s="73"/>
      <c r="W1490" s="28"/>
      <c r="X1490" s="24"/>
    </row>
    <row r="1491" spans="2:24">
      <c r="B1491" s="24"/>
      <c r="C1491" s="47"/>
      <c r="D1491" s="26"/>
      <c r="E1491" s="27"/>
      <c r="F1491" s="25"/>
      <c r="G1491" s="25"/>
      <c r="H1491" s="25"/>
      <c r="I1491" s="25"/>
      <c r="J1491" s="25"/>
      <c r="K1491" s="25"/>
      <c r="L1491" s="25"/>
      <c r="M1491" s="25"/>
      <c r="N1491" s="25"/>
      <c r="O1491" s="25"/>
      <c r="P1491" s="25"/>
      <c r="Q1491" s="25"/>
      <c r="R1491" s="25"/>
      <c r="S1491" s="151"/>
      <c r="T1491" s="151"/>
      <c r="U1491" s="151"/>
      <c r="V1491" s="73"/>
      <c r="W1491" s="28"/>
      <c r="X1491" s="24"/>
    </row>
    <row r="1492" spans="2:24">
      <c r="B1492" s="24"/>
      <c r="C1492" s="47"/>
      <c r="D1492" s="26"/>
      <c r="E1492" s="27"/>
      <c r="F1492" s="25"/>
      <c r="G1492" s="25"/>
      <c r="H1492" s="25"/>
      <c r="I1492" s="25"/>
      <c r="J1492" s="25"/>
      <c r="K1492" s="25"/>
      <c r="L1492" s="25"/>
      <c r="M1492" s="25"/>
      <c r="N1492" s="25"/>
      <c r="O1492" s="25"/>
      <c r="P1492" s="25"/>
      <c r="Q1492" s="25"/>
      <c r="R1492" s="25"/>
      <c r="S1492" s="151"/>
      <c r="T1492" s="151"/>
      <c r="U1492" s="151"/>
      <c r="V1492" s="73"/>
      <c r="W1492" s="28"/>
      <c r="X1492" s="24"/>
    </row>
    <row r="1493" spans="2:24">
      <c r="B1493" s="24"/>
      <c r="C1493" s="47"/>
      <c r="D1493" s="26"/>
      <c r="E1493" s="27"/>
      <c r="F1493" s="25"/>
      <c r="G1493" s="25"/>
      <c r="H1493" s="25"/>
      <c r="I1493" s="25"/>
      <c r="J1493" s="25"/>
      <c r="K1493" s="25"/>
      <c r="L1493" s="25"/>
      <c r="M1493" s="25"/>
      <c r="N1493" s="25"/>
      <c r="O1493" s="25"/>
      <c r="P1493" s="25"/>
      <c r="Q1493" s="25"/>
      <c r="R1493" s="25"/>
      <c r="S1493" s="151"/>
      <c r="T1493" s="151"/>
      <c r="U1493" s="151"/>
      <c r="V1493" s="73"/>
      <c r="W1493" s="28"/>
      <c r="X1493" s="24"/>
    </row>
    <row r="1494" spans="2:24">
      <c r="B1494" s="24"/>
      <c r="C1494" s="47"/>
      <c r="D1494" s="26"/>
      <c r="E1494" s="27"/>
      <c r="F1494" s="25"/>
      <c r="G1494" s="25"/>
      <c r="H1494" s="25"/>
      <c r="I1494" s="25"/>
      <c r="J1494" s="25"/>
      <c r="K1494" s="25"/>
      <c r="L1494" s="25"/>
      <c r="M1494" s="25"/>
      <c r="N1494" s="25"/>
      <c r="O1494" s="25"/>
      <c r="P1494" s="25"/>
      <c r="Q1494" s="25"/>
      <c r="R1494" s="25"/>
      <c r="S1494" s="151"/>
      <c r="T1494" s="151"/>
      <c r="U1494" s="151"/>
      <c r="V1494" s="73"/>
      <c r="W1494" s="28"/>
      <c r="X1494" s="24"/>
    </row>
    <row r="1495" spans="2:24">
      <c r="B1495" s="24"/>
      <c r="C1495" s="47"/>
      <c r="D1495" s="26"/>
      <c r="E1495" s="27"/>
      <c r="F1495" s="25"/>
      <c r="G1495" s="25"/>
      <c r="H1495" s="25"/>
      <c r="I1495" s="25"/>
      <c r="J1495" s="25"/>
      <c r="K1495" s="25"/>
      <c r="L1495" s="25"/>
      <c r="M1495" s="25"/>
      <c r="N1495" s="25"/>
      <c r="O1495" s="25"/>
      <c r="P1495" s="25"/>
      <c r="Q1495" s="25"/>
      <c r="R1495" s="25"/>
      <c r="S1495" s="151"/>
      <c r="T1495" s="151"/>
      <c r="U1495" s="151"/>
      <c r="V1495" s="73"/>
      <c r="W1495" s="28"/>
      <c r="X1495" s="24"/>
    </row>
    <row r="1496" spans="2:24">
      <c r="B1496" s="24"/>
      <c r="C1496" s="47"/>
      <c r="D1496" s="26"/>
      <c r="E1496" s="27"/>
      <c r="F1496" s="25"/>
      <c r="G1496" s="25"/>
      <c r="H1496" s="25"/>
      <c r="I1496" s="25"/>
      <c r="J1496" s="25"/>
      <c r="K1496" s="25"/>
      <c r="L1496" s="25"/>
      <c r="M1496" s="25"/>
      <c r="N1496" s="25"/>
      <c r="O1496" s="25"/>
      <c r="P1496" s="25"/>
      <c r="Q1496" s="25"/>
      <c r="R1496" s="25"/>
      <c r="S1496" s="151"/>
      <c r="T1496" s="151"/>
      <c r="U1496" s="151"/>
      <c r="V1496" s="73"/>
      <c r="W1496" s="28"/>
      <c r="X1496" s="24"/>
    </row>
    <row r="1497" spans="2:24">
      <c r="B1497" s="24"/>
      <c r="C1497" s="47"/>
      <c r="D1497" s="26"/>
      <c r="E1497" s="27"/>
      <c r="F1497" s="25"/>
      <c r="G1497" s="25"/>
      <c r="H1497" s="25"/>
      <c r="I1497" s="25"/>
      <c r="J1497" s="25"/>
      <c r="K1497" s="25"/>
      <c r="L1497" s="25"/>
      <c r="M1497" s="25"/>
      <c r="N1497" s="25"/>
      <c r="O1497" s="25"/>
      <c r="P1497" s="25"/>
      <c r="Q1497" s="25"/>
      <c r="R1497" s="25"/>
      <c r="S1497" s="151"/>
      <c r="T1497" s="151"/>
      <c r="U1497" s="151"/>
      <c r="V1497" s="73"/>
      <c r="W1497" s="28"/>
      <c r="X1497" s="24"/>
    </row>
    <row r="1498" spans="2:24">
      <c r="B1498" s="24"/>
      <c r="C1498" s="47"/>
      <c r="D1498" s="26"/>
      <c r="E1498" s="27"/>
      <c r="F1498" s="25"/>
      <c r="G1498" s="25"/>
      <c r="H1498" s="25"/>
      <c r="I1498" s="25"/>
      <c r="J1498" s="25"/>
      <c r="K1498" s="25"/>
      <c r="L1498" s="25"/>
      <c r="M1498" s="25"/>
      <c r="N1498" s="25"/>
      <c r="O1498" s="25"/>
      <c r="P1498" s="25"/>
      <c r="Q1498" s="25"/>
      <c r="R1498" s="25"/>
      <c r="S1498" s="151"/>
      <c r="T1498" s="151"/>
      <c r="U1498" s="151"/>
      <c r="V1498" s="73"/>
      <c r="W1498" s="28"/>
      <c r="X1498" s="24"/>
    </row>
    <row r="1499" spans="2:24">
      <c r="B1499" s="24"/>
      <c r="C1499" s="47"/>
      <c r="D1499" s="26"/>
      <c r="E1499" s="27"/>
      <c r="F1499" s="25"/>
      <c r="G1499" s="25"/>
      <c r="H1499" s="25"/>
      <c r="I1499" s="25"/>
      <c r="J1499" s="25"/>
      <c r="K1499" s="25"/>
      <c r="L1499" s="25"/>
      <c r="M1499" s="25"/>
      <c r="N1499" s="25"/>
      <c r="O1499" s="25"/>
      <c r="P1499" s="25"/>
      <c r="Q1499" s="25"/>
      <c r="R1499" s="25"/>
      <c r="S1499" s="151"/>
      <c r="T1499" s="151"/>
      <c r="U1499" s="151"/>
      <c r="V1499" s="73"/>
      <c r="W1499" s="28"/>
      <c r="X1499" s="24"/>
    </row>
    <row r="1500" spans="2:24">
      <c r="B1500" s="24"/>
      <c r="C1500" s="47"/>
      <c r="D1500" s="26"/>
      <c r="E1500" s="27"/>
      <c r="F1500" s="25"/>
      <c r="G1500" s="25"/>
      <c r="H1500" s="25"/>
      <c r="I1500" s="25"/>
      <c r="J1500" s="25"/>
      <c r="K1500" s="25"/>
      <c r="L1500" s="25"/>
      <c r="M1500" s="25"/>
      <c r="N1500" s="25"/>
      <c r="O1500" s="25"/>
      <c r="P1500" s="25"/>
      <c r="Q1500" s="25"/>
      <c r="R1500" s="25"/>
      <c r="S1500" s="151"/>
      <c r="T1500" s="151"/>
      <c r="U1500" s="151"/>
      <c r="V1500" s="73"/>
      <c r="W1500" s="28"/>
      <c r="X1500" s="24"/>
    </row>
    <row r="1501" spans="2:24">
      <c r="B1501" s="24"/>
      <c r="C1501" s="47"/>
      <c r="D1501" s="26"/>
      <c r="E1501" s="27"/>
      <c r="F1501" s="25"/>
      <c r="G1501" s="25"/>
      <c r="H1501" s="25"/>
      <c r="I1501" s="25"/>
      <c r="J1501" s="25"/>
      <c r="K1501" s="25"/>
      <c r="L1501" s="25"/>
      <c r="M1501" s="25"/>
      <c r="N1501" s="25"/>
      <c r="O1501" s="25"/>
      <c r="P1501" s="25"/>
      <c r="Q1501" s="25"/>
      <c r="R1501" s="25"/>
      <c r="S1501" s="151"/>
      <c r="T1501" s="151"/>
      <c r="U1501" s="151"/>
      <c r="V1501" s="73"/>
      <c r="W1501" s="28"/>
      <c r="X1501" s="24"/>
    </row>
    <row r="1502" spans="2:24">
      <c r="B1502" s="24"/>
      <c r="C1502" s="47"/>
      <c r="D1502" s="26"/>
      <c r="E1502" s="27"/>
      <c r="F1502" s="25"/>
      <c r="G1502" s="25"/>
      <c r="H1502" s="25"/>
      <c r="I1502" s="25"/>
      <c r="J1502" s="25"/>
      <c r="K1502" s="25"/>
      <c r="L1502" s="25"/>
      <c r="M1502" s="25"/>
      <c r="N1502" s="25"/>
      <c r="O1502" s="25"/>
      <c r="P1502" s="25"/>
      <c r="Q1502" s="25"/>
      <c r="R1502" s="25"/>
      <c r="S1502" s="151"/>
      <c r="T1502" s="151"/>
      <c r="U1502" s="151"/>
      <c r="V1502" s="73"/>
      <c r="W1502" s="28"/>
      <c r="X1502" s="24"/>
    </row>
    <row r="1503" spans="2:24">
      <c r="B1503" s="24"/>
      <c r="C1503" s="47"/>
      <c r="D1503" s="26"/>
      <c r="E1503" s="27"/>
      <c r="F1503" s="25"/>
      <c r="G1503" s="25"/>
      <c r="H1503" s="25"/>
      <c r="I1503" s="25"/>
      <c r="J1503" s="25"/>
      <c r="K1503" s="25"/>
      <c r="L1503" s="25"/>
      <c r="M1503" s="25"/>
      <c r="N1503" s="25"/>
      <c r="O1503" s="25"/>
      <c r="P1503" s="25"/>
      <c r="Q1503" s="25"/>
      <c r="R1503" s="25"/>
      <c r="S1503" s="151"/>
      <c r="T1503" s="151"/>
      <c r="U1503" s="151"/>
      <c r="V1503" s="73"/>
      <c r="W1503" s="28"/>
      <c r="X1503" s="24"/>
    </row>
    <row r="1504" spans="2:24">
      <c r="B1504" s="24"/>
      <c r="C1504" s="47"/>
      <c r="D1504" s="26"/>
      <c r="E1504" s="27"/>
      <c r="F1504" s="25"/>
      <c r="G1504" s="25"/>
      <c r="H1504" s="25"/>
      <c r="I1504" s="25"/>
      <c r="J1504" s="25"/>
      <c r="K1504" s="25"/>
      <c r="L1504" s="25"/>
      <c r="M1504" s="25"/>
      <c r="N1504" s="25"/>
      <c r="O1504" s="25"/>
      <c r="P1504" s="25"/>
      <c r="Q1504" s="25"/>
      <c r="R1504" s="25"/>
      <c r="S1504" s="151"/>
      <c r="T1504" s="151"/>
      <c r="U1504" s="151"/>
      <c r="V1504" s="73"/>
      <c r="W1504" s="28"/>
      <c r="X1504" s="24"/>
    </row>
    <row r="1505" spans="2:24">
      <c r="B1505" s="24"/>
      <c r="C1505" s="47"/>
      <c r="D1505" s="26"/>
      <c r="E1505" s="27"/>
      <c r="F1505" s="25"/>
      <c r="G1505" s="25"/>
      <c r="H1505" s="25"/>
      <c r="I1505" s="25"/>
      <c r="J1505" s="25"/>
      <c r="K1505" s="25"/>
      <c r="L1505" s="25"/>
      <c r="M1505" s="25"/>
      <c r="N1505" s="25"/>
      <c r="O1505" s="25"/>
      <c r="P1505" s="25"/>
      <c r="Q1505" s="25"/>
      <c r="R1505" s="25"/>
      <c r="S1505" s="151"/>
      <c r="T1505" s="151"/>
      <c r="U1505" s="151"/>
      <c r="V1505" s="73"/>
      <c r="W1505" s="28"/>
      <c r="X1505" s="24"/>
    </row>
    <row r="1506" spans="2:24">
      <c r="B1506" s="24"/>
      <c r="C1506" s="47"/>
      <c r="D1506" s="26"/>
      <c r="E1506" s="27"/>
      <c r="F1506" s="25"/>
      <c r="G1506" s="25"/>
      <c r="H1506" s="25"/>
      <c r="I1506" s="25"/>
      <c r="J1506" s="25"/>
      <c r="K1506" s="25"/>
      <c r="L1506" s="25"/>
      <c r="M1506" s="25"/>
      <c r="N1506" s="25"/>
      <c r="O1506" s="25"/>
      <c r="P1506" s="25"/>
      <c r="Q1506" s="25"/>
      <c r="R1506" s="25"/>
      <c r="S1506" s="151"/>
      <c r="T1506" s="151"/>
      <c r="U1506" s="151"/>
      <c r="V1506" s="73"/>
      <c r="W1506" s="28"/>
      <c r="X1506" s="24"/>
    </row>
    <row r="1507" spans="2:24">
      <c r="B1507" s="24"/>
      <c r="C1507" s="47"/>
      <c r="D1507" s="26"/>
      <c r="E1507" s="27"/>
      <c r="F1507" s="25"/>
      <c r="G1507" s="25"/>
      <c r="H1507" s="25"/>
      <c r="I1507" s="25"/>
      <c r="J1507" s="25"/>
      <c r="K1507" s="25"/>
      <c r="L1507" s="25"/>
      <c r="M1507" s="25"/>
      <c r="N1507" s="25"/>
      <c r="O1507" s="25"/>
      <c r="P1507" s="25"/>
      <c r="Q1507" s="25"/>
      <c r="R1507" s="25"/>
      <c r="S1507" s="151"/>
      <c r="T1507" s="151"/>
      <c r="U1507" s="151"/>
      <c r="V1507" s="73"/>
      <c r="W1507" s="28"/>
      <c r="X1507" s="24"/>
    </row>
    <row r="1508" spans="2:24">
      <c r="B1508" s="24"/>
      <c r="C1508" s="47"/>
      <c r="D1508" s="26"/>
      <c r="E1508" s="27"/>
      <c r="F1508" s="25"/>
      <c r="G1508" s="25"/>
      <c r="H1508" s="25"/>
      <c r="I1508" s="25"/>
      <c r="J1508" s="25"/>
      <c r="K1508" s="25"/>
      <c r="L1508" s="25"/>
      <c r="M1508" s="25"/>
      <c r="N1508" s="25"/>
      <c r="O1508" s="25"/>
      <c r="P1508" s="25"/>
      <c r="Q1508" s="25"/>
      <c r="R1508" s="25"/>
      <c r="S1508" s="151"/>
      <c r="T1508" s="151"/>
      <c r="U1508" s="151"/>
      <c r="V1508" s="73"/>
      <c r="W1508" s="28"/>
      <c r="X1508" s="24"/>
    </row>
    <row r="1509" spans="2:24">
      <c r="B1509" s="24"/>
      <c r="C1509" s="47"/>
      <c r="D1509" s="26"/>
      <c r="E1509" s="27"/>
      <c r="F1509" s="25"/>
      <c r="G1509" s="25"/>
      <c r="H1509" s="25"/>
      <c r="I1509" s="25"/>
      <c r="J1509" s="25"/>
      <c r="K1509" s="25"/>
      <c r="L1509" s="25"/>
      <c r="M1509" s="25"/>
      <c r="N1509" s="25"/>
      <c r="O1509" s="25"/>
      <c r="P1509" s="25"/>
      <c r="Q1509" s="25"/>
      <c r="R1509" s="25"/>
      <c r="S1509" s="151"/>
      <c r="T1509" s="151"/>
      <c r="U1509" s="151"/>
      <c r="V1509" s="73"/>
      <c r="W1509" s="28"/>
      <c r="X1509" s="24"/>
    </row>
    <row r="1510" spans="2:24">
      <c r="B1510" s="24"/>
      <c r="C1510" s="47"/>
      <c r="D1510" s="26"/>
      <c r="E1510" s="27"/>
      <c r="F1510" s="25"/>
      <c r="G1510" s="25"/>
      <c r="H1510" s="25"/>
      <c r="I1510" s="25"/>
      <c r="J1510" s="25"/>
      <c r="K1510" s="25"/>
      <c r="L1510" s="25"/>
      <c r="M1510" s="25"/>
      <c r="N1510" s="25"/>
      <c r="O1510" s="25"/>
      <c r="P1510" s="25"/>
      <c r="Q1510" s="25"/>
      <c r="R1510" s="25"/>
      <c r="S1510" s="151"/>
      <c r="T1510" s="151"/>
      <c r="U1510" s="151"/>
      <c r="V1510" s="73"/>
      <c r="W1510" s="28"/>
      <c r="X1510" s="24"/>
    </row>
    <row r="1511" spans="2:24">
      <c r="B1511" s="24"/>
      <c r="C1511" s="47"/>
      <c r="D1511" s="26"/>
      <c r="E1511" s="27"/>
      <c r="F1511" s="25"/>
      <c r="G1511" s="25"/>
      <c r="H1511" s="25"/>
      <c r="I1511" s="25"/>
      <c r="J1511" s="25"/>
      <c r="K1511" s="25"/>
      <c r="L1511" s="25"/>
      <c r="M1511" s="25"/>
      <c r="N1511" s="25"/>
      <c r="O1511" s="25"/>
      <c r="P1511" s="25"/>
      <c r="Q1511" s="25"/>
      <c r="R1511" s="25"/>
      <c r="S1511" s="151"/>
      <c r="T1511" s="151"/>
      <c r="U1511" s="151"/>
      <c r="V1511" s="73"/>
      <c r="W1511" s="28"/>
      <c r="X1511" s="24"/>
    </row>
    <row r="1512" spans="2:24">
      <c r="B1512" s="24"/>
      <c r="C1512" s="47"/>
      <c r="D1512" s="26"/>
      <c r="E1512" s="27"/>
      <c r="F1512" s="25"/>
      <c r="G1512" s="25"/>
      <c r="H1512" s="25"/>
      <c r="I1512" s="25"/>
      <c r="J1512" s="25"/>
      <c r="K1512" s="25"/>
      <c r="L1512" s="25"/>
      <c r="M1512" s="25"/>
      <c r="N1512" s="25"/>
      <c r="O1512" s="25"/>
      <c r="P1512" s="25"/>
      <c r="Q1512" s="25"/>
      <c r="R1512" s="25"/>
      <c r="S1512" s="151"/>
      <c r="T1512" s="151"/>
      <c r="U1512" s="151"/>
      <c r="V1512" s="73"/>
      <c r="W1512" s="28"/>
      <c r="X1512" s="24"/>
    </row>
    <row r="1513" spans="2:24">
      <c r="B1513" s="24"/>
      <c r="C1513" s="47"/>
      <c r="D1513" s="26"/>
      <c r="E1513" s="27"/>
      <c r="F1513" s="25"/>
      <c r="G1513" s="25"/>
      <c r="H1513" s="25"/>
      <c r="I1513" s="25"/>
      <c r="J1513" s="25"/>
      <c r="K1513" s="25"/>
      <c r="L1513" s="25"/>
      <c r="M1513" s="25"/>
      <c r="N1513" s="25"/>
      <c r="O1513" s="25"/>
      <c r="P1513" s="25"/>
      <c r="Q1513" s="25"/>
      <c r="R1513" s="25"/>
      <c r="S1513" s="151"/>
      <c r="T1513" s="151"/>
      <c r="U1513" s="151"/>
      <c r="V1513" s="73"/>
      <c r="W1513" s="28"/>
      <c r="X1513" s="24"/>
    </row>
    <row r="1514" spans="2:24">
      <c r="B1514" s="24"/>
      <c r="C1514" s="47"/>
      <c r="D1514" s="26"/>
      <c r="E1514" s="27"/>
      <c r="F1514" s="25"/>
      <c r="G1514" s="25"/>
      <c r="H1514" s="25"/>
      <c r="I1514" s="25"/>
      <c r="J1514" s="25"/>
      <c r="K1514" s="25"/>
      <c r="L1514" s="25"/>
      <c r="M1514" s="25"/>
      <c r="N1514" s="25"/>
      <c r="O1514" s="25"/>
      <c r="P1514" s="25"/>
      <c r="Q1514" s="25"/>
      <c r="R1514" s="25"/>
      <c r="S1514" s="151"/>
      <c r="T1514" s="151"/>
      <c r="U1514" s="151"/>
      <c r="V1514" s="73"/>
      <c r="W1514" s="28"/>
      <c r="X1514" s="24"/>
    </row>
    <row r="1515" spans="2:24">
      <c r="B1515" s="24"/>
      <c r="C1515" s="47"/>
      <c r="D1515" s="26"/>
      <c r="E1515" s="27"/>
      <c r="F1515" s="25"/>
      <c r="G1515" s="25"/>
      <c r="H1515" s="25"/>
      <c r="I1515" s="25"/>
      <c r="J1515" s="25"/>
      <c r="K1515" s="25"/>
      <c r="L1515" s="25"/>
      <c r="M1515" s="25"/>
      <c r="N1515" s="25"/>
      <c r="O1515" s="25"/>
      <c r="P1515" s="25"/>
      <c r="Q1515" s="25"/>
      <c r="R1515" s="25"/>
      <c r="S1515" s="151"/>
      <c r="T1515" s="151"/>
      <c r="U1515" s="151"/>
      <c r="V1515" s="73"/>
      <c r="W1515" s="28"/>
      <c r="X1515" s="24"/>
    </row>
    <row r="1516" spans="2:24">
      <c r="B1516" s="24"/>
      <c r="C1516" s="47"/>
      <c r="D1516" s="26"/>
      <c r="E1516" s="27"/>
      <c r="F1516" s="25"/>
      <c r="G1516" s="25"/>
      <c r="H1516" s="25"/>
      <c r="I1516" s="25"/>
      <c r="J1516" s="25"/>
      <c r="K1516" s="25"/>
      <c r="L1516" s="25"/>
      <c r="M1516" s="25"/>
      <c r="N1516" s="25"/>
      <c r="O1516" s="25"/>
      <c r="P1516" s="25"/>
      <c r="Q1516" s="25"/>
      <c r="R1516" s="25"/>
      <c r="S1516" s="151"/>
      <c r="T1516" s="151"/>
      <c r="U1516" s="151"/>
      <c r="V1516" s="73"/>
      <c r="W1516" s="28"/>
      <c r="X1516" s="24"/>
    </row>
    <row r="1517" spans="2:24">
      <c r="B1517" s="24"/>
      <c r="C1517" s="47"/>
      <c r="D1517" s="26"/>
      <c r="E1517" s="27"/>
      <c r="F1517" s="25"/>
      <c r="G1517" s="25"/>
      <c r="H1517" s="25"/>
      <c r="I1517" s="25"/>
      <c r="J1517" s="25"/>
      <c r="K1517" s="25"/>
      <c r="L1517" s="25"/>
      <c r="M1517" s="25"/>
      <c r="N1517" s="25"/>
      <c r="O1517" s="25"/>
      <c r="P1517" s="25"/>
      <c r="Q1517" s="25"/>
      <c r="R1517" s="25"/>
      <c r="S1517" s="151"/>
      <c r="T1517" s="151"/>
      <c r="U1517" s="151"/>
      <c r="V1517" s="73"/>
      <c r="W1517" s="28"/>
      <c r="X1517" s="24"/>
    </row>
    <row r="1518" spans="2:24">
      <c r="B1518" s="24"/>
      <c r="C1518" s="47"/>
      <c r="D1518" s="26"/>
      <c r="E1518" s="27"/>
      <c r="F1518" s="25"/>
      <c r="G1518" s="25"/>
      <c r="H1518" s="25"/>
      <c r="I1518" s="25"/>
      <c r="J1518" s="25"/>
      <c r="K1518" s="25"/>
      <c r="L1518" s="25"/>
      <c r="M1518" s="25"/>
      <c r="N1518" s="25"/>
      <c r="O1518" s="25"/>
      <c r="P1518" s="25"/>
      <c r="Q1518" s="25"/>
      <c r="R1518" s="25"/>
      <c r="S1518" s="151"/>
      <c r="T1518" s="151"/>
      <c r="U1518" s="151"/>
      <c r="V1518" s="73"/>
      <c r="W1518" s="28"/>
      <c r="X1518" s="24"/>
    </row>
    <row r="1519" spans="2:24">
      <c r="B1519" s="24"/>
      <c r="C1519" s="47"/>
      <c r="D1519" s="26"/>
      <c r="E1519" s="27"/>
      <c r="F1519" s="25"/>
      <c r="G1519" s="25"/>
      <c r="H1519" s="25"/>
      <c r="I1519" s="25"/>
      <c r="J1519" s="25"/>
      <c r="K1519" s="25"/>
      <c r="L1519" s="25"/>
      <c r="M1519" s="25"/>
      <c r="N1519" s="25"/>
      <c r="O1519" s="25"/>
      <c r="P1519" s="25"/>
      <c r="Q1519" s="25"/>
      <c r="R1519" s="25"/>
      <c r="S1519" s="151"/>
      <c r="T1519" s="151"/>
      <c r="U1519" s="151"/>
      <c r="V1519" s="73"/>
      <c r="W1519" s="28"/>
      <c r="X1519" s="24"/>
    </row>
    <row r="1520" spans="2:24">
      <c r="B1520" s="24"/>
      <c r="C1520" s="47"/>
      <c r="D1520" s="26"/>
      <c r="E1520" s="27"/>
      <c r="F1520" s="25"/>
      <c r="G1520" s="25"/>
      <c r="H1520" s="25"/>
      <c r="I1520" s="25"/>
      <c r="J1520" s="25"/>
      <c r="K1520" s="25"/>
      <c r="L1520" s="25"/>
      <c r="M1520" s="25"/>
      <c r="N1520" s="25"/>
      <c r="O1520" s="25"/>
      <c r="P1520" s="25"/>
      <c r="Q1520" s="25"/>
      <c r="R1520" s="25"/>
      <c r="S1520" s="151"/>
      <c r="T1520" s="151"/>
      <c r="U1520" s="151"/>
      <c r="V1520" s="73"/>
      <c r="W1520" s="28"/>
      <c r="X1520" s="24"/>
    </row>
    <row r="1521" spans="2:24">
      <c r="B1521" s="24"/>
      <c r="C1521" s="47"/>
      <c r="D1521" s="26"/>
      <c r="E1521" s="27"/>
      <c r="F1521" s="25"/>
      <c r="G1521" s="25"/>
      <c r="H1521" s="25"/>
      <c r="I1521" s="25"/>
      <c r="J1521" s="25"/>
      <c r="K1521" s="25"/>
      <c r="L1521" s="25"/>
      <c r="M1521" s="25"/>
      <c r="N1521" s="25"/>
      <c r="O1521" s="25"/>
      <c r="P1521" s="25"/>
      <c r="Q1521" s="25"/>
      <c r="R1521" s="25"/>
      <c r="S1521" s="151"/>
      <c r="T1521" s="151"/>
      <c r="U1521" s="151"/>
      <c r="V1521" s="73"/>
      <c r="W1521" s="28"/>
      <c r="X1521" s="24"/>
    </row>
    <row r="1522" spans="2:24">
      <c r="B1522" s="24"/>
      <c r="C1522" s="47"/>
      <c r="D1522" s="26"/>
      <c r="E1522" s="27"/>
      <c r="F1522" s="25"/>
      <c r="G1522" s="25"/>
      <c r="H1522" s="25"/>
      <c r="I1522" s="25"/>
      <c r="J1522" s="25"/>
      <c r="K1522" s="25"/>
      <c r="L1522" s="25"/>
      <c r="M1522" s="25"/>
      <c r="N1522" s="25"/>
      <c r="O1522" s="25"/>
      <c r="P1522" s="25"/>
      <c r="Q1522" s="25"/>
      <c r="R1522" s="25"/>
      <c r="S1522" s="151"/>
      <c r="T1522" s="151"/>
      <c r="U1522" s="151"/>
      <c r="V1522" s="73"/>
      <c r="W1522" s="28"/>
      <c r="X1522" s="24"/>
    </row>
    <row r="1523" spans="2:24">
      <c r="B1523" s="24"/>
      <c r="C1523" s="47"/>
      <c r="D1523" s="26"/>
      <c r="E1523" s="27"/>
      <c r="F1523" s="25"/>
      <c r="G1523" s="25"/>
      <c r="H1523" s="25"/>
      <c r="I1523" s="25"/>
      <c r="J1523" s="25"/>
      <c r="K1523" s="25"/>
      <c r="L1523" s="25"/>
      <c r="M1523" s="25"/>
      <c r="N1523" s="25"/>
      <c r="O1523" s="25"/>
      <c r="P1523" s="25"/>
      <c r="Q1523" s="25"/>
      <c r="R1523" s="25"/>
      <c r="S1523" s="151"/>
      <c r="T1523" s="151"/>
      <c r="U1523" s="151"/>
      <c r="V1523" s="73"/>
      <c r="W1523" s="28"/>
      <c r="X1523" s="24"/>
    </row>
    <row r="1524" spans="2:24">
      <c r="B1524" s="24"/>
      <c r="C1524" s="47"/>
      <c r="D1524" s="26"/>
      <c r="E1524" s="27"/>
      <c r="F1524" s="25"/>
      <c r="G1524" s="25"/>
      <c r="H1524" s="25"/>
      <c r="I1524" s="25"/>
      <c r="J1524" s="25"/>
      <c r="K1524" s="25"/>
      <c r="L1524" s="25"/>
      <c r="M1524" s="25"/>
      <c r="N1524" s="25"/>
      <c r="O1524" s="25"/>
      <c r="P1524" s="25"/>
      <c r="Q1524" s="25"/>
      <c r="R1524" s="25"/>
      <c r="S1524" s="151"/>
      <c r="T1524" s="151"/>
      <c r="U1524" s="151"/>
      <c r="V1524" s="73"/>
      <c r="W1524" s="28"/>
      <c r="X1524" s="24"/>
    </row>
    <row r="1525" spans="2:24">
      <c r="B1525" s="24"/>
      <c r="C1525" s="47"/>
      <c r="D1525" s="26"/>
      <c r="E1525" s="27"/>
      <c r="F1525" s="25"/>
      <c r="G1525" s="25"/>
      <c r="H1525" s="25"/>
      <c r="I1525" s="25"/>
      <c r="J1525" s="25"/>
      <c r="K1525" s="25"/>
      <c r="L1525" s="25"/>
      <c r="M1525" s="25"/>
      <c r="N1525" s="25"/>
      <c r="O1525" s="25"/>
      <c r="P1525" s="25"/>
      <c r="Q1525" s="25"/>
      <c r="R1525" s="25"/>
      <c r="S1525" s="151"/>
      <c r="T1525" s="151"/>
      <c r="U1525" s="151"/>
      <c r="V1525" s="73"/>
      <c r="W1525" s="28"/>
      <c r="X1525" s="24"/>
    </row>
    <row r="1526" spans="2:24">
      <c r="B1526" s="24"/>
      <c r="C1526" s="47"/>
      <c r="D1526" s="26"/>
      <c r="E1526" s="27"/>
      <c r="F1526" s="25"/>
      <c r="G1526" s="25"/>
      <c r="H1526" s="25"/>
      <c r="I1526" s="25"/>
      <c r="J1526" s="25"/>
      <c r="K1526" s="25"/>
      <c r="L1526" s="25"/>
      <c r="M1526" s="25"/>
      <c r="N1526" s="25"/>
      <c r="O1526" s="25"/>
      <c r="P1526" s="25"/>
      <c r="Q1526" s="25"/>
      <c r="R1526" s="25"/>
      <c r="S1526" s="151"/>
      <c r="T1526" s="151"/>
      <c r="U1526" s="151"/>
      <c r="V1526" s="73"/>
      <c r="W1526" s="28"/>
      <c r="X1526" s="24"/>
    </row>
    <row r="1527" spans="2:24">
      <c r="B1527" s="24"/>
      <c r="C1527" s="47"/>
      <c r="D1527" s="26"/>
      <c r="E1527" s="27"/>
      <c r="F1527" s="25"/>
      <c r="G1527" s="25"/>
      <c r="H1527" s="25"/>
      <c r="I1527" s="25"/>
      <c r="J1527" s="25"/>
      <c r="K1527" s="25"/>
      <c r="L1527" s="25"/>
      <c r="M1527" s="25"/>
      <c r="N1527" s="25"/>
      <c r="O1527" s="25"/>
      <c r="P1527" s="25"/>
      <c r="Q1527" s="25"/>
      <c r="R1527" s="25"/>
      <c r="S1527" s="151"/>
      <c r="T1527" s="151"/>
      <c r="U1527" s="151"/>
      <c r="V1527" s="73"/>
      <c r="W1527" s="28"/>
      <c r="X1527" s="24"/>
    </row>
    <row r="1528" spans="2:24">
      <c r="B1528" s="24"/>
      <c r="C1528" s="47"/>
      <c r="D1528" s="26"/>
      <c r="E1528" s="27"/>
      <c r="F1528" s="25"/>
      <c r="G1528" s="25"/>
      <c r="H1528" s="25"/>
      <c r="I1528" s="25"/>
      <c r="J1528" s="25"/>
      <c r="K1528" s="25"/>
      <c r="L1528" s="25"/>
      <c r="M1528" s="25"/>
      <c r="N1528" s="25"/>
      <c r="O1528" s="25"/>
      <c r="P1528" s="25"/>
      <c r="Q1528" s="25"/>
      <c r="R1528" s="25"/>
      <c r="S1528" s="151"/>
      <c r="T1528" s="151"/>
      <c r="U1528" s="151"/>
      <c r="V1528" s="73"/>
      <c r="W1528" s="28"/>
      <c r="X1528" s="24"/>
    </row>
    <row r="1529" spans="2:24">
      <c r="B1529" s="24"/>
      <c r="C1529" s="47"/>
      <c r="D1529" s="26"/>
      <c r="E1529" s="27"/>
      <c r="F1529" s="25"/>
      <c r="G1529" s="25"/>
      <c r="H1529" s="25"/>
      <c r="I1529" s="25"/>
      <c r="J1529" s="25"/>
      <c r="K1529" s="25"/>
      <c r="L1529" s="25"/>
      <c r="M1529" s="25"/>
      <c r="N1529" s="25"/>
      <c r="O1529" s="25"/>
      <c r="P1529" s="25"/>
      <c r="Q1529" s="25"/>
      <c r="R1529" s="25"/>
      <c r="S1529" s="151"/>
      <c r="T1529" s="151"/>
      <c r="U1529" s="151"/>
      <c r="V1529" s="73"/>
      <c r="W1529" s="28"/>
      <c r="X1529" s="24"/>
    </row>
    <row r="1530" spans="2:24">
      <c r="B1530" s="24"/>
      <c r="C1530" s="47"/>
      <c r="D1530" s="26"/>
      <c r="E1530" s="27"/>
      <c r="F1530" s="25"/>
      <c r="G1530" s="25"/>
      <c r="H1530" s="25"/>
      <c r="I1530" s="25"/>
      <c r="J1530" s="25"/>
      <c r="K1530" s="25"/>
      <c r="L1530" s="25"/>
      <c r="M1530" s="25"/>
      <c r="N1530" s="25"/>
      <c r="O1530" s="25"/>
      <c r="P1530" s="25"/>
      <c r="Q1530" s="25"/>
      <c r="R1530" s="25"/>
      <c r="S1530" s="151"/>
      <c r="T1530" s="151"/>
      <c r="U1530" s="151"/>
      <c r="V1530" s="73"/>
      <c r="W1530" s="28"/>
      <c r="X1530" s="24"/>
    </row>
    <row r="1531" spans="2:24">
      <c r="B1531" s="24"/>
      <c r="C1531" s="47"/>
      <c r="D1531" s="26"/>
      <c r="E1531" s="27"/>
      <c r="F1531" s="25"/>
      <c r="G1531" s="25"/>
      <c r="H1531" s="25"/>
      <c r="I1531" s="25"/>
      <c r="J1531" s="25"/>
      <c r="K1531" s="25"/>
      <c r="L1531" s="25"/>
      <c r="M1531" s="25"/>
      <c r="N1531" s="25"/>
      <c r="O1531" s="25"/>
      <c r="P1531" s="25"/>
      <c r="Q1531" s="25"/>
      <c r="R1531" s="25"/>
      <c r="S1531" s="151"/>
      <c r="T1531" s="151"/>
      <c r="U1531" s="151"/>
      <c r="V1531" s="73"/>
      <c r="W1531" s="28"/>
      <c r="X1531" s="24"/>
    </row>
    <row r="1532" spans="2:24">
      <c r="B1532" s="24"/>
      <c r="C1532" s="47"/>
      <c r="D1532" s="26"/>
      <c r="E1532" s="27"/>
      <c r="F1532" s="25"/>
      <c r="G1532" s="25"/>
      <c r="H1532" s="25"/>
      <c r="I1532" s="25"/>
      <c r="J1532" s="25"/>
      <c r="K1532" s="25"/>
      <c r="L1532" s="25"/>
      <c r="M1532" s="25"/>
      <c r="N1532" s="25"/>
      <c r="O1532" s="25"/>
      <c r="P1532" s="25"/>
      <c r="Q1532" s="25"/>
      <c r="R1532" s="25"/>
      <c r="S1532" s="151"/>
      <c r="T1532" s="151"/>
      <c r="U1532" s="151"/>
      <c r="V1532" s="73"/>
      <c r="W1532" s="28"/>
      <c r="X1532" s="24"/>
    </row>
    <row r="1533" spans="2:24">
      <c r="B1533" s="24"/>
      <c r="C1533" s="47"/>
      <c r="D1533" s="26"/>
      <c r="E1533" s="27"/>
      <c r="F1533" s="25"/>
      <c r="G1533" s="25"/>
      <c r="H1533" s="25"/>
      <c r="I1533" s="25"/>
      <c r="J1533" s="25"/>
      <c r="K1533" s="25"/>
      <c r="L1533" s="25"/>
      <c r="M1533" s="25"/>
      <c r="N1533" s="25"/>
      <c r="O1533" s="25"/>
      <c r="P1533" s="25"/>
      <c r="Q1533" s="25"/>
      <c r="R1533" s="25"/>
      <c r="S1533" s="151"/>
      <c r="T1533" s="151"/>
      <c r="U1533" s="151"/>
      <c r="V1533" s="73"/>
      <c r="W1533" s="28"/>
      <c r="X1533" s="24"/>
    </row>
    <row r="1534" spans="2:24">
      <c r="B1534" s="24"/>
      <c r="C1534" s="47"/>
      <c r="D1534" s="26"/>
      <c r="E1534" s="27"/>
      <c r="F1534" s="25"/>
      <c r="G1534" s="25"/>
      <c r="H1534" s="25"/>
      <c r="I1534" s="25"/>
      <c r="J1534" s="25"/>
      <c r="K1534" s="25"/>
      <c r="L1534" s="25"/>
      <c r="M1534" s="25"/>
      <c r="N1534" s="25"/>
      <c r="O1534" s="25"/>
      <c r="P1534" s="25"/>
      <c r="Q1534" s="25"/>
      <c r="R1534" s="25"/>
      <c r="S1534" s="151"/>
      <c r="T1534" s="151"/>
      <c r="U1534" s="151"/>
      <c r="V1534" s="73"/>
      <c r="W1534" s="28"/>
      <c r="X1534" s="24"/>
    </row>
    <row r="1535" spans="2:24">
      <c r="B1535" s="24"/>
      <c r="C1535" s="47"/>
      <c r="D1535" s="26"/>
      <c r="E1535" s="27"/>
      <c r="F1535" s="25"/>
      <c r="G1535" s="25"/>
      <c r="H1535" s="25"/>
      <c r="I1535" s="25"/>
      <c r="J1535" s="25"/>
      <c r="K1535" s="25"/>
      <c r="L1535" s="25"/>
      <c r="M1535" s="25"/>
      <c r="N1535" s="25"/>
      <c r="O1535" s="25"/>
      <c r="P1535" s="25"/>
      <c r="Q1535" s="25"/>
      <c r="R1535" s="25"/>
      <c r="S1535" s="151"/>
      <c r="T1535" s="151"/>
      <c r="U1535" s="151"/>
      <c r="V1535" s="73"/>
      <c r="W1535" s="28"/>
      <c r="X1535" s="24"/>
    </row>
    <row r="1536" spans="2:24">
      <c r="B1536" s="24"/>
      <c r="C1536" s="47"/>
      <c r="D1536" s="26"/>
      <c r="E1536" s="27"/>
      <c r="F1536" s="25"/>
      <c r="G1536" s="25"/>
      <c r="H1536" s="25"/>
      <c r="I1536" s="25"/>
      <c r="J1536" s="25"/>
      <c r="K1536" s="25"/>
      <c r="L1536" s="25"/>
      <c r="M1536" s="25"/>
      <c r="N1536" s="25"/>
      <c r="O1536" s="25"/>
      <c r="P1536" s="25"/>
      <c r="Q1536" s="25"/>
      <c r="R1536" s="25"/>
      <c r="S1536" s="151"/>
      <c r="T1536" s="151"/>
      <c r="U1536" s="151"/>
      <c r="V1536" s="73"/>
      <c r="W1536" s="28"/>
      <c r="X1536" s="24"/>
    </row>
    <row r="1537" spans="2:24">
      <c r="B1537" s="24"/>
      <c r="C1537" s="47"/>
      <c r="D1537" s="26"/>
      <c r="E1537" s="27"/>
      <c r="F1537" s="25"/>
      <c r="G1537" s="25"/>
      <c r="H1537" s="25"/>
      <c r="I1537" s="25"/>
      <c r="J1537" s="25"/>
      <c r="K1537" s="25"/>
      <c r="L1537" s="25"/>
      <c r="M1537" s="25"/>
      <c r="N1537" s="25"/>
      <c r="O1537" s="25"/>
      <c r="P1537" s="25"/>
      <c r="Q1537" s="25"/>
      <c r="R1537" s="25"/>
      <c r="S1537" s="151"/>
      <c r="T1537" s="151"/>
      <c r="U1537" s="151"/>
      <c r="V1537" s="73"/>
      <c r="W1537" s="28"/>
      <c r="X1537" s="24"/>
    </row>
    <row r="1538" spans="2:24">
      <c r="B1538" s="24"/>
      <c r="C1538" s="47"/>
      <c r="D1538" s="26"/>
      <c r="E1538" s="27"/>
      <c r="F1538" s="25"/>
      <c r="G1538" s="25"/>
      <c r="H1538" s="25"/>
      <c r="I1538" s="25"/>
      <c r="J1538" s="25"/>
      <c r="K1538" s="25"/>
      <c r="L1538" s="25"/>
      <c r="M1538" s="25"/>
      <c r="N1538" s="25"/>
      <c r="O1538" s="25"/>
      <c r="P1538" s="25"/>
      <c r="Q1538" s="25"/>
      <c r="R1538" s="25"/>
      <c r="S1538" s="151"/>
      <c r="T1538" s="151"/>
      <c r="U1538" s="151"/>
      <c r="V1538" s="73"/>
      <c r="W1538" s="28"/>
      <c r="X1538" s="24"/>
    </row>
    <row r="1539" spans="2:24">
      <c r="B1539" s="24"/>
      <c r="C1539" s="47"/>
      <c r="D1539" s="26"/>
      <c r="E1539" s="27"/>
      <c r="F1539" s="25"/>
      <c r="G1539" s="25"/>
      <c r="H1539" s="25"/>
      <c r="I1539" s="25"/>
      <c r="J1539" s="25"/>
      <c r="K1539" s="25"/>
      <c r="L1539" s="25"/>
      <c r="M1539" s="25"/>
      <c r="N1539" s="25"/>
      <c r="O1539" s="25"/>
      <c r="P1539" s="25"/>
      <c r="Q1539" s="25"/>
      <c r="R1539" s="25"/>
      <c r="S1539" s="151"/>
      <c r="T1539" s="151"/>
      <c r="U1539" s="151"/>
      <c r="V1539" s="73"/>
      <c r="W1539" s="28"/>
      <c r="X1539" s="24"/>
    </row>
    <row r="1540" spans="2:24">
      <c r="B1540" s="24"/>
      <c r="C1540" s="47"/>
      <c r="D1540" s="26"/>
      <c r="E1540" s="27"/>
      <c r="F1540" s="25"/>
      <c r="G1540" s="25"/>
      <c r="H1540" s="25"/>
      <c r="I1540" s="25"/>
      <c r="J1540" s="25"/>
      <c r="K1540" s="25"/>
      <c r="L1540" s="25"/>
      <c r="M1540" s="25"/>
      <c r="N1540" s="25"/>
      <c r="O1540" s="25"/>
      <c r="P1540" s="25"/>
      <c r="Q1540" s="25"/>
      <c r="R1540" s="25"/>
      <c r="S1540" s="151"/>
      <c r="T1540" s="151"/>
      <c r="U1540" s="151"/>
      <c r="V1540" s="73"/>
      <c r="W1540" s="28"/>
      <c r="X1540" s="24"/>
    </row>
    <row r="1541" spans="2:24">
      <c r="B1541" s="24"/>
      <c r="C1541" s="47"/>
      <c r="D1541" s="26"/>
      <c r="E1541" s="27"/>
      <c r="F1541" s="25"/>
      <c r="G1541" s="25"/>
      <c r="H1541" s="25"/>
      <c r="I1541" s="25"/>
      <c r="J1541" s="25"/>
      <c r="K1541" s="25"/>
      <c r="L1541" s="25"/>
      <c r="M1541" s="25"/>
      <c r="N1541" s="25"/>
      <c r="O1541" s="25"/>
      <c r="P1541" s="25"/>
      <c r="Q1541" s="25"/>
      <c r="R1541" s="25"/>
      <c r="S1541" s="151"/>
      <c r="T1541" s="151"/>
      <c r="U1541" s="151"/>
      <c r="V1541" s="73"/>
      <c r="W1541" s="28"/>
      <c r="X1541" s="24"/>
    </row>
    <row r="1542" spans="2:24">
      <c r="B1542" s="24"/>
      <c r="C1542" s="47"/>
      <c r="D1542" s="26"/>
      <c r="E1542" s="27"/>
      <c r="F1542" s="25"/>
      <c r="G1542" s="25"/>
      <c r="H1542" s="25"/>
      <c r="I1542" s="25"/>
      <c r="J1542" s="25"/>
      <c r="K1542" s="25"/>
      <c r="L1542" s="25"/>
      <c r="M1542" s="25"/>
      <c r="N1542" s="25"/>
      <c r="O1542" s="25"/>
      <c r="P1542" s="25"/>
      <c r="Q1542" s="25"/>
      <c r="R1542" s="25"/>
      <c r="S1542" s="151"/>
      <c r="T1542" s="151"/>
      <c r="U1542" s="151"/>
      <c r="V1542" s="73"/>
      <c r="W1542" s="28"/>
      <c r="X1542" s="24"/>
    </row>
    <row r="1543" spans="2:24">
      <c r="B1543" s="24"/>
      <c r="C1543" s="47"/>
      <c r="D1543" s="26"/>
      <c r="E1543" s="27"/>
      <c r="F1543" s="25"/>
      <c r="G1543" s="25"/>
      <c r="H1543" s="25"/>
      <c r="I1543" s="25"/>
      <c r="J1543" s="25"/>
      <c r="K1543" s="25"/>
      <c r="L1543" s="25"/>
      <c r="M1543" s="25"/>
      <c r="N1543" s="25"/>
      <c r="O1543" s="25"/>
      <c r="P1543" s="25"/>
      <c r="Q1543" s="25"/>
      <c r="R1543" s="25"/>
      <c r="S1543" s="151"/>
      <c r="T1543" s="151"/>
      <c r="U1543" s="151"/>
      <c r="V1543" s="73"/>
      <c r="W1543" s="28"/>
      <c r="X1543" s="24"/>
    </row>
    <row r="1544" spans="2:24">
      <c r="B1544" s="24"/>
      <c r="C1544" s="47"/>
      <c r="D1544" s="26"/>
      <c r="E1544" s="27"/>
      <c r="F1544" s="25"/>
      <c r="G1544" s="25"/>
      <c r="H1544" s="25"/>
      <c r="I1544" s="25"/>
      <c r="J1544" s="25"/>
      <c r="K1544" s="25"/>
      <c r="L1544" s="25"/>
      <c r="M1544" s="25"/>
      <c r="N1544" s="25"/>
      <c r="O1544" s="25"/>
      <c r="P1544" s="25"/>
      <c r="Q1544" s="25"/>
      <c r="R1544" s="25"/>
      <c r="S1544" s="151"/>
      <c r="T1544" s="151"/>
      <c r="U1544" s="151"/>
      <c r="V1544" s="73"/>
      <c r="W1544" s="28"/>
      <c r="X1544" s="24"/>
    </row>
    <row r="1545" spans="2:24">
      <c r="B1545" s="24"/>
      <c r="C1545" s="47"/>
      <c r="D1545" s="26"/>
      <c r="E1545" s="27"/>
      <c r="F1545" s="25"/>
      <c r="G1545" s="25"/>
      <c r="H1545" s="25"/>
      <c r="I1545" s="25"/>
      <c r="J1545" s="25"/>
      <c r="K1545" s="25"/>
      <c r="L1545" s="25"/>
      <c r="M1545" s="25"/>
      <c r="N1545" s="25"/>
      <c r="O1545" s="25"/>
      <c r="P1545" s="25"/>
      <c r="Q1545" s="25"/>
      <c r="R1545" s="25"/>
      <c r="S1545" s="151"/>
      <c r="T1545" s="151"/>
      <c r="U1545" s="151"/>
      <c r="V1545" s="73"/>
      <c r="W1545" s="28"/>
      <c r="X1545" s="24"/>
    </row>
    <row r="1546" spans="2:24">
      <c r="B1546" s="24"/>
      <c r="C1546" s="47"/>
      <c r="D1546" s="26"/>
      <c r="E1546" s="27"/>
      <c r="F1546" s="25"/>
      <c r="G1546" s="25"/>
      <c r="H1546" s="25"/>
      <c r="I1546" s="25"/>
      <c r="J1546" s="25"/>
      <c r="K1546" s="25"/>
      <c r="L1546" s="25"/>
      <c r="M1546" s="25"/>
      <c r="N1546" s="25"/>
      <c r="O1546" s="25"/>
      <c r="P1546" s="25"/>
      <c r="Q1546" s="25"/>
      <c r="R1546" s="25"/>
      <c r="S1546" s="151"/>
      <c r="T1546" s="151"/>
      <c r="U1546" s="151"/>
      <c r="V1546" s="73"/>
      <c r="W1546" s="28"/>
      <c r="X1546" s="24"/>
    </row>
    <row r="1547" spans="2:24">
      <c r="B1547" s="24"/>
      <c r="C1547" s="47"/>
      <c r="D1547" s="26"/>
      <c r="E1547" s="27"/>
      <c r="F1547" s="25"/>
      <c r="G1547" s="25"/>
      <c r="H1547" s="25"/>
      <c r="I1547" s="25"/>
      <c r="J1547" s="25"/>
      <c r="K1547" s="25"/>
      <c r="L1547" s="25"/>
      <c r="M1547" s="25"/>
      <c r="N1547" s="25"/>
      <c r="O1547" s="25"/>
      <c r="P1547" s="25"/>
      <c r="Q1547" s="25"/>
      <c r="R1547" s="25"/>
      <c r="S1547" s="151"/>
      <c r="T1547" s="151"/>
      <c r="U1547" s="151"/>
      <c r="V1547" s="73"/>
      <c r="W1547" s="28"/>
      <c r="X1547" s="24"/>
    </row>
    <row r="1548" spans="2:24">
      <c r="B1548" s="24"/>
      <c r="C1548" s="47"/>
      <c r="D1548" s="26"/>
      <c r="E1548" s="27"/>
      <c r="F1548" s="25"/>
      <c r="G1548" s="25"/>
      <c r="H1548" s="25"/>
      <c r="I1548" s="25"/>
      <c r="J1548" s="25"/>
      <c r="K1548" s="25"/>
      <c r="L1548" s="25"/>
      <c r="M1548" s="25"/>
      <c r="N1548" s="25"/>
      <c r="O1548" s="25"/>
      <c r="P1548" s="25"/>
      <c r="Q1548" s="25"/>
      <c r="R1548" s="25"/>
      <c r="S1548" s="151"/>
      <c r="T1548" s="151"/>
      <c r="U1548" s="151"/>
      <c r="V1548" s="73"/>
      <c r="W1548" s="28"/>
      <c r="X1548" s="24"/>
    </row>
    <row r="1549" spans="2:24">
      <c r="B1549" s="24"/>
      <c r="C1549" s="47"/>
      <c r="D1549" s="26"/>
      <c r="E1549" s="27"/>
      <c r="F1549" s="25"/>
      <c r="G1549" s="25"/>
      <c r="H1549" s="25"/>
      <c r="I1549" s="25"/>
      <c r="J1549" s="25"/>
      <c r="K1549" s="25"/>
      <c r="L1549" s="25"/>
      <c r="M1549" s="25"/>
      <c r="N1549" s="25"/>
      <c r="O1549" s="25"/>
      <c r="P1549" s="25"/>
      <c r="Q1549" s="25"/>
      <c r="R1549" s="25"/>
      <c r="S1549" s="151"/>
      <c r="T1549" s="151"/>
      <c r="U1549" s="151"/>
      <c r="V1549" s="73"/>
      <c r="W1549" s="28"/>
      <c r="X1549" s="24"/>
    </row>
    <row r="1550" spans="2:24">
      <c r="B1550" s="24"/>
      <c r="C1550" s="47"/>
      <c r="D1550" s="26"/>
      <c r="E1550" s="27"/>
      <c r="F1550" s="25"/>
      <c r="G1550" s="25"/>
      <c r="H1550" s="25"/>
      <c r="I1550" s="25"/>
      <c r="J1550" s="25"/>
      <c r="K1550" s="25"/>
      <c r="L1550" s="25"/>
      <c r="M1550" s="25"/>
      <c r="N1550" s="25"/>
      <c r="O1550" s="25"/>
      <c r="P1550" s="25"/>
      <c r="Q1550" s="25"/>
      <c r="R1550" s="25"/>
      <c r="S1550" s="151"/>
      <c r="T1550" s="151"/>
      <c r="U1550" s="151"/>
      <c r="V1550" s="73"/>
      <c r="W1550" s="28"/>
      <c r="X1550" s="24"/>
    </row>
    <row r="1551" spans="2:24">
      <c r="B1551" s="24"/>
      <c r="C1551" s="47"/>
      <c r="D1551" s="26"/>
      <c r="E1551" s="27"/>
      <c r="F1551" s="25"/>
      <c r="G1551" s="25"/>
      <c r="H1551" s="25"/>
      <c r="I1551" s="25"/>
      <c r="J1551" s="25"/>
      <c r="K1551" s="25"/>
      <c r="L1551" s="25"/>
      <c r="M1551" s="25"/>
      <c r="N1551" s="25"/>
      <c r="O1551" s="25"/>
      <c r="P1551" s="25"/>
      <c r="Q1551" s="25"/>
      <c r="R1551" s="25"/>
      <c r="S1551" s="151"/>
      <c r="T1551" s="151"/>
      <c r="U1551" s="151"/>
      <c r="V1551" s="73"/>
      <c r="W1551" s="28"/>
      <c r="X1551" s="24"/>
    </row>
    <row r="1552" spans="2:24">
      <c r="B1552" s="24"/>
      <c r="C1552" s="47"/>
      <c r="D1552" s="26"/>
      <c r="E1552" s="27"/>
      <c r="F1552" s="25"/>
      <c r="G1552" s="25"/>
      <c r="H1552" s="25"/>
      <c r="I1552" s="25"/>
      <c r="J1552" s="25"/>
      <c r="K1552" s="25"/>
      <c r="L1552" s="25"/>
      <c r="M1552" s="25"/>
      <c r="N1552" s="25"/>
      <c r="O1552" s="25"/>
      <c r="P1552" s="25"/>
      <c r="Q1552" s="25"/>
      <c r="R1552" s="25"/>
      <c r="S1552" s="151"/>
      <c r="T1552" s="151"/>
      <c r="U1552" s="151"/>
      <c r="V1552" s="73"/>
      <c r="W1552" s="28"/>
      <c r="X1552" s="24"/>
    </row>
    <row r="1553" spans="2:24">
      <c r="B1553" s="24"/>
      <c r="C1553" s="47"/>
      <c r="D1553" s="26"/>
      <c r="E1553" s="27"/>
      <c r="F1553" s="25"/>
      <c r="G1553" s="25"/>
      <c r="H1553" s="25"/>
      <c r="I1553" s="25"/>
      <c r="J1553" s="25"/>
      <c r="K1553" s="25"/>
      <c r="L1553" s="25"/>
      <c r="M1553" s="25"/>
      <c r="N1553" s="25"/>
      <c r="O1553" s="25"/>
      <c r="P1553" s="25"/>
      <c r="Q1553" s="25"/>
      <c r="R1553" s="25"/>
      <c r="S1553" s="151"/>
      <c r="T1553" s="151"/>
      <c r="U1553" s="151"/>
      <c r="V1553" s="73"/>
      <c r="W1553" s="28"/>
      <c r="X1553" s="24"/>
    </row>
    <row r="1554" spans="2:24">
      <c r="B1554" s="24"/>
      <c r="C1554" s="47"/>
      <c r="D1554" s="26"/>
      <c r="E1554" s="27"/>
      <c r="F1554" s="25"/>
      <c r="G1554" s="25"/>
      <c r="H1554" s="25"/>
      <c r="I1554" s="25"/>
      <c r="J1554" s="25"/>
      <c r="K1554" s="25"/>
      <c r="L1554" s="25"/>
      <c r="M1554" s="25"/>
      <c r="N1554" s="25"/>
      <c r="O1554" s="25"/>
      <c r="P1554" s="25"/>
      <c r="Q1554" s="25"/>
      <c r="R1554" s="25"/>
      <c r="S1554" s="151"/>
      <c r="T1554" s="151"/>
      <c r="U1554" s="151"/>
      <c r="V1554" s="73"/>
      <c r="W1554" s="28"/>
      <c r="X1554" s="24"/>
    </row>
    <row r="1555" spans="2:24">
      <c r="B1555" s="24"/>
      <c r="C1555" s="47"/>
      <c r="D1555" s="26"/>
      <c r="E1555" s="27"/>
      <c r="F1555" s="25"/>
      <c r="G1555" s="25"/>
      <c r="H1555" s="25"/>
      <c r="I1555" s="25"/>
      <c r="J1555" s="25"/>
      <c r="K1555" s="25"/>
      <c r="L1555" s="25"/>
      <c r="M1555" s="25"/>
      <c r="N1555" s="25"/>
      <c r="O1555" s="25"/>
      <c r="P1555" s="25"/>
      <c r="Q1555" s="25"/>
      <c r="R1555" s="25"/>
      <c r="S1555" s="151"/>
      <c r="T1555" s="151"/>
      <c r="U1555" s="151"/>
      <c r="V1555" s="73"/>
      <c r="W1555" s="28"/>
      <c r="X1555" s="24"/>
    </row>
    <row r="1556" spans="2:24">
      <c r="B1556" s="24"/>
      <c r="C1556" s="47"/>
      <c r="D1556" s="26"/>
      <c r="E1556" s="27"/>
      <c r="F1556" s="25"/>
      <c r="G1556" s="25"/>
      <c r="H1556" s="25"/>
      <c r="I1556" s="25"/>
      <c r="J1556" s="25"/>
      <c r="K1556" s="25"/>
      <c r="L1556" s="25"/>
      <c r="M1556" s="25"/>
      <c r="N1556" s="25"/>
      <c r="O1556" s="25"/>
      <c r="P1556" s="25"/>
      <c r="Q1556" s="25"/>
      <c r="R1556" s="25"/>
      <c r="S1556" s="151"/>
      <c r="T1556" s="151"/>
      <c r="U1556" s="151"/>
      <c r="V1556" s="73"/>
      <c r="W1556" s="28"/>
      <c r="X1556" s="24"/>
    </row>
    <row r="1557" spans="2:24">
      <c r="B1557" s="24"/>
      <c r="C1557" s="47"/>
      <c r="D1557" s="26"/>
      <c r="E1557" s="27"/>
      <c r="F1557" s="25"/>
      <c r="G1557" s="25"/>
      <c r="H1557" s="25"/>
      <c r="I1557" s="25"/>
      <c r="J1557" s="25"/>
      <c r="K1557" s="25"/>
      <c r="L1557" s="25"/>
      <c r="M1557" s="25"/>
      <c r="N1557" s="25"/>
      <c r="O1557" s="25"/>
      <c r="P1557" s="25"/>
      <c r="Q1557" s="25"/>
      <c r="R1557" s="25"/>
      <c r="S1557" s="151"/>
      <c r="T1557" s="151"/>
      <c r="U1557" s="151"/>
      <c r="V1557" s="73"/>
      <c r="W1557" s="28"/>
      <c r="X1557" s="24"/>
    </row>
    <row r="1558" spans="2:24">
      <c r="B1558" s="24"/>
      <c r="C1558" s="47"/>
      <c r="D1558" s="26"/>
      <c r="E1558" s="27"/>
      <c r="F1558" s="25"/>
      <c r="G1558" s="25"/>
      <c r="H1558" s="25"/>
      <c r="I1558" s="25"/>
      <c r="J1558" s="25"/>
      <c r="K1558" s="25"/>
      <c r="L1558" s="25"/>
      <c r="M1558" s="25"/>
      <c r="N1558" s="25"/>
      <c r="O1558" s="25"/>
      <c r="P1558" s="25"/>
      <c r="Q1558" s="25"/>
      <c r="R1558" s="25"/>
      <c r="S1558" s="151"/>
      <c r="T1558" s="151"/>
      <c r="U1558" s="151"/>
      <c r="V1558" s="73"/>
      <c r="W1558" s="28"/>
      <c r="X1558" s="24"/>
    </row>
    <row r="1559" spans="2:24">
      <c r="B1559" s="24"/>
      <c r="C1559" s="47"/>
      <c r="D1559" s="26"/>
      <c r="E1559" s="27"/>
      <c r="F1559" s="25"/>
      <c r="G1559" s="25"/>
      <c r="H1559" s="25"/>
      <c r="I1559" s="25"/>
      <c r="J1559" s="25"/>
      <c r="K1559" s="25"/>
      <c r="L1559" s="25"/>
      <c r="M1559" s="25"/>
      <c r="N1559" s="25"/>
      <c r="O1559" s="25"/>
      <c r="P1559" s="25"/>
      <c r="Q1559" s="25"/>
      <c r="R1559" s="25"/>
      <c r="S1559" s="151"/>
      <c r="T1559" s="151"/>
      <c r="U1559" s="151"/>
      <c r="V1559" s="73"/>
      <c r="W1559" s="28"/>
      <c r="X1559" s="24"/>
    </row>
    <row r="1560" spans="2:24">
      <c r="B1560" s="24"/>
      <c r="C1560" s="47"/>
      <c r="D1560" s="26"/>
      <c r="E1560" s="27"/>
      <c r="F1560" s="25"/>
      <c r="G1560" s="25"/>
      <c r="H1560" s="25"/>
      <c r="I1560" s="25"/>
      <c r="J1560" s="25"/>
      <c r="K1560" s="25"/>
      <c r="L1560" s="25"/>
      <c r="M1560" s="25"/>
      <c r="N1560" s="25"/>
      <c r="O1560" s="25"/>
      <c r="P1560" s="25"/>
      <c r="Q1560" s="25"/>
      <c r="R1560" s="25"/>
      <c r="S1560" s="151"/>
      <c r="T1560" s="151"/>
      <c r="U1560" s="151"/>
      <c r="V1560" s="73"/>
      <c r="W1560" s="28"/>
      <c r="X1560" s="24"/>
    </row>
    <row r="1561" spans="2:24">
      <c r="B1561" s="24"/>
      <c r="C1561" s="47"/>
      <c r="D1561" s="26"/>
      <c r="E1561" s="27"/>
      <c r="F1561" s="25"/>
      <c r="G1561" s="25"/>
      <c r="H1561" s="25"/>
      <c r="I1561" s="25"/>
      <c r="J1561" s="25"/>
      <c r="K1561" s="25"/>
      <c r="L1561" s="25"/>
      <c r="M1561" s="25"/>
      <c r="N1561" s="25"/>
      <c r="O1561" s="25"/>
      <c r="P1561" s="25"/>
      <c r="Q1561" s="25"/>
      <c r="R1561" s="25"/>
      <c r="S1561" s="151"/>
      <c r="T1561" s="151"/>
      <c r="U1561" s="151"/>
      <c r="V1561" s="73"/>
      <c r="W1561" s="28"/>
      <c r="X1561" s="24"/>
    </row>
    <row r="1562" spans="2:24">
      <c r="B1562" s="24"/>
      <c r="C1562" s="47"/>
      <c r="D1562" s="26"/>
      <c r="E1562" s="27"/>
      <c r="F1562" s="25"/>
      <c r="G1562" s="25"/>
      <c r="H1562" s="25"/>
      <c r="I1562" s="25"/>
      <c r="J1562" s="25"/>
      <c r="K1562" s="25"/>
      <c r="L1562" s="25"/>
      <c r="M1562" s="25"/>
      <c r="N1562" s="25"/>
      <c r="O1562" s="25"/>
      <c r="P1562" s="25"/>
      <c r="Q1562" s="25"/>
      <c r="R1562" s="25"/>
      <c r="S1562" s="151"/>
      <c r="T1562" s="151"/>
      <c r="U1562" s="151"/>
      <c r="V1562" s="73"/>
      <c r="W1562" s="28"/>
      <c r="X1562" s="24"/>
    </row>
    <row r="1563" spans="2:24">
      <c r="B1563" s="24"/>
      <c r="C1563" s="47"/>
      <c r="D1563" s="26"/>
      <c r="E1563" s="27"/>
      <c r="F1563" s="25"/>
      <c r="G1563" s="25"/>
      <c r="H1563" s="25"/>
      <c r="I1563" s="25"/>
      <c r="J1563" s="25"/>
      <c r="K1563" s="25"/>
      <c r="L1563" s="25"/>
      <c r="M1563" s="25"/>
      <c r="N1563" s="25"/>
      <c r="O1563" s="25"/>
      <c r="P1563" s="25"/>
      <c r="Q1563" s="25"/>
      <c r="R1563" s="25"/>
      <c r="S1563" s="151"/>
      <c r="T1563" s="151"/>
      <c r="U1563" s="151"/>
      <c r="V1563" s="73"/>
      <c r="W1563" s="28"/>
      <c r="X1563" s="24"/>
    </row>
    <row r="1564" spans="2:24">
      <c r="B1564" s="24"/>
      <c r="C1564" s="47"/>
      <c r="D1564" s="26"/>
      <c r="E1564" s="27"/>
      <c r="F1564" s="25"/>
      <c r="G1564" s="25"/>
      <c r="H1564" s="25"/>
      <c r="I1564" s="25"/>
      <c r="J1564" s="25"/>
      <c r="K1564" s="25"/>
      <c r="L1564" s="25"/>
      <c r="M1564" s="25"/>
      <c r="N1564" s="25"/>
      <c r="O1564" s="25"/>
      <c r="P1564" s="25"/>
      <c r="Q1564" s="25"/>
      <c r="R1564" s="25"/>
      <c r="S1564" s="151"/>
      <c r="T1564" s="151"/>
      <c r="U1564" s="151"/>
      <c r="V1564" s="73"/>
      <c r="W1564" s="28"/>
      <c r="X1564" s="24"/>
    </row>
    <row r="1565" spans="2:24">
      <c r="B1565" s="24"/>
      <c r="C1565" s="47"/>
      <c r="D1565" s="26"/>
      <c r="E1565" s="27"/>
      <c r="F1565" s="25"/>
      <c r="G1565" s="25"/>
      <c r="H1565" s="25"/>
      <c r="I1565" s="25"/>
      <c r="J1565" s="25"/>
      <c r="K1565" s="25"/>
      <c r="L1565" s="25"/>
      <c r="M1565" s="25"/>
      <c r="N1565" s="25"/>
      <c r="O1565" s="25"/>
      <c r="P1565" s="25"/>
      <c r="Q1565" s="25"/>
      <c r="R1565" s="25"/>
      <c r="S1565" s="151"/>
      <c r="T1565" s="151"/>
      <c r="U1565" s="151"/>
      <c r="V1565" s="73"/>
      <c r="W1565" s="28"/>
      <c r="X1565" s="24"/>
    </row>
    <row r="1566" spans="2:24">
      <c r="B1566" s="24"/>
      <c r="C1566" s="47"/>
      <c r="D1566" s="26"/>
      <c r="E1566" s="27"/>
      <c r="F1566" s="25"/>
      <c r="G1566" s="25"/>
      <c r="H1566" s="25"/>
      <c r="I1566" s="25"/>
      <c r="J1566" s="25"/>
      <c r="K1566" s="25"/>
      <c r="L1566" s="25"/>
      <c r="M1566" s="25"/>
      <c r="N1566" s="25"/>
      <c r="O1566" s="25"/>
      <c r="P1566" s="25"/>
      <c r="Q1566" s="25"/>
      <c r="R1566" s="25"/>
      <c r="S1566" s="151"/>
      <c r="T1566" s="151"/>
      <c r="U1566" s="151"/>
      <c r="V1566" s="73"/>
      <c r="W1566" s="28"/>
      <c r="X1566" s="24"/>
    </row>
    <row r="1567" spans="2:24">
      <c r="B1567" s="24"/>
      <c r="C1567" s="47"/>
      <c r="D1567" s="26"/>
      <c r="E1567" s="27"/>
      <c r="F1567" s="25"/>
      <c r="G1567" s="25"/>
      <c r="H1567" s="25"/>
      <c r="I1567" s="25"/>
      <c r="J1567" s="25"/>
      <c r="K1567" s="25"/>
      <c r="L1567" s="25"/>
      <c r="M1567" s="25"/>
      <c r="N1567" s="25"/>
      <c r="O1567" s="25"/>
      <c r="P1567" s="25"/>
      <c r="Q1567" s="25"/>
      <c r="R1567" s="25"/>
      <c r="S1567" s="151"/>
      <c r="T1567" s="151"/>
      <c r="U1567" s="151"/>
      <c r="V1567" s="73"/>
      <c r="W1567" s="28"/>
      <c r="X1567" s="24"/>
    </row>
    <row r="1568" spans="2:24">
      <c r="B1568" s="24"/>
      <c r="C1568" s="47"/>
      <c r="D1568" s="26"/>
      <c r="E1568" s="27"/>
      <c r="F1568" s="25"/>
      <c r="G1568" s="25"/>
      <c r="H1568" s="25"/>
      <c r="I1568" s="25"/>
      <c r="J1568" s="25"/>
      <c r="K1568" s="25"/>
      <c r="L1568" s="25"/>
      <c r="M1568" s="25"/>
      <c r="N1568" s="25"/>
      <c r="O1568" s="25"/>
      <c r="P1568" s="25"/>
      <c r="Q1568" s="25"/>
      <c r="R1568" s="25"/>
      <c r="S1568" s="151"/>
      <c r="T1568" s="151"/>
      <c r="U1568" s="151"/>
      <c r="V1568" s="73"/>
      <c r="W1568" s="28"/>
      <c r="X1568" s="24"/>
    </row>
    <row r="1569" spans="2:24">
      <c r="B1569" s="24"/>
      <c r="C1569" s="47"/>
      <c r="D1569" s="26"/>
      <c r="E1569" s="27"/>
      <c r="F1569" s="25"/>
      <c r="G1569" s="25"/>
      <c r="H1569" s="25"/>
      <c r="I1569" s="25"/>
      <c r="J1569" s="25"/>
      <c r="K1569" s="25"/>
      <c r="L1569" s="25"/>
      <c r="M1569" s="25"/>
      <c r="N1569" s="25"/>
      <c r="O1569" s="25"/>
      <c r="P1569" s="25"/>
      <c r="Q1569" s="25"/>
      <c r="R1569" s="25"/>
      <c r="S1569" s="151"/>
      <c r="T1569" s="151"/>
      <c r="U1569" s="151"/>
      <c r="V1569" s="73"/>
      <c r="W1569" s="28"/>
      <c r="X1569" s="24"/>
    </row>
    <row r="1570" spans="2:24">
      <c r="B1570" s="24"/>
      <c r="C1570" s="47"/>
      <c r="D1570" s="26"/>
      <c r="E1570" s="27"/>
      <c r="F1570" s="25"/>
      <c r="G1570" s="25"/>
      <c r="H1570" s="25"/>
      <c r="I1570" s="25"/>
      <c r="J1570" s="25"/>
      <c r="K1570" s="25"/>
      <c r="L1570" s="25"/>
      <c r="M1570" s="25"/>
      <c r="N1570" s="25"/>
      <c r="O1570" s="25"/>
      <c r="P1570" s="25"/>
      <c r="Q1570" s="25"/>
      <c r="R1570" s="25"/>
      <c r="S1570" s="151"/>
      <c r="T1570" s="151"/>
      <c r="U1570" s="151"/>
      <c r="V1570" s="73"/>
      <c r="W1570" s="28"/>
      <c r="X1570" s="24"/>
    </row>
    <row r="1571" spans="2:24">
      <c r="B1571" s="24"/>
      <c r="C1571" s="47"/>
      <c r="D1571" s="26"/>
      <c r="E1571" s="27"/>
      <c r="F1571" s="25"/>
      <c r="G1571" s="25"/>
      <c r="H1571" s="25"/>
      <c r="I1571" s="25"/>
      <c r="J1571" s="25"/>
      <c r="K1571" s="25"/>
      <c r="L1571" s="25"/>
      <c r="M1571" s="25"/>
      <c r="N1571" s="25"/>
      <c r="O1571" s="25"/>
      <c r="P1571" s="25"/>
      <c r="Q1571" s="25"/>
      <c r="R1571" s="25"/>
      <c r="S1571" s="151"/>
      <c r="T1571" s="151"/>
      <c r="U1571" s="151"/>
      <c r="V1571" s="73"/>
      <c r="W1571" s="28"/>
      <c r="X1571" s="24"/>
    </row>
    <row r="1572" spans="2:24">
      <c r="B1572" s="24"/>
      <c r="C1572" s="47"/>
      <c r="D1572" s="26"/>
      <c r="E1572" s="27"/>
      <c r="F1572" s="25"/>
      <c r="G1572" s="25"/>
      <c r="H1572" s="25"/>
      <c r="I1572" s="25"/>
      <c r="J1572" s="25"/>
      <c r="K1572" s="25"/>
      <c r="L1572" s="25"/>
      <c r="M1572" s="25"/>
      <c r="N1572" s="25"/>
      <c r="O1572" s="25"/>
      <c r="P1572" s="25"/>
      <c r="Q1572" s="25"/>
      <c r="R1572" s="25"/>
      <c r="S1572" s="151"/>
      <c r="T1572" s="151"/>
      <c r="U1572" s="151"/>
      <c r="V1572" s="73"/>
      <c r="W1572" s="28"/>
      <c r="X1572" s="24"/>
    </row>
    <row r="1573" spans="2:24">
      <c r="B1573" s="24"/>
      <c r="C1573" s="47"/>
      <c r="D1573" s="26"/>
      <c r="E1573" s="27"/>
      <c r="F1573" s="25"/>
      <c r="G1573" s="25"/>
      <c r="H1573" s="25"/>
      <c r="I1573" s="25"/>
      <c r="J1573" s="25"/>
      <c r="K1573" s="25"/>
      <c r="L1573" s="25"/>
      <c r="M1573" s="25"/>
      <c r="N1573" s="25"/>
      <c r="O1573" s="25"/>
      <c r="P1573" s="25"/>
      <c r="Q1573" s="25"/>
      <c r="R1573" s="25"/>
      <c r="S1573" s="151"/>
      <c r="T1573" s="151"/>
      <c r="U1573" s="151"/>
      <c r="V1573" s="73"/>
      <c r="W1573" s="28"/>
      <c r="X1573" s="24"/>
    </row>
    <row r="1574" spans="2:24">
      <c r="B1574" s="24"/>
      <c r="C1574" s="47"/>
      <c r="D1574" s="26"/>
      <c r="E1574" s="27"/>
      <c r="F1574" s="25"/>
      <c r="G1574" s="25"/>
      <c r="H1574" s="25"/>
      <c r="I1574" s="25"/>
      <c r="J1574" s="25"/>
      <c r="K1574" s="25"/>
      <c r="L1574" s="25"/>
      <c r="M1574" s="25"/>
      <c r="N1574" s="25"/>
      <c r="O1574" s="25"/>
      <c r="P1574" s="25"/>
      <c r="Q1574" s="25"/>
      <c r="R1574" s="25"/>
      <c r="S1574" s="151"/>
      <c r="T1574" s="151"/>
      <c r="U1574" s="151"/>
      <c r="V1574" s="73"/>
      <c r="W1574" s="28"/>
      <c r="X1574" s="24"/>
    </row>
    <row r="1575" spans="2:24">
      <c r="B1575" s="24"/>
      <c r="C1575" s="47"/>
      <c r="D1575" s="26"/>
      <c r="E1575" s="27"/>
      <c r="F1575" s="25"/>
      <c r="G1575" s="25"/>
      <c r="H1575" s="25"/>
      <c r="I1575" s="25"/>
      <c r="J1575" s="25"/>
      <c r="K1575" s="25"/>
      <c r="L1575" s="25"/>
      <c r="M1575" s="25"/>
      <c r="N1575" s="25"/>
      <c r="O1575" s="25"/>
      <c r="P1575" s="25"/>
      <c r="Q1575" s="25"/>
      <c r="R1575" s="25"/>
      <c r="S1575" s="151"/>
      <c r="T1575" s="151"/>
      <c r="U1575" s="151"/>
      <c r="V1575" s="73"/>
      <c r="W1575" s="28"/>
      <c r="X1575" s="24"/>
    </row>
    <row r="1576" spans="2:24">
      <c r="B1576" s="24"/>
      <c r="C1576" s="47"/>
      <c r="D1576" s="26"/>
      <c r="E1576" s="27"/>
      <c r="F1576" s="25"/>
      <c r="G1576" s="25"/>
      <c r="H1576" s="25"/>
      <c r="I1576" s="25"/>
      <c r="J1576" s="25"/>
      <c r="K1576" s="25"/>
      <c r="L1576" s="25"/>
      <c r="M1576" s="25"/>
      <c r="N1576" s="25"/>
      <c r="O1576" s="25"/>
      <c r="P1576" s="25"/>
      <c r="Q1576" s="25"/>
      <c r="R1576" s="25"/>
      <c r="S1576" s="151"/>
      <c r="T1576" s="151"/>
      <c r="U1576" s="151"/>
      <c r="V1576" s="73"/>
      <c r="W1576" s="28"/>
      <c r="X1576" s="24"/>
    </row>
    <row r="1577" spans="2:24">
      <c r="B1577" s="24"/>
      <c r="C1577" s="47"/>
      <c r="D1577" s="26"/>
      <c r="E1577" s="27"/>
      <c r="F1577" s="25"/>
      <c r="G1577" s="25"/>
      <c r="H1577" s="25"/>
      <c r="I1577" s="25"/>
      <c r="J1577" s="25"/>
      <c r="K1577" s="25"/>
      <c r="L1577" s="25"/>
      <c r="M1577" s="25"/>
      <c r="N1577" s="25"/>
      <c r="O1577" s="25"/>
      <c r="P1577" s="25"/>
      <c r="Q1577" s="25"/>
      <c r="R1577" s="25"/>
      <c r="S1577" s="151"/>
      <c r="T1577" s="151"/>
      <c r="U1577" s="151"/>
      <c r="V1577" s="73"/>
      <c r="W1577" s="28"/>
      <c r="X1577" s="24"/>
    </row>
    <row r="1578" spans="2:24">
      <c r="B1578" s="24"/>
      <c r="C1578" s="47"/>
      <c r="D1578" s="26"/>
      <c r="E1578" s="27"/>
      <c r="F1578" s="25"/>
      <c r="G1578" s="25"/>
      <c r="H1578" s="25"/>
      <c r="I1578" s="25"/>
      <c r="J1578" s="25"/>
      <c r="K1578" s="25"/>
      <c r="L1578" s="25"/>
      <c r="M1578" s="25"/>
      <c r="N1578" s="25"/>
      <c r="O1578" s="25"/>
      <c r="P1578" s="25"/>
      <c r="Q1578" s="25"/>
      <c r="R1578" s="25"/>
      <c r="S1578" s="151"/>
      <c r="T1578" s="151"/>
      <c r="U1578" s="151"/>
      <c r="V1578" s="73"/>
      <c r="W1578" s="28"/>
      <c r="X1578" s="24"/>
    </row>
    <row r="1579" spans="2:24">
      <c r="B1579" s="24"/>
      <c r="C1579" s="47"/>
      <c r="D1579" s="26"/>
      <c r="E1579" s="27"/>
      <c r="F1579" s="25"/>
      <c r="G1579" s="25"/>
      <c r="H1579" s="25"/>
      <c r="I1579" s="25"/>
      <c r="J1579" s="25"/>
      <c r="K1579" s="25"/>
      <c r="L1579" s="25"/>
      <c r="M1579" s="25"/>
      <c r="N1579" s="25"/>
      <c r="O1579" s="25"/>
      <c r="P1579" s="25"/>
      <c r="Q1579" s="25"/>
      <c r="R1579" s="25"/>
      <c r="S1579" s="151"/>
      <c r="T1579" s="151"/>
      <c r="U1579" s="151"/>
      <c r="V1579" s="73"/>
      <c r="W1579" s="28"/>
      <c r="X1579" s="24"/>
    </row>
    <row r="1580" spans="2:24">
      <c r="B1580" s="24"/>
      <c r="C1580" s="47"/>
      <c r="D1580" s="26"/>
      <c r="E1580" s="27"/>
      <c r="F1580" s="25"/>
      <c r="G1580" s="25"/>
      <c r="H1580" s="25"/>
      <c r="I1580" s="25"/>
      <c r="J1580" s="25"/>
      <c r="K1580" s="25"/>
      <c r="L1580" s="25"/>
      <c r="M1580" s="25"/>
      <c r="N1580" s="25"/>
      <c r="O1580" s="25"/>
      <c r="P1580" s="25"/>
      <c r="Q1580" s="25"/>
      <c r="R1580" s="25"/>
      <c r="S1580" s="151"/>
      <c r="T1580" s="151"/>
      <c r="U1580" s="151"/>
      <c r="V1580" s="73"/>
      <c r="W1580" s="28"/>
      <c r="X1580" s="24"/>
    </row>
    <row r="1581" spans="2:24">
      <c r="B1581" s="24"/>
      <c r="C1581" s="47"/>
      <c r="D1581" s="26"/>
      <c r="E1581" s="27"/>
      <c r="F1581" s="25"/>
      <c r="G1581" s="25"/>
      <c r="H1581" s="25"/>
      <c r="I1581" s="25"/>
      <c r="J1581" s="25"/>
      <c r="K1581" s="25"/>
      <c r="L1581" s="25"/>
      <c r="M1581" s="25"/>
      <c r="N1581" s="25"/>
      <c r="O1581" s="25"/>
      <c r="P1581" s="25"/>
      <c r="Q1581" s="25"/>
      <c r="R1581" s="25"/>
      <c r="S1581" s="151"/>
      <c r="T1581" s="151"/>
      <c r="U1581" s="151"/>
      <c r="V1581" s="73"/>
      <c r="W1581" s="28"/>
      <c r="X1581" s="24"/>
    </row>
    <row r="1582" spans="2:24">
      <c r="B1582" s="24"/>
      <c r="C1582" s="47"/>
      <c r="D1582" s="26"/>
      <c r="E1582" s="27"/>
      <c r="F1582" s="25"/>
      <c r="G1582" s="25"/>
      <c r="H1582" s="25"/>
      <c r="I1582" s="25"/>
      <c r="J1582" s="25"/>
      <c r="K1582" s="25"/>
      <c r="L1582" s="25"/>
      <c r="M1582" s="25"/>
      <c r="N1582" s="25"/>
      <c r="O1582" s="25"/>
      <c r="P1582" s="25"/>
      <c r="Q1582" s="25"/>
      <c r="R1582" s="25"/>
      <c r="S1582" s="151"/>
      <c r="T1582" s="151"/>
      <c r="U1582" s="151"/>
      <c r="V1582" s="73"/>
      <c r="W1582" s="28"/>
      <c r="X1582" s="24"/>
    </row>
    <row r="1583" spans="2:24">
      <c r="B1583" s="24"/>
      <c r="C1583" s="47"/>
      <c r="D1583" s="26"/>
      <c r="E1583" s="27"/>
      <c r="F1583" s="25"/>
      <c r="G1583" s="25"/>
      <c r="H1583" s="25"/>
      <c r="I1583" s="25"/>
      <c r="J1583" s="25"/>
      <c r="K1583" s="25"/>
      <c r="L1583" s="25"/>
      <c r="M1583" s="25"/>
      <c r="N1583" s="25"/>
      <c r="O1583" s="25"/>
      <c r="P1583" s="25"/>
      <c r="Q1583" s="25"/>
      <c r="R1583" s="25"/>
      <c r="S1583" s="151"/>
      <c r="T1583" s="151"/>
      <c r="U1583" s="151"/>
      <c r="V1583" s="73"/>
      <c r="W1583" s="28"/>
      <c r="X1583" s="24"/>
    </row>
    <row r="1584" spans="2:24">
      <c r="B1584" s="24"/>
      <c r="C1584" s="47"/>
      <c r="D1584" s="26"/>
      <c r="E1584" s="27"/>
      <c r="F1584" s="25"/>
      <c r="G1584" s="25"/>
      <c r="H1584" s="25"/>
      <c r="I1584" s="25"/>
      <c r="J1584" s="25"/>
      <c r="K1584" s="25"/>
      <c r="L1584" s="25"/>
      <c r="M1584" s="25"/>
      <c r="N1584" s="25"/>
      <c r="O1584" s="25"/>
      <c r="P1584" s="25"/>
      <c r="Q1584" s="25"/>
      <c r="R1584" s="25"/>
      <c r="S1584" s="151"/>
      <c r="T1584" s="151"/>
      <c r="U1584" s="151"/>
      <c r="V1584" s="73"/>
      <c r="W1584" s="28"/>
      <c r="X1584" s="24"/>
    </row>
    <row r="1585" spans="2:24">
      <c r="B1585" s="24"/>
      <c r="C1585" s="47"/>
      <c r="D1585" s="26"/>
      <c r="E1585" s="27"/>
      <c r="F1585" s="25"/>
      <c r="G1585" s="25"/>
      <c r="H1585" s="25"/>
      <c r="I1585" s="25"/>
      <c r="J1585" s="25"/>
      <c r="K1585" s="25"/>
      <c r="L1585" s="25"/>
      <c r="M1585" s="25"/>
      <c r="N1585" s="25"/>
      <c r="O1585" s="25"/>
      <c r="P1585" s="25"/>
      <c r="Q1585" s="25"/>
      <c r="R1585" s="25"/>
      <c r="S1585" s="151"/>
      <c r="T1585" s="151"/>
      <c r="U1585" s="151"/>
      <c r="V1585" s="73"/>
      <c r="W1585" s="28"/>
      <c r="X1585" s="24"/>
    </row>
    <row r="1586" spans="2:24">
      <c r="B1586" s="24"/>
      <c r="C1586" s="47"/>
      <c r="D1586" s="26"/>
      <c r="E1586" s="27"/>
      <c r="F1586" s="25"/>
      <c r="G1586" s="25"/>
      <c r="H1586" s="25"/>
      <c r="I1586" s="25"/>
      <c r="J1586" s="25"/>
      <c r="K1586" s="25"/>
      <c r="L1586" s="25"/>
      <c r="M1586" s="25"/>
      <c r="N1586" s="25"/>
      <c r="O1586" s="25"/>
      <c r="P1586" s="25"/>
      <c r="Q1586" s="25"/>
      <c r="R1586" s="25"/>
      <c r="S1586" s="151"/>
      <c r="T1586" s="151"/>
      <c r="U1586" s="151"/>
      <c r="V1586" s="73"/>
      <c r="W1586" s="28"/>
      <c r="X1586" s="24"/>
    </row>
    <row r="1587" spans="2:24">
      <c r="B1587" s="24"/>
      <c r="C1587" s="47"/>
      <c r="D1587" s="26"/>
      <c r="E1587" s="27"/>
      <c r="F1587" s="25"/>
      <c r="G1587" s="25"/>
      <c r="H1587" s="25"/>
      <c r="I1587" s="25"/>
      <c r="J1587" s="25"/>
      <c r="K1587" s="25"/>
      <c r="L1587" s="25"/>
      <c r="M1587" s="25"/>
      <c r="N1587" s="25"/>
      <c r="O1587" s="25"/>
      <c r="P1587" s="25"/>
      <c r="Q1587" s="25"/>
      <c r="R1587" s="25"/>
      <c r="S1587" s="151"/>
      <c r="T1587" s="151"/>
      <c r="U1587" s="151"/>
      <c r="V1587" s="73"/>
      <c r="W1587" s="28"/>
      <c r="X1587" s="24"/>
    </row>
    <row r="1588" spans="2:24">
      <c r="B1588" s="24"/>
      <c r="C1588" s="47"/>
      <c r="D1588" s="26"/>
      <c r="E1588" s="27"/>
      <c r="F1588" s="25"/>
      <c r="G1588" s="25"/>
      <c r="H1588" s="25"/>
      <c r="I1588" s="25"/>
      <c r="J1588" s="25"/>
      <c r="K1588" s="25"/>
      <c r="L1588" s="25"/>
      <c r="M1588" s="25"/>
      <c r="N1588" s="25"/>
      <c r="O1588" s="25"/>
      <c r="P1588" s="25"/>
      <c r="Q1588" s="25"/>
      <c r="R1588" s="25"/>
      <c r="S1588" s="151"/>
      <c r="T1588" s="151"/>
      <c r="U1588" s="151"/>
      <c r="V1588" s="73"/>
      <c r="W1588" s="28"/>
      <c r="X1588" s="24"/>
    </row>
    <row r="1589" spans="2:24">
      <c r="B1589" s="24"/>
      <c r="C1589" s="47"/>
      <c r="D1589" s="26"/>
      <c r="E1589" s="27"/>
      <c r="F1589" s="25"/>
      <c r="G1589" s="25"/>
      <c r="H1589" s="25"/>
      <c r="I1589" s="25"/>
      <c r="J1589" s="25"/>
      <c r="K1589" s="25"/>
      <c r="L1589" s="25"/>
      <c r="M1589" s="25"/>
      <c r="N1589" s="25"/>
      <c r="O1589" s="25"/>
      <c r="P1589" s="25"/>
      <c r="Q1589" s="25"/>
      <c r="R1589" s="25"/>
      <c r="S1589" s="151"/>
      <c r="T1589" s="151"/>
      <c r="U1589" s="151"/>
      <c r="V1589" s="73"/>
      <c r="W1589" s="28"/>
      <c r="X1589" s="24"/>
    </row>
    <row r="1590" spans="2:24">
      <c r="B1590" s="24"/>
      <c r="C1590" s="47"/>
      <c r="D1590" s="26"/>
      <c r="E1590" s="27"/>
      <c r="F1590" s="25"/>
      <c r="G1590" s="25"/>
      <c r="H1590" s="25"/>
      <c r="I1590" s="25"/>
      <c r="J1590" s="25"/>
      <c r="K1590" s="25"/>
      <c r="L1590" s="25"/>
      <c r="M1590" s="25"/>
      <c r="N1590" s="25"/>
      <c r="O1590" s="25"/>
      <c r="P1590" s="25"/>
      <c r="Q1590" s="25"/>
      <c r="R1590" s="25"/>
      <c r="S1590" s="151"/>
      <c r="T1590" s="151"/>
      <c r="U1590" s="151"/>
      <c r="V1590" s="73"/>
      <c r="W1590" s="28"/>
      <c r="X1590" s="24"/>
    </row>
    <row r="1591" spans="2:24">
      <c r="B1591" s="24"/>
      <c r="C1591" s="47"/>
      <c r="D1591" s="26"/>
      <c r="E1591" s="27"/>
      <c r="F1591" s="25"/>
      <c r="G1591" s="25"/>
      <c r="H1591" s="25"/>
      <c r="I1591" s="25"/>
      <c r="J1591" s="25"/>
      <c r="K1591" s="25"/>
      <c r="L1591" s="25"/>
      <c r="M1591" s="25"/>
      <c r="N1591" s="25"/>
      <c r="O1591" s="25"/>
      <c r="P1591" s="25"/>
      <c r="Q1591" s="25"/>
      <c r="R1591" s="25"/>
      <c r="S1591" s="151"/>
      <c r="T1591" s="151"/>
      <c r="U1591" s="151"/>
      <c r="V1591" s="73"/>
      <c r="W1591" s="28"/>
      <c r="X1591" s="24"/>
    </row>
    <row r="1592" spans="2:24">
      <c r="B1592" s="24"/>
      <c r="C1592" s="47"/>
      <c r="D1592" s="26"/>
      <c r="E1592" s="27"/>
      <c r="F1592" s="25"/>
      <c r="G1592" s="25"/>
      <c r="H1592" s="25"/>
      <c r="I1592" s="25"/>
      <c r="J1592" s="25"/>
      <c r="K1592" s="25"/>
      <c r="L1592" s="25"/>
      <c r="M1592" s="25"/>
      <c r="N1592" s="25"/>
      <c r="O1592" s="25"/>
      <c r="P1592" s="25"/>
      <c r="Q1592" s="25"/>
      <c r="R1592" s="25"/>
      <c r="S1592" s="151"/>
      <c r="T1592" s="151"/>
      <c r="U1592" s="151"/>
      <c r="V1592" s="73"/>
      <c r="W1592" s="28"/>
      <c r="X1592" s="24"/>
    </row>
    <row r="1593" spans="2:24">
      <c r="B1593" s="24"/>
      <c r="C1593" s="47"/>
      <c r="D1593" s="26"/>
      <c r="E1593" s="27"/>
      <c r="F1593" s="25"/>
      <c r="G1593" s="25"/>
      <c r="H1593" s="25"/>
      <c r="I1593" s="25"/>
      <c r="J1593" s="25"/>
      <c r="K1593" s="25"/>
      <c r="L1593" s="25"/>
      <c r="M1593" s="25"/>
      <c r="N1593" s="25"/>
      <c r="O1593" s="25"/>
      <c r="P1593" s="25"/>
      <c r="Q1593" s="25"/>
      <c r="R1593" s="25"/>
      <c r="S1593" s="151"/>
      <c r="T1593" s="151"/>
      <c r="U1593" s="151"/>
      <c r="V1593" s="73"/>
      <c r="W1593" s="28"/>
      <c r="X1593" s="24"/>
    </row>
    <row r="1594" spans="2:24">
      <c r="B1594" s="24"/>
      <c r="C1594" s="47"/>
      <c r="D1594" s="26"/>
      <c r="E1594" s="27"/>
      <c r="F1594" s="25"/>
      <c r="G1594" s="25"/>
      <c r="H1594" s="25"/>
      <c r="I1594" s="25"/>
      <c r="J1594" s="25"/>
      <c r="K1594" s="25"/>
      <c r="L1594" s="25"/>
      <c r="M1594" s="25"/>
      <c r="N1594" s="25"/>
      <c r="O1594" s="25"/>
      <c r="P1594" s="25"/>
      <c r="Q1594" s="25"/>
      <c r="R1594" s="25"/>
      <c r="S1594" s="151"/>
      <c r="T1594" s="151"/>
      <c r="U1594" s="151"/>
      <c r="V1594" s="73"/>
      <c r="W1594" s="28"/>
      <c r="X1594" s="24"/>
    </row>
    <row r="1595" spans="2:24">
      <c r="B1595" s="24"/>
      <c r="C1595" s="47"/>
      <c r="D1595" s="26"/>
      <c r="E1595" s="27"/>
      <c r="F1595" s="25"/>
      <c r="G1595" s="25"/>
      <c r="H1595" s="25"/>
      <c r="I1595" s="25"/>
      <c r="J1595" s="25"/>
      <c r="K1595" s="25"/>
      <c r="L1595" s="25"/>
      <c r="M1595" s="25"/>
      <c r="N1595" s="25"/>
      <c r="O1595" s="25"/>
      <c r="P1595" s="25"/>
      <c r="Q1595" s="25"/>
      <c r="R1595" s="25"/>
      <c r="S1595" s="151"/>
      <c r="T1595" s="151"/>
      <c r="U1595" s="151"/>
      <c r="V1595" s="73"/>
      <c r="W1595" s="28"/>
      <c r="X1595" s="24"/>
    </row>
    <row r="1596" spans="2:24">
      <c r="B1596" s="24"/>
      <c r="C1596" s="47"/>
      <c r="D1596" s="26"/>
      <c r="E1596" s="27"/>
      <c r="F1596" s="25"/>
      <c r="G1596" s="25"/>
      <c r="H1596" s="25"/>
      <c r="I1596" s="25"/>
      <c r="J1596" s="25"/>
      <c r="K1596" s="25"/>
      <c r="L1596" s="25"/>
      <c r="M1596" s="25"/>
      <c r="N1596" s="25"/>
      <c r="O1596" s="25"/>
      <c r="P1596" s="25"/>
      <c r="Q1596" s="25"/>
      <c r="R1596" s="25"/>
      <c r="S1596" s="151"/>
      <c r="T1596" s="151"/>
      <c r="U1596" s="151"/>
      <c r="V1596" s="73"/>
      <c r="W1596" s="28"/>
      <c r="X1596" s="24"/>
    </row>
    <row r="1597" spans="2:24">
      <c r="B1597" s="24"/>
      <c r="C1597" s="47"/>
      <c r="D1597" s="26"/>
      <c r="E1597" s="27"/>
      <c r="F1597" s="25"/>
      <c r="G1597" s="25"/>
      <c r="H1597" s="25"/>
      <c r="I1597" s="25"/>
      <c r="J1597" s="25"/>
      <c r="K1597" s="25"/>
      <c r="L1597" s="25"/>
      <c r="M1597" s="25"/>
      <c r="N1597" s="25"/>
      <c r="O1597" s="25"/>
      <c r="P1597" s="25"/>
      <c r="Q1597" s="25"/>
      <c r="R1597" s="25"/>
      <c r="S1597" s="151"/>
      <c r="T1597" s="151"/>
      <c r="U1597" s="151"/>
      <c r="V1597" s="73"/>
      <c r="W1597" s="28"/>
      <c r="X1597" s="24"/>
    </row>
    <row r="1598" spans="2:24">
      <c r="B1598" s="24"/>
      <c r="C1598" s="47"/>
      <c r="D1598" s="26"/>
      <c r="E1598" s="27"/>
      <c r="F1598" s="25"/>
      <c r="G1598" s="25"/>
      <c r="H1598" s="25"/>
      <c r="I1598" s="25"/>
      <c r="J1598" s="25"/>
      <c r="K1598" s="25"/>
      <c r="L1598" s="25"/>
      <c r="M1598" s="25"/>
      <c r="N1598" s="25"/>
      <c r="O1598" s="25"/>
      <c r="P1598" s="25"/>
      <c r="Q1598" s="25"/>
      <c r="R1598" s="25"/>
      <c r="S1598" s="151"/>
      <c r="T1598" s="151"/>
      <c r="U1598" s="151"/>
      <c r="V1598" s="73"/>
      <c r="W1598" s="28"/>
      <c r="X1598" s="24"/>
    </row>
    <row r="1599" spans="2:24">
      <c r="B1599" s="24"/>
      <c r="C1599" s="47"/>
      <c r="D1599" s="26"/>
      <c r="E1599" s="27"/>
      <c r="F1599" s="25"/>
      <c r="G1599" s="25"/>
      <c r="H1599" s="25"/>
      <c r="I1599" s="25"/>
      <c r="J1599" s="25"/>
      <c r="K1599" s="25"/>
      <c r="L1599" s="25"/>
      <c r="M1599" s="25"/>
      <c r="N1599" s="25"/>
      <c r="O1599" s="25"/>
      <c r="P1599" s="25"/>
      <c r="Q1599" s="25"/>
      <c r="R1599" s="25"/>
      <c r="S1599" s="151"/>
      <c r="T1599" s="151"/>
      <c r="U1599" s="151"/>
      <c r="V1599" s="73"/>
      <c r="W1599" s="28"/>
      <c r="X1599" s="24"/>
    </row>
    <row r="1600" spans="2:24">
      <c r="B1600" s="24"/>
      <c r="C1600" s="47"/>
      <c r="D1600" s="26"/>
      <c r="E1600" s="27"/>
      <c r="F1600" s="25"/>
      <c r="G1600" s="25"/>
      <c r="H1600" s="25"/>
      <c r="I1600" s="25"/>
      <c r="J1600" s="25"/>
      <c r="K1600" s="25"/>
      <c r="L1600" s="25"/>
      <c r="M1600" s="25"/>
      <c r="N1600" s="25"/>
      <c r="O1600" s="25"/>
      <c r="P1600" s="25"/>
      <c r="Q1600" s="25"/>
      <c r="R1600" s="25"/>
      <c r="S1600" s="151"/>
      <c r="T1600" s="151"/>
      <c r="U1600" s="151"/>
      <c r="V1600" s="73"/>
      <c r="W1600" s="28"/>
      <c r="X1600" s="24"/>
    </row>
    <row r="1601" spans="2:24">
      <c r="B1601" s="24"/>
      <c r="C1601" s="47"/>
      <c r="D1601" s="26"/>
      <c r="E1601" s="27"/>
      <c r="F1601" s="25"/>
      <c r="G1601" s="25"/>
      <c r="H1601" s="25"/>
      <c r="I1601" s="25"/>
      <c r="J1601" s="25"/>
      <c r="K1601" s="25"/>
      <c r="L1601" s="25"/>
      <c r="M1601" s="25"/>
      <c r="N1601" s="25"/>
      <c r="O1601" s="25"/>
      <c r="P1601" s="25"/>
      <c r="Q1601" s="25"/>
      <c r="R1601" s="25"/>
      <c r="S1601" s="151"/>
      <c r="T1601" s="151"/>
      <c r="U1601" s="151"/>
      <c r="V1601" s="73"/>
      <c r="W1601" s="28"/>
      <c r="X1601" s="24"/>
    </row>
    <row r="1602" spans="2:24">
      <c r="B1602" s="24"/>
      <c r="C1602" s="47"/>
      <c r="D1602" s="26"/>
      <c r="E1602" s="27"/>
      <c r="F1602" s="25"/>
      <c r="G1602" s="25"/>
      <c r="H1602" s="25"/>
      <c r="I1602" s="25"/>
      <c r="J1602" s="25"/>
      <c r="K1602" s="25"/>
      <c r="L1602" s="25"/>
      <c r="M1602" s="25"/>
      <c r="N1602" s="25"/>
      <c r="O1602" s="25"/>
      <c r="P1602" s="25"/>
      <c r="Q1602" s="25"/>
      <c r="R1602" s="25"/>
      <c r="S1602" s="151"/>
      <c r="T1602" s="151"/>
      <c r="U1602" s="151"/>
      <c r="V1602" s="73"/>
      <c r="W1602" s="28"/>
      <c r="X1602" s="24"/>
    </row>
    <row r="1603" spans="2:24">
      <c r="B1603" s="24"/>
      <c r="C1603" s="47"/>
      <c r="D1603" s="26"/>
      <c r="E1603" s="27"/>
      <c r="F1603" s="25"/>
      <c r="G1603" s="25"/>
      <c r="H1603" s="25"/>
      <c r="I1603" s="25"/>
      <c r="J1603" s="25"/>
      <c r="K1603" s="25"/>
      <c r="L1603" s="25"/>
      <c r="M1603" s="25"/>
      <c r="N1603" s="25"/>
      <c r="O1603" s="25"/>
      <c r="P1603" s="25"/>
      <c r="Q1603" s="25"/>
      <c r="R1603" s="25"/>
      <c r="S1603" s="151"/>
      <c r="T1603" s="151"/>
      <c r="U1603" s="151"/>
      <c r="V1603" s="73"/>
      <c r="W1603" s="28"/>
      <c r="X1603" s="24"/>
    </row>
    <row r="1604" spans="2:24">
      <c r="B1604" s="24"/>
      <c r="C1604" s="47"/>
      <c r="D1604" s="26"/>
      <c r="E1604" s="27"/>
      <c r="F1604" s="25"/>
      <c r="G1604" s="25"/>
      <c r="H1604" s="25"/>
      <c r="I1604" s="25"/>
      <c r="J1604" s="25"/>
      <c r="K1604" s="25"/>
      <c r="L1604" s="25"/>
      <c r="M1604" s="25"/>
      <c r="N1604" s="25"/>
      <c r="O1604" s="25"/>
      <c r="P1604" s="25"/>
      <c r="Q1604" s="25"/>
      <c r="R1604" s="25"/>
      <c r="S1604" s="151"/>
      <c r="T1604" s="151"/>
      <c r="U1604" s="151"/>
      <c r="V1604" s="73"/>
      <c r="W1604" s="28"/>
      <c r="X1604" s="24"/>
    </row>
    <row r="1605" spans="2:24">
      <c r="B1605" s="24"/>
      <c r="C1605" s="47"/>
      <c r="D1605" s="26"/>
      <c r="E1605" s="27"/>
      <c r="F1605" s="25"/>
      <c r="G1605" s="25"/>
      <c r="H1605" s="25"/>
      <c r="I1605" s="25"/>
      <c r="J1605" s="25"/>
      <c r="K1605" s="25"/>
      <c r="L1605" s="25"/>
      <c r="M1605" s="25"/>
      <c r="N1605" s="25"/>
      <c r="O1605" s="25"/>
      <c r="P1605" s="25"/>
      <c r="Q1605" s="25"/>
      <c r="R1605" s="25"/>
      <c r="S1605" s="151"/>
      <c r="T1605" s="151"/>
      <c r="U1605" s="151"/>
      <c r="V1605" s="73"/>
      <c r="W1605" s="28"/>
      <c r="X1605" s="24"/>
    </row>
    <row r="1606" spans="2:24">
      <c r="B1606" s="24"/>
      <c r="C1606" s="47"/>
      <c r="D1606" s="26"/>
      <c r="E1606" s="27"/>
      <c r="F1606" s="25"/>
      <c r="G1606" s="25"/>
      <c r="H1606" s="25"/>
      <c r="I1606" s="25"/>
      <c r="J1606" s="25"/>
      <c r="K1606" s="25"/>
      <c r="L1606" s="25"/>
      <c r="M1606" s="25"/>
      <c r="N1606" s="25"/>
      <c r="O1606" s="25"/>
      <c r="P1606" s="25"/>
      <c r="Q1606" s="25"/>
      <c r="R1606" s="25"/>
      <c r="S1606" s="151"/>
      <c r="T1606" s="151"/>
      <c r="U1606" s="151"/>
      <c r="V1606" s="73"/>
      <c r="W1606" s="28"/>
      <c r="X1606" s="24"/>
    </row>
    <row r="1607" spans="2:24">
      <c r="B1607" s="24"/>
      <c r="C1607" s="47"/>
      <c r="D1607" s="26"/>
      <c r="E1607" s="27"/>
      <c r="F1607" s="25"/>
      <c r="G1607" s="25"/>
      <c r="H1607" s="25"/>
      <c r="I1607" s="25"/>
      <c r="J1607" s="25"/>
      <c r="K1607" s="25"/>
      <c r="L1607" s="25"/>
      <c r="M1607" s="25"/>
      <c r="N1607" s="25"/>
      <c r="O1607" s="25"/>
      <c r="P1607" s="25"/>
      <c r="Q1607" s="25"/>
      <c r="R1607" s="25"/>
      <c r="S1607" s="151"/>
      <c r="T1607" s="151"/>
      <c r="U1607" s="151"/>
      <c r="V1607" s="73"/>
      <c r="W1607" s="28"/>
      <c r="X1607" s="24"/>
    </row>
    <row r="1608" spans="2:24">
      <c r="B1608" s="24"/>
      <c r="C1608" s="47"/>
      <c r="D1608" s="26"/>
      <c r="E1608" s="27"/>
      <c r="F1608" s="25"/>
      <c r="G1608" s="25"/>
      <c r="H1608" s="25"/>
      <c r="I1608" s="25"/>
      <c r="J1608" s="25"/>
      <c r="K1608" s="25"/>
      <c r="L1608" s="25"/>
      <c r="M1608" s="25"/>
      <c r="N1608" s="25"/>
      <c r="O1608" s="25"/>
      <c r="P1608" s="25"/>
      <c r="Q1608" s="25"/>
      <c r="R1608" s="25"/>
      <c r="S1608" s="151"/>
      <c r="T1608" s="151"/>
      <c r="U1608" s="151"/>
      <c r="V1608" s="73"/>
      <c r="W1608" s="28"/>
      <c r="X1608" s="24"/>
    </row>
    <row r="1609" spans="2:24">
      <c r="B1609" s="24"/>
      <c r="C1609" s="47"/>
      <c r="D1609" s="26"/>
      <c r="E1609" s="27"/>
      <c r="F1609" s="25"/>
      <c r="G1609" s="25"/>
      <c r="H1609" s="25"/>
      <c r="I1609" s="25"/>
      <c r="J1609" s="25"/>
      <c r="K1609" s="25"/>
      <c r="L1609" s="25"/>
      <c r="M1609" s="25"/>
      <c r="N1609" s="25"/>
      <c r="O1609" s="25"/>
      <c r="P1609" s="25"/>
      <c r="Q1609" s="25"/>
      <c r="R1609" s="25"/>
      <c r="S1609" s="151"/>
      <c r="T1609" s="151"/>
      <c r="U1609" s="151"/>
      <c r="V1609" s="73"/>
      <c r="W1609" s="28"/>
      <c r="X1609" s="24"/>
    </row>
    <row r="1610" spans="2:24">
      <c r="B1610" s="24"/>
      <c r="C1610" s="47"/>
      <c r="D1610" s="26"/>
      <c r="E1610" s="27"/>
      <c r="F1610" s="25"/>
      <c r="G1610" s="25"/>
      <c r="H1610" s="25"/>
      <c r="I1610" s="25"/>
      <c r="J1610" s="25"/>
      <c r="K1610" s="25"/>
      <c r="L1610" s="25"/>
      <c r="M1610" s="25"/>
      <c r="N1610" s="25"/>
      <c r="O1610" s="25"/>
      <c r="P1610" s="25"/>
      <c r="Q1610" s="25"/>
      <c r="R1610" s="25"/>
      <c r="S1610" s="151"/>
      <c r="T1610" s="151"/>
      <c r="U1610" s="151"/>
      <c r="V1610" s="73"/>
      <c r="W1610" s="28"/>
      <c r="X1610" s="24"/>
    </row>
    <row r="1611" spans="2:24">
      <c r="B1611" s="24"/>
      <c r="C1611" s="47"/>
      <c r="D1611" s="26"/>
      <c r="E1611" s="27"/>
      <c r="F1611" s="25"/>
      <c r="G1611" s="25"/>
      <c r="H1611" s="25"/>
      <c r="I1611" s="25"/>
      <c r="J1611" s="25"/>
      <c r="K1611" s="25"/>
      <c r="L1611" s="25"/>
      <c r="M1611" s="25"/>
      <c r="N1611" s="25"/>
      <c r="O1611" s="25"/>
      <c r="P1611" s="25"/>
      <c r="Q1611" s="25"/>
      <c r="R1611" s="25"/>
      <c r="S1611" s="151"/>
      <c r="T1611" s="151"/>
      <c r="U1611" s="151"/>
      <c r="V1611" s="73"/>
      <c r="W1611" s="28"/>
      <c r="X1611" s="24"/>
    </row>
    <row r="1612" spans="2:24">
      <c r="B1612" s="24"/>
      <c r="C1612" s="47"/>
      <c r="D1612" s="26"/>
      <c r="E1612" s="27"/>
      <c r="F1612" s="25"/>
      <c r="G1612" s="25"/>
      <c r="H1612" s="25"/>
      <c r="I1612" s="25"/>
      <c r="J1612" s="25"/>
      <c r="K1612" s="25"/>
      <c r="L1612" s="25"/>
      <c r="M1612" s="25"/>
      <c r="N1612" s="25"/>
      <c r="O1612" s="25"/>
      <c r="P1612" s="25"/>
      <c r="Q1612" s="25"/>
      <c r="R1612" s="25"/>
      <c r="S1612" s="151"/>
      <c r="T1612" s="151"/>
      <c r="U1612" s="151"/>
      <c r="V1612" s="73"/>
      <c r="W1612" s="28"/>
      <c r="X1612" s="24"/>
    </row>
    <row r="1613" spans="2:24">
      <c r="B1613" s="24"/>
      <c r="C1613" s="47"/>
      <c r="D1613" s="26"/>
      <c r="E1613" s="27"/>
      <c r="F1613" s="25"/>
      <c r="G1613" s="25"/>
      <c r="H1613" s="25"/>
      <c r="I1613" s="25"/>
      <c r="J1613" s="25"/>
      <c r="K1613" s="25"/>
      <c r="L1613" s="25"/>
      <c r="M1613" s="25"/>
      <c r="N1613" s="25"/>
      <c r="O1613" s="25"/>
      <c r="P1613" s="25"/>
      <c r="Q1613" s="25"/>
      <c r="R1613" s="25"/>
      <c r="S1613" s="151"/>
      <c r="T1613" s="151"/>
      <c r="U1613" s="151"/>
      <c r="V1613" s="73"/>
      <c r="W1613" s="28"/>
      <c r="X1613" s="24"/>
    </row>
    <row r="1614" spans="2:24">
      <c r="B1614" s="24"/>
      <c r="C1614" s="47"/>
      <c r="D1614" s="26"/>
      <c r="E1614" s="27"/>
      <c r="F1614" s="25"/>
      <c r="G1614" s="25"/>
      <c r="H1614" s="25"/>
      <c r="I1614" s="25"/>
      <c r="J1614" s="25"/>
      <c r="K1614" s="25"/>
      <c r="L1614" s="25"/>
      <c r="M1614" s="25"/>
      <c r="N1614" s="25"/>
      <c r="O1614" s="25"/>
      <c r="P1614" s="25"/>
      <c r="Q1614" s="25"/>
      <c r="R1614" s="25"/>
      <c r="S1614" s="151"/>
      <c r="T1614" s="151"/>
      <c r="U1614" s="151"/>
      <c r="V1614" s="73"/>
      <c r="W1614" s="28"/>
      <c r="X1614" s="24"/>
    </row>
    <row r="1615" spans="2:24">
      <c r="B1615" s="24"/>
      <c r="C1615" s="47"/>
      <c r="D1615" s="26"/>
      <c r="E1615" s="27"/>
      <c r="F1615" s="25"/>
      <c r="G1615" s="25"/>
      <c r="H1615" s="25"/>
      <c r="I1615" s="25"/>
      <c r="J1615" s="25"/>
      <c r="K1615" s="25"/>
      <c r="L1615" s="25"/>
      <c r="M1615" s="25"/>
      <c r="N1615" s="25"/>
      <c r="O1615" s="25"/>
      <c r="P1615" s="25"/>
      <c r="Q1615" s="25"/>
      <c r="R1615" s="25"/>
      <c r="S1615" s="151"/>
      <c r="T1615" s="151"/>
      <c r="U1615" s="151"/>
      <c r="V1615" s="73"/>
      <c r="W1615" s="28"/>
      <c r="X1615" s="24"/>
    </row>
    <row r="1616" spans="2:24">
      <c r="B1616" s="24"/>
      <c r="C1616" s="47"/>
      <c r="D1616" s="26"/>
      <c r="E1616" s="27"/>
      <c r="F1616" s="25"/>
      <c r="G1616" s="25"/>
      <c r="H1616" s="25"/>
      <c r="I1616" s="25"/>
      <c r="J1616" s="25"/>
      <c r="K1616" s="25"/>
      <c r="L1616" s="25"/>
      <c r="M1616" s="25"/>
      <c r="N1616" s="25"/>
      <c r="O1616" s="25"/>
      <c r="P1616" s="25"/>
      <c r="Q1616" s="25"/>
      <c r="R1616" s="25"/>
      <c r="S1616" s="151"/>
      <c r="T1616" s="151"/>
      <c r="U1616" s="151"/>
      <c r="V1616" s="73"/>
      <c r="W1616" s="28"/>
      <c r="X1616" s="24"/>
    </row>
    <row r="1617" spans="2:24">
      <c r="B1617" s="24"/>
      <c r="C1617" s="47"/>
      <c r="D1617" s="26"/>
      <c r="E1617" s="27"/>
      <c r="F1617" s="25"/>
      <c r="G1617" s="25"/>
      <c r="H1617" s="25"/>
      <c r="I1617" s="25"/>
      <c r="J1617" s="25"/>
      <c r="K1617" s="25"/>
      <c r="L1617" s="25"/>
      <c r="M1617" s="25"/>
      <c r="N1617" s="25"/>
      <c r="O1617" s="25"/>
      <c r="P1617" s="25"/>
      <c r="Q1617" s="25"/>
      <c r="R1617" s="25"/>
      <c r="S1617" s="151"/>
      <c r="T1617" s="151"/>
      <c r="U1617" s="151"/>
      <c r="V1617" s="73"/>
      <c r="W1617" s="28"/>
      <c r="X1617" s="24"/>
    </row>
    <row r="1618" spans="2:24">
      <c r="B1618" s="24"/>
      <c r="C1618" s="47"/>
      <c r="D1618" s="26"/>
      <c r="E1618" s="27"/>
      <c r="F1618" s="25"/>
      <c r="G1618" s="25"/>
      <c r="H1618" s="25"/>
      <c r="I1618" s="25"/>
      <c r="J1618" s="25"/>
      <c r="K1618" s="25"/>
      <c r="L1618" s="25"/>
      <c r="M1618" s="25"/>
      <c r="N1618" s="25"/>
      <c r="O1618" s="25"/>
      <c r="P1618" s="25"/>
      <c r="Q1618" s="25"/>
      <c r="R1618" s="25"/>
      <c r="S1618" s="151"/>
      <c r="T1618" s="151"/>
      <c r="U1618" s="151"/>
      <c r="V1618" s="73"/>
      <c r="W1618" s="28"/>
      <c r="X1618" s="24"/>
    </row>
    <row r="1619" spans="2:24">
      <c r="B1619" s="24"/>
      <c r="C1619" s="47"/>
      <c r="D1619" s="26"/>
      <c r="E1619" s="27"/>
      <c r="F1619" s="25"/>
      <c r="G1619" s="25"/>
      <c r="H1619" s="25"/>
      <c r="I1619" s="25"/>
      <c r="J1619" s="25"/>
      <c r="K1619" s="25"/>
      <c r="L1619" s="25"/>
      <c r="M1619" s="25"/>
      <c r="N1619" s="25"/>
      <c r="O1619" s="25"/>
      <c r="P1619" s="25"/>
      <c r="Q1619" s="25"/>
      <c r="R1619" s="25"/>
      <c r="S1619" s="151"/>
      <c r="T1619" s="151"/>
      <c r="U1619" s="151"/>
      <c r="V1619" s="73"/>
      <c r="W1619" s="28"/>
      <c r="X1619" s="24"/>
    </row>
    <row r="1620" spans="2:24">
      <c r="B1620" s="24"/>
      <c r="C1620" s="47"/>
      <c r="D1620" s="26"/>
      <c r="E1620" s="27"/>
      <c r="F1620" s="25"/>
      <c r="G1620" s="25"/>
      <c r="H1620" s="25"/>
      <c r="I1620" s="25"/>
      <c r="J1620" s="25"/>
      <c r="K1620" s="25"/>
      <c r="L1620" s="25"/>
      <c r="M1620" s="25"/>
      <c r="N1620" s="25"/>
      <c r="O1620" s="25"/>
      <c r="P1620" s="25"/>
      <c r="Q1620" s="25"/>
      <c r="R1620" s="25"/>
      <c r="S1620" s="151"/>
      <c r="T1620" s="151"/>
      <c r="U1620" s="151"/>
      <c r="V1620" s="73"/>
      <c r="W1620" s="28"/>
      <c r="X1620" s="24"/>
    </row>
    <row r="1621" spans="2:24">
      <c r="B1621" s="24"/>
      <c r="C1621" s="47"/>
      <c r="D1621" s="26"/>
      <c r="E1621" s="27"/>
      <c r="F1621" s="25"/>
      <c r="G1621" s="25"/>
      <c r="H1621" s="25"/>
      <c r="I1621" s="25"/>
      <c r="J1621" s="25"/>
      <c r="K1621" s="25"/>
      <c r="L1621" s="25"/>
      <c r="M1621" s="25"/>
      <c r="N1621" s="25"/>
      <c r="O1621" s="25"/>
      <c r="P1621" s="25"/>
      <c r="Q1621" s="25"/>
      <c r="R1621" s="25"/>
      <c r="S1621" s="151"/>
      <c r="T1621" s="151"/>
      <c r="U1621" s="151"/>
      <c r="V1621" s="73"/>
      <c r="W1621" s="28"/>
      <c r="X1621" s="24"/>
    </row>
    <row r="1622" spans="2:24">
      <c r="B1622" s="24"/>
      <c r="C1622" s="47"/>
      <c r="D1622" s="26"/>
      <c r="E1622" s="27"/>
      <c r="F1622" s="25"/>
      <c r="G1622" s="25"/>
      <c r="H1622" s="25"/>
      <c r="I1622" s="25"/>
      <c r="J1622" s="25"/>
      <c r="K1622" s="25"/>
      <c r="L1622" s="25"/>
      <c r="M1622" s="25"/>
      <c r="N1622" s="25"/>
      <c r="O1622" s="25"/>
      <c r="P1622" s="25"/>
      <c r="Q1622" s="25"/>
      <c r="R1622" s="25"/>
      <c r="S1622" s="151"/>
      <c r="T1622" s="151"/>
      <c r="U1622" s="151"/>
      <c r="V1622" s="73"/>
      <c r="W1622" s="28"/>
      <c r="X1622" s="24"/>
    </row>
    <row r="1623" spans="2:24">
      <c r="B1623" s="24"/>
      <c r="C1623" s="47"/>
      <c r="D1623" s="26"/>
      <c r="E1623" s="27"/>
      <c r="F1623" s="25"/>
      <c r="G1623" s="25"/>
      <c r="H1623" s="25"/>
      <c r="I1623" s="25"/>
      <c r="J1623" s="25"/>
      <c r="K1623" s="25"/>
      <c r="L1623" s="25"/>
      <c r="M1623" s="25"/>
      <c r="N1623" s="25"/>
      <c r="O1623" s="25"/>
      <c r="P1623" s="25"/>
      <c r="Q1623" s="25"/>
      <c r="R1623" s="25"/>
      <c r="S1623" s="151"/>
      <c r="T1623" s="151"/>
      <c r="U1623" s="151"/>
      <c r="V1623" s="73"/>
      <c r="W1623" s="28"/>
      <c r="X1623" s="24"/>
    </row>
    <row r="1624" spans="2:24">
      <c r="B1624" s="24"/>
      <c r="C1624" s="47"/>
      <c r="D1624" s="26"/>
      <c r="E1624" s="27"/>
      <c r="F1624" s="25"/>
      <c r="G1624" s="25"/>
      <c r="H1624" s="25"/>
      <c r="I1624" s="25"/>
      <c r="J1624" s="25"/>
      <c r="K1624" s="25"/>
      <c r="L1624" s="25"/>
      <c r="M1624" s="25"/>
      <c r="N1624" s="25"/>
      <c r="O1624" s="25"/>
      <c r="P1624" s="25"/>
      <c r="Q1624" s="25"/>
      <c r="R1624" s="25"/>
      <c r="S1624" s="151"/>
      <c r="T1624" s="151"/>
      <c r="U1624" s="151"/>
      <c r="V1624" s="73"/>
      <c r="W1624" s="28"/>
      <c r="X1624" s="24"/>
    </row>
    <row r="1625" spans="2:24">
      <c r="B1625" s="24"/>
      <c r="C1625" s="47"/>
      <c r="D1625" s="26"/>
      <c r="E1625" s="27"/>
      <c r="F1625" s="25"/>
      <c r="G1625" s="25"/>
      <c r="H1625" s="25"/>
      <c r="I1625" s="25"/>
      <c r="J1625" s="25"/>
      <c r="K1625" s="25"/>
      <c r="L1625" s="25"/>
      <c r="M1625" s="25"/>
      <c r="N1625" s="25"/>
      <c r="O1625" s="25"/>
      <c r="P1625" s="25"/>
      <c r="Q1625" s="25"/>
      <c r="R1625" s="25"/>
      <c r="S1625" s="151"/>
      <c r="T1625" s="151"/>
      <c r="U1625" s="151"/>
      <c r="V1625" s="73"/>
      <c r="W1625" s="28"/>
      <c r="X1625" s="24"/>
    </row>
    <row r="1626" spans="2:24">
      <c r="B1626" s="24"/>
      <c r="C1626" s="47"/>
      <c r="D1626" s="26"/>
      <c r="E1626" s="27"/>
      <c r="F1626" s="25"/>
      <c r="G1626" s="25"/>
      <c r="H1626" s="25"/>
      <c r="I1626" s="25"/>
      <c r="J1626" s="25"/>
      <c r="K1626" s="25"/>
      <c r="L1626" s="25"/>
      <c r="M1626" s="25"/>
      <c r="N1626" s="25"/>
      <c r="O1626" s="25"/>
      <c r="P1626" s="25"/>
      <c r="Q1626" s="25"/>
      <c r="R1626" s="25"/>
      <c r="S1626" s="151"/>
      <c r="T1626" s="151"/>
      <c r="U1626" s="151"/>
      <c r="V1626" s="73"/>
      <c r="W1626" s="28"/>
      <c r="X1626" s="24"/>
    </row>
    <row r="1627" spans="2:24">
      <c r="B1627" s="24"/>
      <c r="C1627" s="47"/>
      <c r="D1627" s="26"/>
      <c r="E1627" s="27"/>
      <c r="F1627" s="25"/>
      <c r="G1627" s="25"/>
      <c r="H1627" s="25"/>
      <c r="I1627" s="25"/>
      <c r="J1627" s="25"/>
      <c r="K1627" s="25"/>
      <c r="L1627" s="25"/>
      <c r="M1627" s="25"/>
      <c r="N1627" s="25"/>
      <c r="O1627" s="25"/>
      <c r="P1627" s="25"/>
      <c r="Q1627" s="25"/>
      <c r="R1627" s="25"/>
      <c r="S1627" s="151"/>
      <c r="T1627" s="151"/>
      <c r="U1627" s="151"/>
      <c r="V1627" s="73"/>
      <c r="W1627" s="28"/>
      <c r="X1627" s="24"/>
    </row>
    <row r="1628" spans="2:24">
      <c r="B1628" s="24"/>
      <c r="C1628" s="47"/>
      <c r="D1628" s="26"/>
      <c r="E1628" s="27"/>
      <c r="F1628" s="25"/>
      <c r="G1628" s="25"/>
      <c r="H1628" s="25"/>
      <c r="I1628" s="25"/>
      <c r="J1628" s="25"/>
      <c r="K1628" s="25"/>
      <c r="L1628" s="25"/>
      <c r="M1628" s="25"/>
      <c r="N1628" s="25"/>
      <c r="O1628" s="25"/>
      <c r="P1628" s="25"/>
      <c r="Q1628" s="25"/>
      <c r="R1628" s="25"/>
      <c r="S1628" s="151"/>
      <c r="T1628" s="151"/>
      <c r="U1628" s="151"/>
      <c r="V1628" s="73"/>
      <c r="W1628" s="28"/>
      <c r="X1628" s="24"/>
    </row>
    <row r="1629" spans="2:24">
      <c r="B1629" s="24"/>
      <c r="C1629" s="47"/>
      <c r="D1629" s="26"/>
      <c r="E1629" s="27"/>
      <c r="F1629" s="25"/>
      <c r="G1629" s="25"/>
      <c r="H1629" s="25"/>
      <c r="I1629" s="25"/>
      <c r="J1629" s="25"/>
      <c r="K1629" s="25"/>
      <c r="L1629" s="25"/>
      <c r="M1629" s="25"/>
      <c r="N1629" s="25"/>
      <c r="O1629" s="25"/>
      <c r="P1629" s="25"/>
      <c r="Q1629" s="25"/>
      <c r="R1629" s="25"/>
      <c r="S1629" s="151"/>
      <c r="T1629" s="151"/>
      <c r="U1629" s="151"/>
      <c r="V1629" s="73"/>
      <c r="W1629" s="28"/>
      <c r="X1629" s="24"/>
    </row>
    <row r="1630" spans="2:24">
      <c r="B1630" s="24"/>
      <c r="C1630" s="47"/>
      <c r="D1630" s="26"/>
      <c r="E1630" s="27"/>
      <c r="F1630" s="25"/>
      <c r="G1630" s="25"/>
      <c r="H1630" s="25"/>
      <c r="I1630" s="25"/>
      <c r="J1630" s="25"/>
      <c r="K1630" s="25"/>
      <c r="L1630" s="25"/>
      <c r="M1630" s="25"/>
      <c r="N1630" s="25"/>
      <c r="O1630" s="25"/>
      <c r="P1630" s="25"/>
      <c r="Q1630" s="25"/>
      <c r="R1630" s="25"/>
      <c r="S1630" s="151"/>
      <c r="T1630" s="151"/>
      <c r="U1630" s="151"/>
      <c r="V1630" s="73"/>
      <c r="W1630" s="28"/>
      <c r="X1630" s="24"/>
    </row>
    <row r="1631" spans="2:24">
      <c r="B1631" s="24"/>
      <c r="C1631" s="47"/>
      <c r="D1631" s="26"/>
      <c r="E1631" s="27"/>
      <c r="F1631" s="25"/>
      <c r="G1631" s="25"/>
      <c r="H1631" s="25"/>
      <c r="I1631" s="25"/>
      <c r="J1631" s="25"/>
      <c r="K1631" s="25"/>
      <c r="L1631" s="25"/>
      <c r="M1631" s="25"/>
      <c r="N1631" s="25"/>
      <c r="O1631" s="25"/>
      <c r="P1631" s="25"/>
      <c r="Q1631" s="25"/>
      <c r="R1631" s="25"/>
      <c r="S1631" s="151"/>
      <c r="T1631" s="151"/>
      <c r="U1631" s="151"/>
      <c r="V1631" s="73"/>
      <c r="W1631" s="28"/>
      <c r="X1631" s="24"/>
    </row>
    <row r="1632" spans="2:24">
      <c r="B1632" s="24"/>
      <c r="C1632" s="47"/>
      <c r="D1632" s="26"/>
      <c r="E1632" s="27"/>
      <c r="F1632" s="25"/>
      <c r="G1632" s="25"/>
      <c r="H1632" s="25"/>
      <c r="I1632" s="25"/>
      <c r="J1632" s="25"/>
      <c r="K1632" s="25"/>
      <c r="L1632" s="25"/>
      <c r="M1632" s="25"/>
      <c r="N1632" s="25"/>
      <c r="O1632" s="25"/>
      <c r="P1632" s="25"/>
      <c r="Q1632" s="25"/>
      <c r="R1632" s="25"/>
      <c r="S1632" s="151"/>
      <c r="T1632" s="151"/>
      <c r="U1632" s="151"/>
      <c r="V1632" s="73"/>
      <c r="W1632" s="28"/>
      <c r="X1632" s="24"/>
    </row>
    <row r="1633" spans="2:24">
      <c r="B1633" s="24"/>
      <c r="C1633" s="47"/>
      <c r="D1633" s="26"/>
      <c r="E1633" s="27"/>
      <c r="F1633" s="25"/>
      <c r="G1633" s="25"/>
      <c r="H1633" s="25"/>
      <c r="I1633" s="25"/>
      <c r="J1633" s="25"/>
      <c r="K1633" s="25"/>
      <c r="L1633" s="25"/>
      <c r="M1633" s="25"/>
      <c r="N1633" s="25"/>
      <c r="O1633" s="25"/>
      <c r="P1633" s="25"/>
      <c r="Q1633" s="25"/>
      <c r="R1633" s="25"/>
      <c r="S1633" s="151"/>
      <c r="T1633" s="151"/>
      <c r="U1633" s="151"/>
      <c r="V1633" s="73"/>
      <c r="W1633" s="28"/>
      <c r="X1633" s="24"/>
    </row>
    <row r="1634" spans="2:24">
      <c r="B1634" s="24"/>
      <c r="C1634" s="47"/>
      <c r="D1634" s="26"/>
      <c r="E1634" s="27"/>
      <c r="F1634" s="25"/>
      <c r="G1634" s="25"/>
      <c r="H1634" s="25"/>
      <c r="I1634" s="25"/>
      <c r="J1634" s="25"/>
      <c r="K1634" s="25"/>
      <c r="L1634" s="25"/>
      <c r="M1634" s="25"/>
      <c r="N1634" s="25"/>
      <c r="O1634" s="25"/>
      <c r="P1634" s="25"/>
      <c r="Q1634" s="25"/>
      <c r="R1634" s="25"/>
      <c r="S1634" s="151"/>
      <c r="T1634" s="151"/>
      <c r="U1634" s="151"/>
      <c r="V1634" s="73"/>
      <c r="W1634" s="28"/>
      <c r="X1634" s="24"/>
    </row>
    <row r="1635" spans="2:24">
      <c r="B1635" s="24"/>
      <c r="C1635" s="47"/>
      <c r="D1635" s="26"/>
      <c r="E1635" s="27"/>
      <c r="F1635" s="25"/>
      <c r="G1635" s="25"/>
      <c r="H1635" s="25"/>
      <c r="I1635" s="25"/>
      <c r="J1635" s="25"/>
      <c r="K1635" s="25"/>
      <c r="L1635" s="25"/>
      <c r="M1635" s="25"/>
      <c r="N1635" s="25"/>
      <c r="O1635" s="25"/>
      <c r="P1635" s="25"/>
      <c r="Q1635" s="25"/>
      <c r="R1635" s="25"/>
      <c r="S1635" s="151"/>
      <c r="T1635" s="151"/>
      <c r="U1635" s="151"/>
      <c r="V1635" s="73"/>
      <c r="W1635" s="28"/>
      <c r="X1635" s="24"/>
    </row>
    <row r="1636" spans="2:24">
      <c r="B1636" s="24"/>
      <c r="C1636" s="47"/>
      <c r="D1636" s="26"/>
      <c r="E1636" s="27"/>
      <c r="F1636" s="25"/>
      <c r="G1636" s="25"/>
      <c r="H1636" s="25"/>
      <c r="I1636" s="25"/>
      <c r="J1636" s="25"/>
      <c r="K1636" s="25"/>
      <c r="L1636" s="25"/>
      <c r="M1636" s="25"/>
      <c r="N1636" s="25"/>
      <c r="O1636" s="25"/>
      <c r="P1636" s="25"/>
      <c r="Q1636" s="25"/>
      <c r="R1636" s="25"/>
      <c r="S1636" s="151"/>
      <c r="T1636" s="151"/>
      <c r="U1636" s="151"/>
      <c r="V1636" s="73"/>
      <c r="W1636" s="28"/>
      <c r="X1636" s="24"/>
    </row>
    <row r="1637" spans="2:24">
      <c r="B1637" s="24"/>
      <c r="C1637" s="47"/>
      <c r="D1637" s="26"/>
      <c r="E1637" s="27"/>
      <c r="F1637" s="25"/>
      <c r="G1637" s="25"/>
      <c r="H1637" s="25"/>
      <c r="I1637" s="25"/>
      <c r="J1637" s="25"/>
      <c r="K1637" s="25"/>
      <c r="L1637" s="25"/>
      <c r="M1637" s="25"/>
      <c r="N1637" s="25"/>
      <c r="O1637" s="25"/>
      <c r="P1637" s="25"/>
      <c r="Q1637" s="25"/>
      <c r="R1637" s="25"/>
      <c r="S1637" s="151"/>
      <c r="T1637" s="151"/>
      <c r="U1637" s="151"/>
      <c r="V1637" s="73"/>
      <c r="W1637" s="28"/>
      <c r="X1637" s="24"/>
    </row>
    <row r="1638" spans="2:24">
      <c r="B1638" s="24"/>
      <c r="C1638" s="47"/>
      <c r="D1638" s="26"/>
      <c r="E1638" s="27"/>
      <c r="F1638" s="25"/>
      <c r="G1638" s="25"/>
      <c r="H1638" s="25"/>
      <c r="I1638" s="25"/>
      <c r="J1638" s="25"/>
      <c r="K1638" s="25"/>
      <c r="L1638" s="25"/>
      <c r="M1638" s="25"/>
      <c r="N1638" s="25"/>
      <c r="O1638" s="25"/>
      <c r="P1638" s="25"/>
      <c r="Q1638" s="25"/>
      <c r="R1638" s="25"/>
      <c r="S1638" s="151"/>
      <c r="T1638" s="151"/>
      <c r="U1638" s="151"/>
      <c r="V1638" s="73"/>
      <c r="W1638" s="28"/>
      <c r="X1638" s="24"/>
    </row>
    <row r="1639" spans="2:24">
      <c r="B1639" s="24"/>
      <c r="C1639" s="47"/>
      <c r="D1639" s="26"/>
      <c r="E1639" s="27"/>
      <c r="F1639" s="25"/>
      <c r="G1639" s="25"/>
      <c r="H1639" s="25"/>
      <c r="I1639" s="25"/>
      <c r="J1639" s="25"/>
      <c r="K1639" s="25"/>
      <c r="L1639" s="25"/>
      <c r="M1639" s="25"/>
      <c r="N1639" s="25"/>
      <c r="O1639" s="25"/>
      <c r="P1639" s="25"/>
      <c r="Q1639" s="25"/>
      <c r="R1639" s="25"/>
      <c r="S1639" s="151"/>
      <c r="T1639" s="151"/>
      <c r="U1639" s="151"/>
      <c r="V1639" s="73"/>
      <c r="W1639" s="28"/>
      <c r="X1639" s="24"/>
    </row>
    <row r="1640" spans="2:24">
      <c r="B1640" s="24"/>
      <c r="C1640" s="47"/>
      <c r="D1640" s="26"/>
      <c r="E1640" s="27"/>
      <c r="F1640" s="25"/>
      <c r="G1640" s="25"/>
      <c r="H1640" s="25"/>
      <c r="I1640" s="25"/>
      <c r="J1640" s="25"/>
      <c r="K1640" s="25"/>
      <c r="L1640" s="25"/>
      <c r="M1640" s="25"/>
      <c r="N1640" s="25"/>
      <c r="O1640" s="25"/>
      <c r="P1640" s="25"/>
      <c r="Q1640" s="25"/>
      <c r="R1640" s="25"/>
      <c r="S1640" s="151"/>
      <c r="T1640" s="151"/>
      <c r="U1640" s="151"/>
      <c r="V1640" s="73"/>
      <c r="W1640" s="28"/>
      <c r="X1640" s="24"/>
    </row>
    <row r="1641" spans="2:24">
      <c r="B1641" s="24"/>
      <c r="C1641" s="47"/>
      <c r="D1641" s="26"/>
      <c r="E1641" s="27"/>
      <c r="F1641" s="25"/>
      <c r="G1641" s="25"/>
      <c r="H1641" s="25"/>
      <c r="I1641" s="25"/>
      <c r="J1641" s="25"/>
      <c r="K1641" s="25"/>
      <c r="L1641" s="25"/>
      <c r="M1641" s="25"/>
      <c r="N1641" s="25"/>
      <c r="O1641" s="25"/>
      <c r="P1641" s="25"/>
      <c r="Q1641" s="25"/>
      <c r="R1641" s="25"/>
      <c r="S1641" s="151"/>
      <c r="T1641" s="151"/>
      <c r="U1641" s="151"/>
      <c r="V1641" s="73"/>
      <c r="W1641" s="28"/>
      <c r="X1641" s="24"/>
    </row>
    <row r="1642" spans="2:24">
      <c r="B1642" s="24"/>
      <c r="C1642" s="47"/>
      <c r="D1642" s="26"/>
      <c r="E1642" s="27"/>
      <c r="F1642" s="25"/>
      <c r="G1642" s="25"/>
      <c r="H1642" s="25"/>
      <c r="I1642" s="25"/>
      <c r="J1642" s="25"/>
      <c r="K1642" s="25"/>
      <c r="L1642" s="25"/>
      <c r="M1642" s="25"/>
      <c r="N1642" s="25"/>
      <c r="O1642" s="25"/>
      <c r="P1642" s="25"/>
      <c r="Q1642" s="25"/>
      <c r="R1642" s="25"/>
      <c r="S1642" s="151"/>
      <c r="T1642" s="151"/>
      <c r="U1642" s="151"/>
      <c r="V1642" s="73"/>
      <c r="W1642" s="28"/>
      <c r="X1642" s="24"/>
    </row>
    <row r="1643" spans="2:24">
      <c r="B1643" s="24"/>
      <c r="C1643" s="47"/>
      <c r="D1643" s="26"/>
      <c r="E1643" s="27"/>
      <c r="F1643" s="25"/>
      <c r="G1643" s="25"/>
      <c r="H1643" s="25"/>
      <c r="I1643" s="25"/>
      <c r="J1643" s="25"/>
      <c r="K1643" s="25"/>
      <c r="L1643" s="25"/>
      <c r="M1643" s="25"/>
      <c r="N1643" s="25"/>
      <c r="O1643" s="25"/>
      <c r="P1643" s="25"/>
      <c r="Q1643" s="25"/>
      <c r="R1643" s="25"/>
      <c r="S1643" s="151"/>
      <c r="T1643" s="151"/>
      <c r="U1643" s="151"/>
      <c r="V1643" s="73"/>
      <c r="W1643" s="28"/>
      <c r="X1643" s="24"/>
    </row>
    <row r="1644" spans="2:24">
      <c r="B1644" s="24"/>
      <c r="C1644" s="47"/>
      <c r="D1644" s="26"/>
      <c r="E1644" s="27"/>
      <c r="F1644" s="25"/>
      <c r="G1644" s="25"/>
      <c r="H1644" s="25"/>
      <c r="I1644" s="25"/>
      <c r="J1644" s="25"/>
      <c r="K1644" s="25"/>
      <c r="L1644" s="25"/>
      <c r="M1644" s="25"/>
      <c r="N1644" s="25"/>
      <c r="O1644" s="25"/>
      <c r="P1644" s="25"/>
      <c r="Q1644" s="25"/>
      <c r="R1644" s="25"/>
      <c r="S1644" s="151"/>
      <c r="T1644" s="151"/>
      <c r="U1644" s="151"/>
      <c r="V1644" s="73"/>
      <c r="W1644" s="28"/>
      <c r="X1644" s="24"/>
    </row>
    <row r="1645" spans="2:24">
      <c r="B1645" s="24"/>
      <c r="C1645" s="47"/>
      <c r="D1645" s="26"/>
      <c r="E1645" s="27"/>
      <c r="F1645" s="25"/>
      <c r="G1645" s="25"/>
      <c r="H1645" s="25"/>
      <c r="I1645" s="25"/>
      <c r="J1645" s="25"/>
      <c r="K1645" s="25"/>
      <c r="L1645" s="25"/>
      <c r="M1645" s="25"/>
      <c r="N1645" s="25"/>
      <c r="O1645" s="25"/>
      <c r="P1645" s="25"/>
      <c r="Q1645" s="25"/>
      <c r="R1645" s="25"/>
      <c r="S1645" s="151"/>
      <c r="T1645" s="151"/>
      <c r="U1645" s="151"/>
      <c r="V1645" s="73"/>
      <c r="W1645" s="28"/>
      <c r="X1645" s="24"/>
    </row>
    <row r="1646" spans="2:24">
      <c r="B1646" s="24"/>
      <c r="C1646" s="47"/>
      <c r="D1646" s="26"/>
      <c r="E1646" s="27"/>
      <c r="F1646" s="25"/>
      <c r="G1646" s="25"/>
      <c r="H1646" s="25"/>
      <c r="I1646" s="25"/>
      <c r="J1646" s="25"/>
      <c r="K1646" s="25"/>
      <c r="L1646" s="25"/>
      <c r="M1646" s="25"/>
      <c r="N1646" s="25"/>
      <c r="O1646" s="25"/>
      <c r="P1646" s="25"/>
      <c r="Q1646" s="25"/>
      <c r="R1646" s="25"/>
      <c r="S1646" s="151"/>
      <c r="T1646" s="151"/>
      <c r="U1646" s="151"/>
      <c r="V1646" s="73"/>
      <c r="W1646" s="28"/>
      <c r="X1646" s="24"/>
    </row>
    <row r="1647" spans="2:24">
      <c r="B1647" s="24"/>
      <c r="C1647" s="47"/>
      <c r="D1647" s="26"/>
      <c r="E1647" s="27"/>
      <c r="F1647" s="25"/>
      <c r="G1647" s="25"/>
      <c r="H1647" s="25"/>
      <c r="I1647" s="25"/>
      <c r="J1647" s="25"/>
      <c r="K1647" s="25"/>
      <c r="L1647" s="25"/>
      <c r="M1647" s="25"/>
      <c r="N1647" s="25"/>
      <c r="O1647" s="25"/>
      <c r="P1647" s="25"/>
      <c r="Q1647" s="25"/>
      <c r="R1647" s="25"/>
      <c r="S1647" s="151"/>
      <c r="T1647" s="151"/>
      <c r="U1647" s="151"/>
      <c r="V1647" s="73"/>
      <c r="W1647" s="28"/>
      <c r="X1647" s="24"/>
    </row>
    <row r="1648" spans="2:24">
      <c r="B1648" s="24"/>
      <c r="C1648" s="47"/>
      <c r="D1648" s="26"/>
      <c r="E1648" s="27"/>
      <c r="F1648" s="25"/>
      <c r="G1648" s="25"/>
      <c r="H1648" s="25"/>
      <c r="I1648" s="25"/>
      <c r="J1648" s="25"/>
      <c r="K1648" s="25"/>
      <c r="L1648" s="25"/>
      <c r="M1648" s="25"/>
      <c r="N1648" s="25"/>
      <c r="O1648" s="25"/>
      <c r="P1648" s="25"/>
      <c r="Q1648" s="25"/>
      <c r="R1648" s="25"/>
      <c r="S1648" s="151"/>
      <c r="T1648" s="151"/>
      <c r="U1648" s="151"/>
      <c r="V1648" s="73"/>
      <c r="W1648" s="28"/>
      <c r="X1648" s="24"/>
    </row>
    <row r="1649" spans="2:24">
      <c r="B1649" s="24"/>
      <c r="C1649" s="47"/>
      <c r="D1649" s="26"/>
      <c r="E1649" s="27"/>
      <c r="F1649" s="25"/>
      <c r="G1649" s="25"/>
      <c r="H1649" s="25"/>
      <c r="I1649" s="25"/>
      <c r="J1649" s="25"/>
      <c r="K1649" s="25"/>
      <c r="L1649" s="25"/>
      <c r="M1649" s="25"/>
      <c r="N1649" s="25"/>
      <c r="O1649" s="25"/>
      <c r="P1649" s="25"/>
      <c r="Q1649" s="25"/>
      <c r="R1649" s="25"/>
      <c r="S1649" s="151"/>
      <c r="T1649" s="151"/>
      <c r="U1649" s="151"/>
      <c r="V1649" s="73"/>
      <c r="W1649" s="28"/>
      <c r="X1649" s="24"/>
    </row>
    <row r="1650" spans="2:24">
      <c r="B1650" s="24"/>
      <c r="C1650" s="47"/>
      <c r="D1650" s="26"/>
      <c r="E1650" s="27"/>
      <c r="F1650" s="25"/>
      <c r="G1650" s="25"/>
      <c r="H1650" s="25"/>
      <c r="I1650" s="25"/>
      <c r="J1650" s="25"/>
      <c r="K1650" s="25"/>
      <c r="L1650" s="25"/>
      <c r="M1650" s="25"/>
      <c r="N1650" s="25"/>
      <c r="O1650" s="25"/>
      <c r="P1650" s="25"/>
      <c r="Q1650" s="25"/>
      <c r="R1650" s="25"/>
      <c r="S1650" s="151"/>
      <c r="T1650" s="151"/>
      <c r="U1650" s="151"/>
      <c r="V1650" s="73"/>
      <c r="W1650" s="28"/>
      <c r="X1650" s="24"/>
    </row>
    <row r="1651" spans="2:24">
      <c r="B1651" s="24"/>
      <c r="C1651" s="47"/>
      <c r="D1651" s="26"/>
      <c r="E1651" s="27"/>
      <c r="F1651" s="25"/>
      <c r="G1651" s="25"/>
      <c r="H1651" s="25"/>
      <c r="I1651" s="25"/>
      <c r="J1651" s="25"/>
      <c r="K1651" s="25"/>
      <c r="L1651" s="25"/>
      <c r="M1651" s="25"/>
      <c r="N1651" s="25"/>
      <c r="O1651" s="25"/>
      <c r="P1651" s="25"/>
      <c r="Q1651" s="25"/>
      <c r="R1651" s="25"/>
      <c r="S1651" s="151"/>
      <c r="T1651" s="151"/>
      <c r="U1651" s="151"/>
      <c r="V1651" s="73"/>
      <c r="W1651" s="28"/>
      <c r="X1651" s="24"/>
    </row>
    <row r="1652" spans="2:24">
      <c r="B1652" s="24"/>
      <c r="C1652" s="47"/>
      <c r="D1652" s="26"/>
      <c r="E1652" s="27"/>
      <c r="F1652" s="25"/>
      <c r="G1652" s="25"/>
      <c r="H1652" s="25"/>
      <c r="I1652" s="25"/>
      <c r="J1652" s="25"/>
      <c r="K1652" s="25"/>
      <c r="L1652" s="25"/>
      <c r="M1652" s="25"/>
      <c r="N1652" s="25"/>
      <c r="O1652" s="25"/>
      <c r="P1652" s="25"/>
      <c r="Q1652" s="25"/>
      <c r="R1652" s="25"/>
      <c r="S1652" s="151"/>
      <c r="T1652" s="151"/>
      <c r="U1652" s="151"/>
      <c r="V1652" s="73"/>
      <c r="W1652" s="28"/>
      <c r="X1652" s="24"/>
    </row>
    <row r="1653" spans="2:24">
      <c r="B1653" s="24"/>
      <c r="C1653" s="47"/>
      <c r="D1653" s="26"/>
      <c r="E1653" s="27"/>
      <c r="F1653" s="25"/>
      <c r="G1653" s="25"/>
      <c r="H1653" s="25"/>
      <c r="I1653" s="25"/>
      <c r="J1653" s="25"/>
      <c r="K1653" s="25"/>
      <c r="L1653" s="25"/>
      <c r="M1653" s="25"/>
      <c r="N1653" s="25"/>
      <c r="O1653" s="25"/>
      <c r="P1653" s="25"/>
      <c r="Q1653" s="25"/>
      <c r="R1653" s="25"/>
      <c r="S1653" s="151"/>
      <c r="T1653" s="151"/>
      <c r="U1653" s="151"/>
      <c r="V1653" s="73"/>
      <c r="W1653" s="28"/>
      <c r="X1653" s="24"/>
    </row>
    <row r="1654" spans="2:24">
      <c r="B1654" s="24"/>
      <c r="C1654" s="47"/>
      <c r="D1654" s="26"/>
      <c r="E1654" s="27"/>
      <c r="F1654" s="25"/>
      <c r="G1654" s="25"/>
      <c r="H1654" s="25"/>
      <c r="I1654" s="25"/>
      <c r="J1654" s="25"/>
      <c r="K1654" s="25"/>
      <c r="L1654" s="25"/>
      <c r="M1654" s="25"/>
      <c r="N1654" s="25"/>
      <c r="O1654" s="25"/>
      <c r="P1654" s="25"/>
      <c r="Q1654" s="25"/>
      <c r="R1654" s="25"/>
      <c r="S1654" s="151"/>
      <c r="T1654" s="151"/>
      <c r="U1654" s="151"/>
      <c r="V1654" s="73"/>
      <c r="W1654" s="28"/>
      <c r="X1654" s="24"/>
    </row>
    <row r="1655" spans="2:24">
      <c r="B1655" s="24"/>
      <c r="C1655" s="47"/>
      <c r="D1655" s="26"/>
      <c r="E1655" s="27"/>
      <c r="F1655" s="25"/>
      <c r="G1655" s="25"/>
      <c r="H1655" s="25"/>
      <c r="I1655" s="25"/>
      <c r="J1655" s="25"/>
      <c r="K1655" s="25"/>
      <c r="L1655" s="25"/>
      <c r="M1655" s="25"/>
      <c r="N1655" s="25"/>
      <c r="O1655" s="25"/>
      <c r="P1655" s="25"/>
      <c r="Q1655" s="25"/>
      <c r="R1655" s="25"/>
      <c r="S1655" s="151"/>
      <c r="T1655" s="151"/>
      <c r="U1655" s="151"/>
      <c r="V1655" s="73"/>
      <c r="W1655" s="28"/>
      <c r="X1655" s="24"/>
    </row>
    <row r="1656" spans="2:24">
      <c r="B1656" s="24"/>
      <c r="C1656" s="47"/>
      <c r="D1656" s="26"/>
      <c r="E1656" s="27"/>
      <c r="F1656" s="25"/>
      <c r="G1656" s="25"/>
      <c r="H1656" s="25"/>
      <c r="I1656" s="25"/>
      <c r="J1656" s="25"/>
      <c r="K1656" s="25"/>
      <c r="L1656" s="25"/>
      <c r="M1656" s="25"/>
      <c r="N1656" s="25"/>
      <c r="O1656" s="25"/>
      <c r="P1656" s="25"/>
      <c r="Q1656" s="25"/>
      <c r="R1656" s="25"/>
      <c r="S1656" s="151"/>
      <c r="T1656" s="151"/>
      <c r="U1656" s="151"/>
      <c r="V1656" s="73"/>
      <c r="W1656" s="28"/>
      <c r="X1656" s="24"/>
    </row>
    <row r="1657" spans="2:24">
      <c r="B1657" s="24"/>
      <c r="C1657" s="47"/>
      <c r="D1657" s="26"/>
      <c r="E1657" s="27"/>
      <c r="F1657" s="25"/>
      <c r="G1657" s="25"/>
      <c r="H1657" s="25"/>
      <c r="I1657" s="25"/>
      <c r="J1657" s="25"/>
      <c r="K1657" s="25"/>
      <c r="L1657" s="25"/>
      <c r="M1657" s="25"/>
      <c r="N1657" s="25"/>
      <c r="O1657" s="25"/>
      <c r="P1657" s="25"/>
      <c r="Q1657" s="25"/>
      <c r="R1657" s="25"/>
      <c r="S1657" s="151"/>
      <c r="T1657" s="151"/>
      <c r="U1657" s="151"/>
      <c r="V1657" s="73"/>
      <c r="W1657" s="28"/>
      <c r="X1657" s="24"/>
    </row>
    <row r="1658" spans="2:24">
      <c r="B1658" s="24"/>
      <c r="C1658" s="47"/>
      <c r="D1658" s="26"/>
      <c r="E1658" s="27"/>
      <c r="F1658" s="25"/>
      <c r="G1658" s="25"/>
      <c r="H1658" s="25"/>
      <c r="I1658" s="25"/>
      <c r="J1658" s="25"/>
      <c r="K1658" s="25"/>
      <c r="L1658" s="25"/>
      <c r="M1658" s="25"/>
      <c r="N1658" s="25"/>
      <c r="O1658" s="25"/>
      <c r="P1658" s="25"/>
      <c r="Q1658" s="25"/>
      <c r="R1658" s="25"/>
      <c r="S1658" s="151"/>
      <c r="T1658" s="151"/>
      <c r="U1658" s="151"/>
      <c r="V1658" s="73"/>
      <c r="W1658" s="28"/>
      <c r="X1658" s="24"/>
    </row>
    <row r="1659" spans="2:24">
      <c r="B1659" s="24"/>
      <c r="C1659" s="47"/>
      <c r="D1659" s="26"/>
      <c r="E1659" s="27"/>
      <c r="F1659" s="25"/>
      <c r="G1659" s="25"/>
      <c r="H1659" s="25"/>
      <c r="I1659" s="25"/>
      <c r="J1659" s="25"/>
      <c r="K1659" s="25"/>
      <c r="L1659" s="25"/>
      <c r="M1659" s="25"/>
      <c r="N1659" s="25"/>
      <c r="O1659" s="25"/>
      <c r="P1659" s="25"/>
      <c r="Q1659" s="25"/>
      <c r="R1659" s="25"/>
      <c r="S1659" s="151"/>
      <c r="T1659" s="151"/>
      <c r="U1659" s="151"/>
      <c r="V1659" s="73"/>
      <c r="W1659" s="28"/>
      <c r="X1659" s="24"/>
    </row>
    <row r="1660" spans="2:24">
      <c r="B1660" s="24"/>
      <c r="C1660" s="47"/>
      <c r="D1660" s="26"/>
      <c r="E1660" s="27"/>
      <c r="F1660" s="25"/>
      <c r="G1660" s="25"/>
      <c r="H1660" s="25"/>
      <c r="I1660" s="25"/>
      <c r="J1660" s="25"/>
      <c r="K1660" s="25"/>
      <c r="L1660" s="25"/>
      <c r="M1660" s="25"/>
      <c r="N1660" s="25"/>
      <c r="O1660" s="25"/>
      <c r="P1660" s="25"/>
      <c r="Q1660" s="25"/>
      <c r="R1660" s="25"/>
      <c r="S1660" s="151"/>
      <c r="T1660" s="151"/>
      <c r="U1660" s="151"/>
      <c r="V1660" s="73"/>
      <c r="W1660" s="28"/>
      <c r="X1660" s="24"/>
    </row>
    <row r="1661" spans="2:24">
      <c r="B1661" s="24"/>
      <c r="C1661" s="47"/>
      <c r="D1661" s="26"/>
      <c r="E1661" s="27"/>
      <c r="F1661" s="25"/>
      <c r="G1661" s="25"/>
      <c r="H1661" s="25"/>
      <c r="I1661" s="25"/>
      <c r="J1661" s="25"/>
      <c r="K1661" s="25"/>
      <c r="L1661" s="25"/>
      <c r="M1661" s="25"/>
      <c r="N1661" s="25"/>
      <c r="O1661" s="25"/>
      <c r="P1661" s="25"/>
      <c r="Q1661" s="25"/>
      <c r="R1661" s="25"/>
      <c r="S1661" s="151"/>
      <c r="T1661" s="151"/>
      <c r="U1661" s="151"/>
      <c r="V1661" s="73"/>
      <c r="W1661" s="28"/>
      <c r="X1661" s="24"/>
    </row>
    <row r="1662" spans="2:24">
      <c r="B1662" s="24"/>
      <c r="C1662" s="47"/>
      <c r="D1662" s="26"/>
      <c r="E1662" s="27"/>
      <c r="F1662" s="25"/>
      <c r="G1662" s="25"/>
      <c r="H1662" s="25"/>
      <c r="I1662" s="25"/>
      <c r="J1662" s="25"/>
      <c r="K1662" s="25"/>
      <c r="L1662" s="25"/>
      <c r="M1662" s="25"/>
      <c r="N1662" s="25"/>
      <c r="O1662" s="25"/>
      <c r="P1662" s="25"/>
      <c r="Q1662" s="25"/>
      <c r="R1662" s="25"/>
      <c r="S1662" s="151"/>
      <c r="T1662" s="151"/>
      <c r="U1662" s="151"/>
      <c r="V1662" s="73"/>
      <c r="W1662" s="28"/>
      <c r="X1662" s="24"/>
    </row>
    <row r="1663" spans="2:24">
      <c r="B1663" s="24"/>
      <c r="C1663" s="47"/>
      <c r="D1663" s="26"/>
      <c r="E1663" s="27"/>
      <c r="F1663" s="25"/>
      <c r="G1663" s="25"/>
      <c r="H1663" s="25"/>
      <c r="I1663" s="25"/>
      <c r="J1663" s="25"/>
      <c r="K1663" s="25"/>
      <c r="L1663" s="25"/>
      <c r="M1663" s="25"/>
      <c r="N1663" s="25"/>
      <c r="O1663" s="25"/>
      <c r="P1663" s="25"/>
      <c r="Q1663" s="25"/>
      <c r="R1663" s="25"/>
      <c r="S1663" s="151"/>
      <c r="T1663" s="151"/>
      <c r="U1663" s="151"/>
      <c r="V1663" s="73"/>
      <c r="W1663" s="28"/>
      <c r="X1663" s="24"/>
    </row>
    <row r="1664" spans="2:24">
      <c r="B1664" s="24"/>
      <c r="C1664" s="47"/>
      <c r="D1664" s="26"/>
      <c r="E1664" s="27"/>
      <c r="F1664" s="25"/>
      <c r="G1664" s="25"/>
      <c r="H1664" s="25"/>
      <c r="I1664" s="25"/>
      <c r="J1664" s="25"/>
      <c r="K1664" s="25"/>
      <c r="L1664" s="25"/>
      <c r="M1664" s="25"/>
      <c r="N1664" s="25"/>
      <c r="O1664" s="25"/>
      <c r="P1664" s="25"/>
      <c r="Q1664" s="25"/>
      <c r="R1664" s="25"/>
      <c r="S1664" s="151"/>
      <c r="T1664" s="151"/>
      <c r="U1664" s="151"/>
      <c r="V1664" s="73"/>
      <c r="W1664" s="28"/>
      <c r="X1664" s="24"/>
    </row>
    <row r="1665" spans="2:24">
      <c r="B1665" s="24"/>
      <c r="C1665" s="47"/>
      <c r="D1665" s="26"/>
      <c r="E1665" s="27"/>
      <c r="F1665" s="25"/>
      <c r="G1665" s="25"/>
      <c r="H1665" s="25"/>
      <c r="I1665" s="25"/>
      <c r="J1665" s="25"/>
      <c r="K1665" s="25"/>
      <c r="L1665" s="25"/>
      <c r="M1665" s="25"/>
      <c r="N1665" s="25"/>
      <c r="O1665" s="25"/>
      <c r="P1665" s="25"/>
      <c r="Q1665" s="25"/>
      <c r="R1665" s="25"/>
      <c r="S1665" s="151"/>
      <c r="T1665" s="151"/>
      <c r="U1665" s="151"/>
      <c r="V1665" s="73"/>
      <c r="W1665" s="28"/>
      <c r="X1665" s="24"/>
    </row>
    <row r="1666" spans="2:24">
      <c r="B1666" s="24"/>
      <c r="C1666" s="47"/>
      <c r="D1666" s="26"/>
      <c r="E1666" s="27"/>
      <c r="F1666" s="25"/>
      <c r="G1666" s="25"/>
      <c r="H1666" s="25"/>
      <c r="I1666" s="25"/>
      <c r="J1666" s="25"/>
      <c r="K1666" s="25"/>
      <c r="L1666" s="25"/>
      <c r="M1666" s="25"/>
      <c r="N1666" s="25"/>
      <c r="O1666" s="25"/>
      <c r="P1666" s="25"/>
      <c r="Q1666" s="25"/>
      <c r="R1666" s="25"/>
      <c r="S1666" s="151"/>
      <c r="T1666" s="151"/>
      <c r="U1666" s="151"/>
      <c r="V1666" s="73"/>
      <c r="W1666" s="28"/>
      <c r="X1666" s="24"/>
    </row>
    <row r="1667" spans="2:24">
      <c r="B1667" s="24"/>
      <c r="C1667" s="47"/>
      <c r="D1667" s="26"/>
      <c r="E1667" s="27"/>
      <c r="F1667" s="25"/>
      <c r="G1667" s="25"/>
      <c r="H1667" s="25"/>
      <c r="I1667" s="25"/>
      <c r="J1667" s="25"/>
      <c r="K1667" s="25"/>
      <c r="L1667" s="25"/>
      <c r="M1667" s="25"/>
      <c r="N1667" s="25"/>
      <c r="O1667" s="25"/>
      <c r="P1667" s="25"/>
      <c r="Q1667" s="25"/>
      <c r="R1667" s="25"/>
      <c r="S1667" s="151"/>
      <c r="T1667" s="151"/>
      <c r="U1667" s="151"/>
      <c r="V1667" s="73"/>
      <c r="W1667" s="28"/>
      <c r="X1667" s="24"/>
    </row>
    <row r="1668" spans="2:24">
      <c r="B1668" s="24"/>
      <c r="C1668" s="47"/>
      <c r="D1668" s="26"/>
      <c r="E1668" s="27"/>
      <c r="F1668" s="25"/>
      <c r="G1668" s="25"/>
      <c r="H1668" s="25"/>
      <c r="I1668" s="25"/>
      <c r="J1668" s="25"/>
      <c r="K1668" s="25"/>
      <c r="L1668" s="25"/>
      <c r="M1668" s="25"/>
      <c r="N1668" s="25"/>
      <c r="O1668" s="25"/>
      <c r="P1668" s="25"/>
      <c r="Q1668" s="25"/>
      <c r="R1668" s="25"/>
      <c r="S1668" s="151"/>
      <c r="T1668" s="151"/>
      <c r="U1668" s="151"/>
      <c r="V1668" s="73"/>
      <c r="W1668" s="28"/>
      <c r="X1668" s="24"/>
    </row>
    <row r="1669" spans="2:24">
      <c r="B1669" s="24"/>
      <c r="C1669" s="47"/>
      <c r="D1669" s="26"/>
      <c r="E1669" s="27"/>
      <c r="F1669" s="25"/>
      <c r="G1669" s="25"/>
      <c r="H1669" s="25"/>
      <c r="I1669" s="25"/>
      <c r="J1669" s="25"/>
      <c r="K1669" s="25"/>
      <c r="L1669" s="25"/>
      <c r="M1669" s="25"/>
      <c r="N1669" s="25"/>
      <c r="O1669" s="25"/>
      <c r="P1669" s="25"/>
      <c r="Q1669" s="25"/>
      <c r="R1669" s="25"/>
      <c r="S1669" s="151"/>
      <c r="T1669" s="151"/>
      <c r="U1669" s="151"/>
      <c r="V1669" s="73"/>
      <c r="W1669" s="28"/>
      <c r="X1669" s="24"/>
    </row>
    <row r="1670" spans="2:24">
      <c r="B1670" s="24"/>
      <c r="C1670" s="47"/>
      <c r="D1670" s="26"/>
      <c r="E1670" s="27"/>
      <c r="F1670" s="25"/>
      <c r="G1670" s="25"/>
      <c r="H1670" s="25"/>
      <c r="I1670" s="25"/>
      <c r="J1670" s="25"/>
      <c r="K1670" s="25"/>
      <c r="L1670" s="25"/>
      <c r="M1670" s="25"/>
      <c r="N1670" s="25"/>
      <c r="O1670" s="25"/>
      <c r="P1670" s="25"/>
      <c r="Q1670" s="25"/>
      <c r="R1670" s="25"/>
      <c r="S1670" s="151"/>
      <c r="T1670" s="151"/>
      <c r="U1670" s="151"/>
      <c r="V1670" s="73"/>
      <c r="W1670" s="28"/>
      <c r="X1670" s="24"/>
    </row>
    <row r="1671" spans="2:24">
      <c r="B1671" s="24"/>
      <c r="C1671" s="47"/>
      <c r="D1671" s="26"/>
      <c r="E1671" s="27"/>
      <c r="F1671" s="25"/>
      <c r="G1671" s="25"/>
      <c r="H1671" s="25"/>
      <c r="I1671" s="25"/>
      <c r="J1671" s="25"/>
      <c r="K1671" s="25"/>
      <c r="L1671" s="25"/>
      <c r="M1671" s="25"/>
      <c r="N1671" s="25"/>
      <c r="O1671" s="25"/>
      <c r="P1671" s="25"/>
      <c r="Q1671" s="25"/>
      <c r="R1671" s="25"/>
      <c r="S1671" s="151"/>
      <c r="T1671" s="151"/>
      <c r="U1671" s="151"/>
      <c r="V1671" s="73"/>
      <c r="W1671" s="28"/>
      <c r="X1671" s="24"/>
    </row>
    <row r="1672" spans="2:24">
      <c r="B1672" s="24"/>
      <c r="C1672" s="47"/>
      <c r="D1672" s="26"/>
      <c r="E1672" s="27"/>
      <c r="F1672" s="25"/>
      <c r="G1672" s="25"/>
      <c r="H1672" s="25"/>
      <c r="I1672" s="25"/>
      <c r="J1672" s="25"/>
      <c r="K1672" s="25"/>
      <c r="L1672" s="25"/>
      <c r="M1672" s="25"/>
      <c r="N1672" s="25"/>
      <c r="O1672" s="25"/>
      <c r="P1672" s="25"/>
      <c r="Q1672" s="25"/>
      <c r="R1672" s="25"/>
      <c r="S1672" s="151"/>
      <c r="T1672" s="151"/>
      <c r="U1672" s="151"/>
      <c r="V1672" s="73"/>
      <c r="W1672" s="28"/>
      <c r="X1672" s="24"/>
    </row>
    <row r="1673" spans="2:24">
      <c r="B1673" s="24"/>
      <c r="C1673" s="47"/>
      <c r="D1673" s="26"/>
      <c r="E1673" s="27"/>
      <c r="F1673" s="25"/>
      <c r="G1673" s="25"/>
      <c r="H1673" s="25"/>
      <c r="I1673" s="25"/>
      <c r="J1673" s="25"/>
      <c r="K1673" s="25"/>
      <c r="L1673" s="25"/>
      <c r="M1673" s="25"/>
      <c r="N1673" s="25"/>
      <c r="O1673" s="25"/>
      <c r="P1673" s="25"/>
      <c r="Q1673" s="25"/>
      <c r="R1673" s="25"/>
      <c r="S1673" s="151"/>
      <c r="T1673" s="151"/>
      <c r="U1673" s="151"/>
      <c r="V1673" s="73"/>
      <c r="W1673" s="28"/>
      <c r="X1673" s="24"/>
    </row>
    <row r="1674" spans="2:24">
      <c r="B1674" s="24"/>
      <c r="C1674" s="47"/>
      <c r="D1674" s="26"/>
      <c r="E1674" s="27"/>
      <c r="F1674" s="25"/>
      <c r="G1674" s="25"/>
      <c r="H1674" s="25"/>
      <c r="I1674" s="25"/>
      <c r="J1674" s="25"/>
      <c r="K1674" s="25"/>
      <c r="L1674" s="25"/>
      <c r="M1674" s="25"/>
      <c r="N1674" s="25"/>
      <c r="O1674" s="25"/>
      <c r="P1674" s="25"/>
      <c r="Q1674" s="25"/>
      <c r="R1674" s="25"/>
      <c r="S1674" s="151"/>
      <c r="T1674" s="151"/>
      <c r="U1674" s="151"/>
      <c r="V1674" s="73"/>
      <c r="W1674" s="28"/>
      <c r="X1674" s="24"/>
    </row>
    <row r="1675" spans="2:24">
      <c r="B1675" s="24"/>
      <c r="C1675" s="47"/>
      <c r="D1675" s="26"/>
      <c r="E1675" s="27"/>
      <c r="F1675" s="25"/>
      <c r="G1675" s="25"/>
      <c r="H1675" s="25"/>
      <c r="I1675" s="25"/>
      <c r="J1675" s="25"/>
      <c r="K1675" s="25"/>
      <c r="L1675" s="25"/>
      <c r="M1675" s="25"/>
      <c r="N1675" s="25"/>
      <c r="O1675" s="25"/>
      <c r="P1675" s="25"/>
      <c r="Q1675" s="25"/>
      <c r="R1675" s="25"/>
      <c r="S1675" s="151"/>
      <c r="T1675" s="151"/>
      <c r="U1675" s="151"/>
      <c r="V1675" s="73"/>
      <c r="W1675" s="28"/>
      <c r="X1675" s="24"/>
    </row>
    <row r="1676" spans="2:24">
      <c r="B1676" s="24"/>
      <c r="C1676" s="47"/>
      <c r="D1676" s="26"/>
      <c r="E1676" s="27"/>
      <c r="F1676" s="25"/>
      <c r="G1676" s="25"/>
      <c r="H1676" s="25"/>
      <c r="I1676" s="25"/>
      <c r="J1676" s="25"/>
      <c r="K1676" s="25"/>
      <c r="L1676" s="25"/>
      <c r="M1676" s="25"/>
      <c r="N1676" s="25"/>
      <c r="O1676" s="25"/>
      <c r="P1676" s="25"/>
      <c r="Q1676" s="25"/>
      <c r="R1676" s="25"/>
      <c r="S1676" s="151"/>
      <c r="T1676" s="151"/>
      <c r="U1676" s="151"/>
      <c r="V1676" s="73"/>
      <c r="W1676" s="28"/>
      <c r="X1676" s="24"/>
    </row>
    <row r="1677" spans="2:24">
      <c r="B1677" s="24"/>
      <c r="C1677" s="47"/>
      <c r="D1677" s="26"/>
      <c r="E1677" s="27"/>
      <c r="F1677" s="25"/>
      <c r="G1677" s="25"/>
      <c r="H1677" s="25"/>
      <c r="I1677" s="25"/>
      <c r="J1677" s="25"/>
      <c r="K1677" s="25"/>
      <c r="L1677" s="25"/>
      <c r="M1677" s="25"/>
      <c r="N1677" s="25"/>
      <c r="O1677" s="25"/>
      <c r="P1677" s="25"/>
      <c r="Q1677" s="25"/>
      <c r="R1677" s="25"/>
      <c r="S1677" s="151"/>
      <c r="T1677" s="151"/>
      <c r="U1677" s="151"/>
      <c r="V1677" s="73"/>
      <c r="W1677" s="28"/>
      <c r="X1677" s="24"/>
    </row>
    <row r="1678" spans="2:24">
      <c r="B1678" s="24"/>
      <c r="C1678" s="47"/>
      <c r="D1678" s="26"/>
      <c r="E1678" s="27"/>
      <c r="F1678" s="25"/>
      <c r="G1678" s="25"/>
      <c r="H1678" s="25"/>
      <c r="I1678" s="25"/>
      <c r="J1678" s="25"/>
      <c r="K1678" s="25"/>
      <c r="L1678" s="25"/>
      <c r="M1678" s="25"/>
      <c r="N1678" s="25"/>
      <c r="O1678" s="25"/>
      <c r="P1678" s="25"/>
      <c r="Q1678" s="25"/>
      <c r="R1678" s="25"/>
      <c r="S1678" s="151"/>
      <c r="T1678" s="151"/>
      <c r="U1678" s="151"/>
      <c r="V1678" s="73"/>
      <c r="W1678" s="28"/>
      <c r="X1678" s="24"/>
    </row>
    <row r="1679" spans="2:24">
      <c r="B1679" s="24"/>
      <c r="C1679" s="47"/>
      <c r="D1679" s="26"/>
      <c r="E1679" s="27"/>
      <c r="F1679" s="25"/>
      <c r="G1679" s="25"/>
      <c r="H1679" s="25"/>
      <c r="I1679" s="25"/>
      <c r="J1679" s="25"/>
      <c r="K1679" s="25"/>
      <c r="L1679" s="25"/>
      <c r="M1679" s="25"/>
      <c r="N1679" s="25"/>
      <c r="O1679" s="25"/>
      <c r="P1679" s="25"/>
      <c r="Q1679" s="25"/>
      <c r="R1679" s="25"/>
      <c r="S1679" s="151"/>
      <c r="T1679" s="151"/>
      <c r="U1679" s="151"/>
      <c r="V1679" s="73"/>
      <c r="W1679" s="28"/>
      <c r="X1679" s="24"/>
    </row>
    <row r="1680" spans="2:24">
      <c r="B1680" s="24"/>
      <c r="C1680" s="47"/>
      <c r="D1680" s="26"/>
      <c r="E1680" s="27"/>
      <c r="F1680" s="25"/>
      <c r="G1680" s="25"/>
      <c r="H1680" s="25"/>
      <c r="I1680" s="25"/>
      <c r="J1680" s="25"/>
      <c r="K1680" s="25"/>
      <c r="L1680" s="25"/>
      <c r="M1680" s="25"/>
      <c r="N1680" s="25"/>
      <c r="O1680" s="25"/>
      <c r="P1680" s="25"/>
      <c r="Q1680" s="25"/>
      <c r="R1680" s="25"/>
      <c r="S1680" s="151"/>
      <c r="T1680" s="151"/>
      <c r="U1680" s="151"/>
      <c r="V1680" s="73"/>
      <c r="W1680" s="28"/>
      <c r="X1680" s="24"/>
    </row>
    <row r="1681" spans="2:24">
      <c r="B1681" s="24"/>
      <c r="C1681" s="47"/>
      <c r="D1681" s="26"/>
      <c r="E1681" s="27"/>
      <c r="F1681" s="25"/>
      <c r="G1681" s="25"/>
      <c r="H1681" s="25"/>
      <c r="I1681" s="25"/>
      <c r="J1681" s="25"/>
      <c r="K1681" s="25"/>
      <c r="L1681" s="25"/>
      <c r="M1681" s="25"/>
      <c r="N1681" s="25"/>
      <c r="O1681" s="25"/>
      <c r="P1681" s="25"/>
      <c r="Q1681" s="25"/>
      <c r="R1681" s="25"/>
      <c r="S1681" s="151"/>
      <c r="T1681" s="151"/>
      <c r="U1681" s="151"/>
      <c r="V1681" s="73"/>
      <c r="W1681" s="28"/>
      <c r="X1681" s="24"/>
    </row>
    <row r="1682" spans="2:24">
      <c r="B1682" s="24"/>
      <c r="C1682" s="47"/>
      <c r="D1682" s="26"/>
      <c r="E1682" s="27"/>
      <c r="F1682" s="25"/>
      <c r="G1682" s="25"/>
      <c r="H1682" s="25"/>
      <c r="I1682" s="25"/>
      <c r="J1682" s="25"/>
      <c r="K1682" s="25"/>
      <c r="L1682" s="25"/>
      <c r="M1682" s="25"/>
      <c r="N1682" s="25"/>
      <c r="O1682" s="25"/>
      <c r="P1682" s="25"/>
      <c r="Q1682" s="25"/>
      <c r="R1682" s="25"/>
      <c r="S1682" s="151"/>
      <c r="T1682" s="151"/>
      <c r="U1682" s="151"/>
      <c r="V1682" s="73"/>
      <c r="W1682" s="28"/>
      <c r="X1682" s="24"/>
    </row>
    <row r="1683" spans="2:24">
      <c r="B1683" s="24"/>
      <c r="C1683" s="47"/>
      <c r="D1683" s="26"/>
      <c r="E1683" s="27"/>
      <c r="F1683" s="25"/>
      <c r="G1683" s="25"/>
      <c r="H1683" s="25"/>
      <c r="I1683" s="25"/>
      <c r="J1683" s="25"/>
      <c r="K1683" s="25"/>
      <c r="L1683" s="25"/>
      <c r="M1683" s="25"/>
      <c r="N1683" s="25"/>
      <c r="O1683" s="25"/>
      <c r="P1683" s="25"/>
      <c r="Q1683" s="25"/>
      <c r="R1683" s="25"/>
      <c r="S1683" s="151"/>
      <c r="T1683" s="151"/>
      <c r="U1683" s="151"/>
      <c r="V1683" s="73"/>
      <c r="W1683" s="28"/>
      <c r="X1683" s="24"/>
    </row>
    <row r="1684" spans="2:24">
      <c r="B1684" s="24"/>
      <c r="C1684" s="47"/>
      <c r="D1684" s="26"/>
      <c r="E1684" s="27"/>
      <c r="F1684" s="25"/>
      <c r="G1684" s="25"/>
      <c r="H1684" s="25"/>
      <c r="I1684" s="25"/>
      <c r="J1684" s="25"/>
      <c r="K1684" s="25"/>
      <c r="L1684" s="25"/>
      <c r="M1684" s="25"/>
      <c r="N1684" s="25"/>
      <c r="O1684" s="25"/>
      <c r="P1684" s="25"/>
      <c r="Q1684" s="25"/>
      <c r="R1684" s="25"/>
      <c r="S1684" s="151"/>
      <c r="T1684" s="151"/>
      <c r="U1684" s="151"/>
      <c r="V1684" s="73"/>
      <c r="W1684" s="28"/>
      <c r="X1684" s="24"/>
    </row>
    <row r="1685" spans="2:24">
      <c r="B1685" s="24"/>
      <c r="C1685" s="47"/>
      <c r="D1685" s="26"/>
      <c r="E1685" s="27"/>
      <c r="F1685" s="25"/>
      <c r="G1685" s="25"/>
      <c r="H1685" s="25"/>
      <c r="I1685" s="25"/>
      <c r="J1685" s="25"/>
      <c r="K1685" s="25"/>
      <c r="L1685" s="25"/>
      <c r="M1685" s="25"/>
      <c r="N1685" s="25"/>
      <c r="O1685" s="25"/>
      <c r="P1685" s="25"/>
      <c r="Q1685" s="25"/>
      <c r="R1685" s="25"/>
      <c r="S1685" s="151"/>
      <c r="T1685" s="151"/>
      <c r="U1685" s="151"/>
      <c r="V1685" s="73"/>
      <c r="W1685" s="28"/>
      <c r="X1685" s="24"/>
    </row>
    <row r="1686" spans="2:24">
      <c r="B1686" s="24"/>
      <c r="C1686" s="47"/>
      <c r="D1686" s="26"/>
      <c r="E1686" s="27"/>
      <c r="F1686" s="25"/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  <c r="S1686" s="151"/>
      <c r="T1686" s="151"/>
      <c r="U1686" s="151"/>
      <c r="V1686" s="73"/>
      <c r="W1686" s="28"/>
      <c r="X1686" s="24"/>
    </row>
    <row r="1687" spans="2:24">
      <c r="B1687" s="24"/>
      <c r="C1687" s="47"/>
      <c r="D1687" s="26"/>
      <c r="E1687" s="27"/>
      <c r="F1687" s="25"/>
      <c r="G1687" s="25"/>
      <c r="H1687" s="25"/>
      <c r="I1687" s="25"/>
      <c r="J1687" s="25"/>
      <c r="K1687" s="25"/>
      <c r="L1687" s="25"/>
      <c r="M1687" s="25"/>
      <c r="N1687" s="25"/>
      <c r="O1687" s="25"/>
      <c r="P1687" s="25"/>
      <c r="Q1687" s="25"/>
      <c r="R1687" s="25"/>
      <c r="S1687" s="151"/>
      <c r="T1687" s="151"/>
      <c r="U1687" s="151"/>
      <c r="V1687" s="73"/>
      <c r="W1687" s="28"/>
      <c r="X1687" s="24"/>
    </row>
    <row r="1688" spans="2:24">
      <c r="B1688" s="24"/>
      <c r="C1688" s="47"/>
      <c r="D1688" s="26"/>
      <c r="E1688" s="27"/>
      <c r="F1688" s="25"/>
      <c r="G1688" s="25"/>
      <c r="H1688" s="25"/>
      <c r="I1688" s="25"/>
      <c r="J1688" s="25"/>
      <c r="K1688" s="25"/>
      <c r="L1688" s="25"/>
      <c r="M1688" s="25"/>
      <c r="N1688" s="25"/>
      <c r="O1688" s="25"/>
      <c r="P1688" s="25"/>
      <c r="Q1688" s="25"/>
      <c r="R1688" s="25"/>
      <c r="S1688" s="151"/>
      <c r="T1688" s="151"/>
      <c r="U1688" s="151"/>
      <c r="V1688" s="73"/>
      <c r="W1688" s="28"/>
      <c r="X1688" s="24"/>
    </row>
    <row r="1689" spans="2:24">
      <c r="B1689" s="24"/>
      <c r="C1689" s="47"/>
      <c r="D1689" s="26"/>
      <c r="E1689" s="27"/>
      <c r="F1689" s="25"/>
      <c r="G1689" s="25"/>
      <c r="H1689" s="25"/>
      <c r="I1689" s="25"/>
      <c r="J1689" s="25"/>
      <c r="K1689" s="25"/>
      <c r="L1689" s="25"/>
      <c r="M1689" s="25"/>
      <c r="N1689" s="25"/>
      <c r="O1689" s="25"/>
      <c r="P1689" s="25"/>
      <c r="Q1689" s="25"/>
      <c r="R1689" s="25"/>
      <c r="S1689" s="151"/>
      <c r="T1689" s="151"/>
      <c r="U1689" s="151"/>
      <c r="V1689" s="73"/>
      <c r="W1689" s="28"/>
      <c r="X1689" s="24"/>
    </row>
    <row r="1690" spans="2:24">
      <c r="B1690" s="24"/>
      <c r="C1690" s="47"/>
      <c r="D1690" s="26"/>
      <c r="E1690" s="27"/>
      <c r="F1690" s="25"/>
      <c r="G1690" s="25"/>
      <c r="H1690" s="25"/>
      <c r="I1690" s="25"/>
      <c r="J1690" s="25"/>
      <c r="K1690" s="25"/>
      <c r="L1690" s="25"/>
      <c r="M1690" s="25"/>
      <c r="N1690" s="25"/>
      <c r="O1690" s="25"/>
      <c r="P1690" s="25"/>
      <c r="Q1690" s="25"/>
      <c r="R1690" s="25"/>
      <c r="S1690" s="151"/>
      <c r="T1690" s="151"/>
      <c r="U1690" s="151"/>
      <c r="V1690" s="73"/>
      <c r="W1690" s="28"/>
      <c r="X1690" s="24"/>
    </row>
    <row r="1691" spans="2:24">
      <c r="B1691" s="24"/>
      <c r="C1691" s="47"/>
      <c r="D1691" s="26"/>
      <c r="E1691" s="27"/>
      <c r="F1691" s="25"/>
      <c r="G1691" s="25"/>
      <c r="H1691" s="25"/>
      <c r="I1691" s="25"/>
      <c r="J1691" s="25"/>
      <c r="K1691" s="25"/>
      <c r="L1691" s="25"/>
      <c r="M1691" s="25"/>
      <c r="N1691" s="25"/>
      <c r="O1691" s="25"/>
      <c r="P1691" s="25"/>
      <c r="Q1691" s="25"/>
      <c r="R1691" s="25"/>
      <c r="S1691" s="151"/>
      <c r="T1691" s="151"/>
      <c r="U1691" s="151"/>
      <c r="V1691" s="73"/>
      <c r="W1691" s="28"/>
      <c r="X1691" s="24"/>
    </row>
    <row r="1692" spans="2:24">
      <c r="B1692" s="24"/>
      <c r="C1692" s="47"/>
      <c r="D1692" s="26"/>
      <c r="E1692" s="27"/>
      <c r="F1692" s="25"/>
      <c r="G1692" s="25"/>
      <c r="H1692" s="25"/>
      <c r="I1692" s="25"/>
      <c r="J1692" s="25"/>
      <c r="K1692" s="25"/>
      <c r="L1692" s="25"/>
      <c r="M1692" s="25"/>
      <c r="N1692" s="25"/>
      <c r="O1692" s="25"/>
      <c r="P1692" s="25"/>
      <c r="Q1692" s="25"/>
      <c r="R1692" s="25"/>
      <c r="S1692" s="151"/>
      <c r="T1692" s="151"/>
      <c r="U1692" s="151"/>
      <c r="V1692" s="73"/>
      <c r="W1692" s="28"/>
      <c r="X1692" s="24"/>
    </row>
    <row r="1693" spans="2:24">
      <c r="B1693" s="24"/>
      <c r="C1693" s="47"/>
      <c r="D1693" s="26"/>
      <c r="E1693" s="27"/>
      <c r="F1693" s="25"/>
      <c r="G1693" s="25"/>
      <c r="H1693" s="25"/>
      <c r="I1693" s="25"/>
      <c r="J1693" s="25"/>
      <c r="K1693" s="25"/>
      <c r="L1693" s="25"/>
      <c r="M1693" s="25"/>
      <c r="N1693" s="25"/>
      <c r="O1693" s="25"/>
      <c r="P1693" s="25"/>
      <c r="Q1693" s="25"/>
      <c r="R1693" s="25"/>
      <c r="S1693" s="151"/>
      <c r="T1693" s="151"/>
      <c r="U1693" s="151"/>
      <c r="V1693" s="73"/>
      <c r="W1693" s="28"/>
      <c r="X1693" s="24"/>
    </row>
    <row r="1694" spans="2:24">
      <c r="B1694" s="24"/>
      <c r="C1694" s="47"/>
      <c r="D1694" s="26"/>
      <c r="E1694" s="27"/>
      <c r="F1694" s="25"/>
      <c r="G1694" s="25"/>
      <c r="H1694" s="25"/>
      <c r="I1694" s="25"/>
      <c r="J1694" s="25"/>
      <c r="K1694" s="25"/>
      <c r="L1694" s="25"/>
      <c r="M1694" s="25"/>
      <c r="N1694" s="25"/>
      <c r="O1694" s="25"/>
      <c r="P1694" s="25"/>
      <c r="Q1694" s="25"/>
      <c r="R1694" s="25"/>
      <c r="S1694" s="151"/>
      <c r="T1694" s="151"/>
      <c r="U1694" s="151"/>
      <c r="V1694" s="73"/>
      <c r="W1694" s="28"/>
      <c r="X1694" s="24"/>
    </row>
    <row r="1695" spans="2:24">
      <c r="B1695" s="24"/>
      <c r="C1695" s="47"/>
      <c r="D1695" s="26"/>
      <c r="E1695" s="27"/>
      <c r="F1695" s="25"/>
      <c r="G1695" s="25"/>
      <c r="H1695" s="25"/>
      <c r="I1695" s="25"/>
      <c r="J1695" s="25"/>
      <c r="K1695" s="25"/>
      <c r="L1695" s="25"/>
      <c r="M1695" s="25"/>
      <c r="N1695" s="25"/>
      <c r="O1695" s="25"/>
      <c r="P1695" s="25"/>
      <c r="Q1695" s="25"/>
      <c r="R1695" s="25"/>
      <c r="S1695" s="151"/>
      <c r="T1695" s="151"/>
      <c r="U1695" s="151"/>
      <c r="V1695" s="73"/>
      <c r="W1695" s="28"/>
      <c r="X1695" s="24"/>
    </row>
    <row r="1696" spans="2:24">
      <c r="B1696" s="24"/>
      <c r="C1696" s="47"/>
      <c r="D1696" s="26"/>
      <c r="E1696" s="27"/>
      <c r="F1696" s="25"/>
      <c r="G1696" s="25"/>
      <c r="H1696" s="25"/>
      <c r="I1696" s="25"/>
      <c r="J1696" s="25"/>
      <c r="K1696" s="25"/>
      <c r="L1696" s="25"/>
      <c r="M1696" s="25"/>
      <c r="N1696" s="25"/>
      <c r="O1696" s="25"/>
      <c r="P1696" s="25"/>
      <c r="Q1696" s="25"/>
      <c r="R1696" s="25"/>
      <c r="S1696" s="151"/>
      <c r="T1696" s="151"/>
      <c r="U1696" s="151"/>
      <c r="V1696" s="73"/>
      <c r="W1696" s="28"/>
      <c r="X1696" s="24"/>
    </row>
    <row r="1697" spans="2:24">
      <c r="B1697" s="24"/>
      <c r="C1697" s="47"/>
      <c r="D1697" s="26"/>
      <c r="E1697" s="27"/>
      <c r="F1697" s="25"/>
      <c r="G1697" s="25"/>
      <c r="H1697" s="25"/>
      <c r="I1697" s="25"/>
      <c r="J1697" s="25"/>
      <c r="K1697" s="25"/>
      <c r="L1697" s="25"/>
      <c r="M1697" s="25"/>
      <c r="N1697" s="25"/>
      <c r="O1697" s="25"/>
      <c r="P1697" s="25"/>
      <c r="Q1697" s="25"/>
      <c r="R1697" s="25"/>
      <c r="S1697" s="151"/>
      <c r="T1697" s="151"/>
      <c r="U1697" s="151"/>
      <c r="V1697" s="73"/>
      <c r="W1697" s="28"/>
      <c r="X1697" s="24"/>
    </row>
    <row r="1698" spans="2:24">
      <c r="B1698" s="24"/>
      <c r="C1698" s="47"/>
      <c r="D1698" s="26"/>
      <c r="E1698" s="27"/>
      <c r="F1698" s="25"/>
      <c r="G1698" s="25"/>
      <c r="H1698" s="25"/>
      <c r="I1698" s="25"/>
      <c r="J1698" s="25"/>
      <c r="K1698" s="25"/>
      <c r="L1698" s="25"/>
      <c r="M1698" s="25"/>
      <c r="N1698" s="25"/>
      <c r="O1698" s="25"/>
      <c r="P1698" s="25"/>
      <c r="Q1698" s="25"/>
      <c r="R1698" s="25"/>
      <c r="S1698" s="151"/>
      <c r="T1698" s="151"/>
      <c r="U1698" s="151"/>
      <c r="V1698" s="73"/>
      <c r="W1698" s="28"/>
      <c r="X1698" s="24"/>
    </row>
    <row r="1699" spans="2:24">
      <c r="B1699" s="24"/>
      <c r="C1699" s="47"/>
      <c r="D1699" s="26"/>
      <c r="E1699" s="27"/>
      <c r="F1699" s="25"/>
      <c r="G1699" s="25"/>
      <c r="H1699" s="25"/>
      <c r="I1699" s="25"/>
      <c r="J1699" s="25"/>
      <c r="K1699" s="25"/>
      <c r="L1699" s="25"/>
      <c r="M1699" s="25"/>
      <c r="N1699" s="25"/>
      <c r="O1699" s="25"/>
      <c r="P1699" s="25"/>
      <c r="Q1699" s="25"/>
      <c r="R1699" s="25"/>
      <c r="S1699" s="151"/>
      <c r="T1699" s="151"/>
      <c r="U1699" s="151"/>
      <c r="V1699" s="73"/>
      <c r="W1699" s="28"/>
      <c r="X1699" s="24"/>
    </row>
    <row r="1700" spans="2:24">
      <c r="B1700" s="24"/>
      <c r="C1700" s="47"/>
      <c r="D1700" s="26"/>
      <c r="E1700" s="27"/>
      <c r="F1700" s="25"/>
      <c r="G1700" s="25"/>
      <c r="H1700" s="25"/>
      <c r="I1700" s="25"/>
      <c r="J1700" s="25"/>
      <c r="K1700" s="25"/>
      <c r="L1700" s="25"/>
      <c r="M1700" s="25"/>
      <c r="N1700" s="25"/>
      <c r="O1700" s="25"/>
      <c r="P1700" s="25"/>
      <c r="Q1700" s="25"/>
      <c r="R1700" s="25"/>
      <c r="S1700" s="151"/>
      <c r="T1700" s="151"/>
      <c r="U1700" s="151"/>
      <c r="V1700" s="73"/>
      <c r="W1700" s="28"/>
      <c r="X1700" s="24"/>
    </row>
    <row r="1701" spans="2:24">
      <c r="B1701" s="24"/>
      <c r="C1701" s="47"/>
      <c r="D1701" s="26"/>
      <c r="E1701" s="27"/>
      <c r="F1701" s="25"/>
      <c r="G1701" s="25"/>
      <c r="H1701" s="25"/>
      <c r="I1701" s="25"/>
      <c r="J1701" s="25"/>
      <c r="K1701" s="25"/>
      <c r="L1701" s="25"/>
      <c r="M1701" s="25"/>
      <c r="N1701" s="25"/>
      <c r="O1701" s="25"/>
      <c r="P1701" s="25"/>
      <c r="Q1701" s="25"/>
      <c r="R1701" s="25"/>
      <c r="S1701" s="151"/>
      <c r="T1701" s="151"/>
      <c r="U1701" s="151"/>
      <c r="V1701" s="73"/>
      <c r="W1701" s="28"/>
      <c r="X1701" s="24"/>
    </row>
    <row r="1702" spans="2:24">
      <c r="B1702" s="24"/>
      <c r="C1702" s="47"/>
      <c r="D1702" s="26"/>
      <c r="E1702" s="27"/>
      <c r="F1702" s="25"/>
      <c r="G1702" s="25"/>
      <c r="H1702" s="25"/>
      <c r="I1702" s="25"/>
      <c r="J1702" s="25"/>
      <c r="K1702" s="25"/>
      <c r="L1702" s="25"/>
      <c r="M1702" s="25"/>
      <c r="N1702" s="25"/>
      <c r="O1702" s="25"/>
      <c r="P1702" s="25"/>
      <c r="Q1702" s="25"/>
      <c r="R1702" s="25"/>
      <c r="S1702" s="151"/>
      <c r="T1702" s="151"/>
      <c r="U1702" s="151"/>
      <c r="V1702" s="73"/>
      <c r="W1702" s="28"/>
      <c r="X1702" s="24"/>
    </row>
    <row r="1703" spans="2:24">
      <c r="B1703" s="24"/>
      <c r="C1703" s="47"/>
      <c r="D1703" s="26"/>
      <c r="E1703" s="27"/>
      <c r="F1703" s="25"/>
      <c r="G1703" s="25"/>
      <c r="H1703" s="25"/>
      <c r="I1703" s="25"/>
      <c r="J1703" s="25"/>
      <c r="K1703" s="25"/>
      <c r="L1703" s="25"/>
      <c r="M1703" s="25"/>
      <c r="N1703" s="25"/>
      <c r="O1703" s="25"/>
      <c r="P1703" s="25"/>
      <c r="Q1703" s="25"/>
      <c r="R1703" s="25"/>
      <c r="S1703" s="151"/>
      <c r="T1703" s="151"/>
      <c r="U1703" s="151"/>
      <c r="V1703" s="73"/>
      <c r="W1703" s="28"/>
      <c r="X1703" s="24"/>
    </row>
    <row r="1704" spans="2:24">
      <c r="B1704" s="24"/>
      <c r="C1704" s="47"/>
      <c r="D1704" s="26"/>
      <c r="E1704" s="27"/>
      <c r="F1704" s="25"/>
      <c r="G1704" s="25"/>
      <c r="H1704" s="25"/>
      <c r="I1704" s="25"/>
      <c r="J1704" s="25"/>
      <c r="K1704" s="25"/>
      <c r="L1704" s="25"/>
      <c r="M1704" s="25"/>
      <c r="N1704" s="25"/>
      <c r="O1704" s="25"/>
      <c r="P1704" s="25"/>
      <c r="Q1704" s="25"/>
      <c r="R1704" s="25"/>
      <c r="S1704" s="151"/>
      <c r="T1704" s="151"/>
      <c r="U1704" s="151"/>
      <c r="V1704" s="73"/>
      <c r="W1704" s="28"/>
      <c r="X1704" s="24"/>
    </row>
    <row r="1705" spans="2:24">
      <c r="B1705" s="24"/>
      <c r="C1705" s="47"/>
      <c r="D1705" s="26"/>
      <c r="E1705" s="27"/>
      <c r="F1705" s="25"/>
      <c r="G1705" s="25"/>
      <c r="H1705" s="25"/>
      <c r="I1705" s="25"/>
      <c r="J1705" s="25"/>
      <c r="K1705" s="25"/>
      <c r="L1705" s="25"/>
      <c r="M1705" s="25"/>
      <c r="N1705" s="25"/>
      <c r="O1705" s="25"/>
      <c r="P1705" s="25"/>
      <c r="Q1705" s="25"/>
      <c r="R1705" s="25"/>
      <c r="S1705" s="151"/>
      <c r="T1705" s="151"/>
      <c r="U1705" s="151"/>
      <c r="V1705" s="73"/>
      <c r="W1705" s="28"/>
      <c r="X1705" s="24"/>
    </row>
    <row r="1706" spans="2:24">
      <c r="B1706" s="24"/>
      <c r="C1706" s="47"/>
      <c r="D1706" s="26"/>
      <c r="E1706" s="27"/>
      <c r="F1706" s="25"/>
      <c r="G1706" s="25"/>
      <c r="H1706" s="25"/>
      <c r="I1706" s="25"/>
      <c r="J1706" s="25"/>
      <c r="K1706" s="25"/>
      <c r="L1706" s="25"/>
      <c r="M1706" s="25"/>
      <c r="N1706" s="25"/>
      <c r="O1706" s="25"/>
      <c r="P1706" s="25"/>
      <c r="Q1706" s="25"/>
      <c r="R1706" s="25"/>
      <c r="S1706" s="151"/>
      <c r="T1706" s="151"/>
      <c r="U1706" s="151"/>
      <c r="V1706" s="73"/>
      <c r="W1706" s="28"/>
      <c r="X1706" s="24"/>
    </row>
    <row r="1707" spans="2:24">
      <c r="B1707" s="24"/>
      <c r="C1707" s="47"/>
      <c r="D1707" s="26"/>
      <c r="E1707" s="27"/>
      <c r="F1707" s="25"/>
      <c r="G1707" s="25"/>
      <c r="H1707" s="25"/>
      <c r="I1707" s="25"/>
      <c r="J1707" s="25"/>
      <c r="K1707" s="25"/>
      <c r="L1707" s="25"/>
      <c r="M1707" s="25"/>
      <c r="N1707" s="25"/>
      <c r="O1707" s="25"/>
      <c r="P1707" s="25"/>
      <c r="Q1707" s="25"/>
      <c r="R1707" s="25"/>
      <c r="S1707" s="151"/>
      <c r="T1707" s="151"/>
      <c r="U1707" s="151"/>
      <c r="V1707" s="73"/>
      <c r="W1707" s="28"/>
      <c r="X1707" s="24"/>
    </row>
    <row r="1708" spans="2:24">
      <c r="B1708" s="24"/>
      <c r="C1708" s="47"/>
      <c r="D1708" s="26"/>
      <c r="E1708" s="27"/>
      <c r="F1708" s="25"/>
      <c r="G1708" s="25"/>
      <c r="H1708" s="25"/>
      <c r="I1708" s="25"/>
      <c r="J1708" s="25"/>
      <c r="K1708" s="25"/>
      <c r="L1708" s="25"/>
      <c r="M1708" s="25"/>
      <c r="N1708" s="25"/>
      <c r="O1708" s="25"/>
      <c r="P1708" s="25"/>
      <c r="Q1708" s="25"/>
      <c r="R1708" s="25"/>
      <c r="S1708" s="151"/>
      <c r="T1708" s="151"/>
      <c r="U1708" s="151"/>
      <c r="V1708" s="73"/>
      <c r="W1708" s="28"/>
      <c r="X1708" s="24"/>
    </row>
    <row r="1709" spans="2:24">
      <c r="B1709" s="24"/>
      <c r="C1709" s="47"/>
      <c r="D1709" s="26"/>
      <c r="E1709" s="27"/>
      <c r="F1709" s="25"/>
      <c r="G1709" s="25"/>
      <c r="H1709" s="25"/>
      <c r="I1709" s="25"/>
      <c r="J1709" s="25"/>
      <c r="K1709" s="25"/>
      <c r="L1709" s="25"/>
      <c r="M1709" s="25"/>
      <c r="N1709" s="25"/>
      <c r="O1709" s="25"/>
      <c r="P1709" s="25"/>
      <c r="Q1709" s="25"/>
      <c r="R1709" s="25"/>
      <c r="S1709" s="151"/>
      <c r="T1709" s="151"/>
      <c r="U1709" s="151"/>
      <c r="V1709" s="73"/>
      <c r="W1709" s="28"/>
      <c r="X1709" s="24"/>
    </row>
    <row r="1710" spans="2:24">
      <c r="B1710" s="24"/>
      <c r="C1710" s="47"/>
      <c r="D1710" s="26"/>
      <c r="E1710" s="27"/>
      <c r="F1710" s="25"/>
      <c r="G1710" s="25"/>
      <c r="H1710" s="25"/>
      <c r="I1710" s="25"/>
      <c r="J1710" s="25"/>
      <c r="K1710" s="25"/>
      <c r="L1710" s="25"/>
      <c r="M1710" s="25"/>
      <c r="N1710" s="25"/>
      <c r="O1710" s="25"/>
      <c r="P1710" s="25"/>
      <c r="Q1710" s="25"/>
      <c r="R1710" s="25"/>
      <c r="S1710" s="151"/>
      <c r="T1710" s="151"/>
      <c r="U1710" s="151"/>
      <c r="V1710" s="73"/>
      <c r="W1710" s="28"/>
      <c r="X1710" s="24"/>
    </row>
    <row r="1711" spans="2:24">
      <c r="B1711" s="24"/>
      <c r="C1711" s="47"/>
      <c r="D1711" s="26"/>
      <c r="E1711" s="27"/>
      <c r="F1711" s="25"/>
      <c r="G1711" s="25"/>
      <c r="H1711" s="25"/>
      <c r="I1711" s="25"/>
      <c r="J1711" s="25"/>
      <c r="K1711" s="25"/>
      <c r="L1711" s="25"/>
      <c r="M1711" s="25"/>
      <c r="N1711" s="25"/>
      <c r="O1711" s="25"/>
      <c r="P1711" s="25"/>
      <c r="Q1711" s="25"/>
      <c r="R1711" s="25"/>
      <c r="S1711" s="151"/>
      <c r="T1711" s="151"/>
      <c r="U1711" s="151"/>
      <c r="V1711" s="73"/>
      <c r="W1711" s="28"/>
      <c r="X1711" s="24"/>
    </row>
    <row r="1712" spans="2:24">
      <c r="B1712" s="24"/>
      <c r="C1712" s="47"/>
      <c r="D1712" s="26"/>
      <c r="E1712" s="27"/>
      <c r="F1712" s="25"/>
      <c r="G1712" s="25"/>
      <c r="H1712" s="25"/>
      <c r="I1712" s="25"/>
      <c r="J1712" s="25"/>
      <c r="K1712" s="25"/>
      <c r="L1712" s="25"/>
      <c r="M1712" s="25"/>
      <c r="N1712" s="25"/>
      <c r="O1712" s="25"/>
      <c r="P1712" s="25"/>
      <c r="Q1712" s="25"/>
      <c r="R1712" s="25"/>
      <c r="S1712" s="151"/>
      <c r="T1712" s="151"/>
      <c r="U1712" s="151"/>
      <c r="V1712" s="73"/>
      <c r="W1712" s="28"/>
      <c r="X1712" s="24"/>
    </row>
    <row r="1713" spans="2:24">
      <c r="B1713" s="24"/>
      <c r="C1713" s="47"/>
      <c r="D1713" s="26"/>
      <c r="E1713" s="27"/>
      <c r="F1713" s="25"/>
      <c r="G1713" s="25"/>
      <c r="H1713" s="25"/>
      <c r="I1713" s="25"/>
      <c r="J1713" s="25"/>
      <c r="K1713" s="25"/>
      <c r="L1713" s="25"/>
      <c r="M1713" s="25"/>
      <c r="N1713" s="25"/>
      <c r="O1713" s="25"/>
      <c r="P1713" s="25"/>
      <c r="Q1713" s="25"/>
      <c r="R1713" s="25"/>
      <c r="S1713" s="151"/>
      <c r="T1713" s="151"/>
      <c r="U1713" s="151"/>
      <c r="V1713" s="73"/>
      <c r="W1713" s="28"/>
      <c r="X1713" s="24"/>
    </row>
    <row r="1714" spans="2:24">
      <c r="B1714" s="24"/>
      <c r="C1714" s="47"/>
      <c r="D1714" s="26"/>
      <c r="E1714" s="27"/>
      <c r="F1714" s="25"/>
      <c r="G1714" s="25"/>
      <c r="H1714" s="25"/>
      <c r="I1714" s="25"/>
      <c r="J1714" s="25"/>
      <c r="K1714" s="25"/>
      <c r="L1714" s="25"/>
      <c r="M1714" s="25"/>
      <c r="N1714" s="25"/>
      <c r="O1714" s="25"/>
      <c r="P1714" s="25"/>
      <c r="Q1714" s="25"/>
      <c r="R1714" s="25"/>
      <c r="S1714" s="151"/>
      <c r="T1714" s="151"/>
      <c r="U1714" s="151"/>
      <c r="V1714" s="73"/>
      <c r="W1714" s="28"/>
      <c r="X1714" s="24"/>
    </row>
    <row r="1715" spans="2:24">
      <c r="B1715" s="24"/>
      <c r="C1715" s="47"/>
      <c r="D1715" s="26"/>
      <c r="E1715" s="27"/>
      <c r="F1715" s="25"/>
      <c r="G1715" s="25"/>
      <c r="H1715" s="25"/>
      <c r="I1715" s="25"/>
      <c r="J1715" s="25"/>
      <c r="K1715" s="25"/>
      <c r="L1715" s="25"/>
      <c r="M1715" s="25"/>
      <c r="N1715" s="25"/>
      <c r="O1715" s="25"/>
      <c r="P1715" s="25"/>
      <c r="Q1715" s="25"/>
      <c r="R1715" s="25"/>
      <c r="S1715" s="151"/>
      <c r="T1715" s="151"/>
      <c r="U1715" s="151"/>
      <c r="V1715" s="73"/>
      <c r="W1715" s="28"/>
      <c r="X1715" s="24"/>
    </row>
    <row r="1716" spans="2:24">
      <c r="B1716" s="24"/>
      <c r="C1716" s="47"/>
      <c r="D1716" s="26"/>
      <c r="E1716" s="27"/>
      <c r="F1716" s="25"/>
      <c r="G1716" s="25"/>
      <c r="H1716" s="25"/>
      <c r="I1716" s="25"/>
      <c r="J1716" s="25"/>
      <c r="K1716" s="25"/>
      <c r="L1716" s="25"/>
      <c r="M1716" s="25"/>
      <c r="N1716" s="25"/>
      <c r="O1716" s="25"/>
      <c r="P1716" s="25"/>
      <c r="Q1716" s="25"/>
      <c r="R1716" s="25"/>
      <c r="S1716" s="151"/>
      <c r="T1716" s="151"/>
      <c r="U1716" s="151"/>
      <c r="V1716" s="73"/>
      <c r="W1716" s="28"/>
      <c r="X1716" s="24"/>
    </row>
    <row r="1717" spans="2:24">
      <c r="B1717" s="24"/>
      <c r="C1717" s="47"/>
      <c r="D1717" s="26"/>
      <c r="E1717" s="27"/>
      <c r="F1717" s="25"/>
      <c r="G1717" s="25"/>
      <c r="H1717" s="25"/>
      <c r="I1717" s="25"/>
      <c r="J1717" s="25"/>
      <c r="K1717" s="25"/>
      <c r="L1717" s="25"/>
      <c r="M1717" s="25"/>
      <c r="N1717" s="25"/>
      <c r="O1717" s="25"/>
      <c r="P1717" s="25"/>
      <c r="Q1717" s="25"/>
      <c r="R1717" s="25"/>
      <c r="S1717" s="151"/>
      <c r="T1717" s="151"/>
      <c r="U1717" s="151"/>
      <c r="V1717" s="73"/>
      <c r="W1717" s="28"/>
      <c r="X1717" s="24"/>
    </row>
    <row r="1718" spans="2:24">
      <c r="B1718" s="24"/>
      <c r="C1718" s="47"/>
      <c r="D1718" s="26"/>
      <c r="E1718" s="27"/>
      <c r="F1718" s="25"/>
      <c r="G1718" s="25"/>
      <c r="H1718" s="25"/>
      <c r="I1718" s="25"/>
      <c r="J1718" s="25"/>
      <c r="K1718" s="25"/>
      <c r="L1718" s="25"/>
      <c r="M1718" s="25"/>
      <c r="N1718" s="25"/>
      <c r="O1718" s="25"/>
      <c r="P1718" s="25"/>
      <c r="Q1718" s="25"/>
      <c r="R1718" s="25"/>
      <c r="S1718" s="151"/>
      <c r="T1718" s="151"/>
      <c r="U1718" s="151"/>
      <c r="V1718" s="73"/>
      <c r="W1718" s="28"/>
      <c r="X1718" s="24"/>
    </row>
    <row r="1719" spans="2:24">
      <c r="B1719" s="24"/>
      <c r="C1719" s="47"/>
      <c r="D1719" s="26"/>
      <c r="E1719" s="27"/>
      <c r="F1719" s="25"/>
      <c r="G1719" s="25"/>
      <c r="H1719" s="25"/>
      <c r="I1719" s="25"/>
      <c r="J1719" s="25"/>
      <c r="K1719" s="25"/>
      <c r="L1719" s="25"/>
      <c r="M1719" s="25"/>
      <c r="N1719" s="25"/>
      <c r="O1719" s="25"/>
      <c r="P1719" s="25"/>
      <c r="Q1719" s="25"/>
      <c r="R1719" s="25"/>
      <c r="S1719" s="151"/>
      <c r="T1719" s="151"/>
      <c r="U1719" s="151"/>
      <c r="V1719" s="73"/>
      <c r="W1719" s="28"/>
      <c r="X1719" s="24"/>
    </row>
    <row r="1720" spans="2:24">
      <c r="B1720" s="24"/>
      <c r="C1720" s="47"/>
      <c r="D1720" s="26"/>
      <c r="E1720" s="27"/>
      <c r="F1720" s="25"/>
      <c r="G1720" s="25"/>
      <c r="H1720" s="25"/>
      <c r="I1720" s="25"/>
      <c r="J1720" s="25"/>
      <c r="K1720" s="25"/>
      <c r="L1720" s="25"/>
      <c r="M1720" s="25"/>
      <c r="N1720" s="25"/>
      <c r="O1720" s="25"/>
      <c r="P1720" s="25"/>
      <c r="Q1720" s="25"/>
      <c r="R1720" s="25"/>
      <c r="S1720" s="151"/>
      <c r="T1720" s="151"/>
      <c r="U1720" s="151"/>
      <c r="V1720" s="73"/>
      <c r="W1720" s="28"/>
      <c r="X1720" s="24"/>
    </row>
    <row r="1721" spans="2:24">
      <c r="B1721" s="24"/>
      <c r="C1721" s="47"/>
      <c r="D1721" s="26"/>
      <c r="E1721" s="27"/>
      <c r="F1721" s="25"/>
      <c r="G1721" s="25"/>
      <c r="H1721" s="25"/>
      <c r="I1721" s="25"/>
      <c r="J1721" s="25"/>
      <c r="K1721" s="25"/>
      <c r="L1721" s="25"/>
      <c r="M1721" s="25"/>
      <c r="N1721" s="25"/>
      <c r="O1721" s="25"/>
      <c r="P1721" s="25"/>
      <c r="Q1721" s="25"/>
      <c r="R1721" s="25"/>
      <c r="S1721" s="151"/>
      <c r="T1721" s="151"/>
      <c r="U1721" s="151"/>
      <c r="V1721" s="73"/>
      <c r="W1721" s="28"/>
      <c r="X1721" s="24"/>
    </row>
    <row r="1722" spans="2:24">
      <c r="B1722" s="24"/>
      <c r="C1722" s="47"/>
      <c r="D1722" s="26"/>
      <c r="E1722" s="27"/>
      <c r="F1722" s="25"/>
      <c r="G1722" s="25"/>
      <c r="H1722" s="25"/>
      <c r="I1722" s="25"/>
      <c r="J1722" s="25"/>
      <c r="K1722" s="25"/>
      <c r="L1722" s="25"/>
      <c r="M1722" s="25"/>
      <c r="N1722" s="25"/>
      <c r="O1722" s="25"/>
      <c r="P1722" s="25"/>
      <c r="Q1722" s="25"/>
      <c r="R1722" s="25"/>
      <c r="S1722" s="151"/>
      <c r="T1722" s="151"/>
      <c r="U1722" s="151"/>
      <c r="V1722" s="73"/>
      <c r="W1722" s="28"/>
      <c r="X1722" s="24"/>
    </row>
    <row r="1723" spans="2:24">
      <c r="B1723" s="24"/>
      <c r="C1723" s="47"/>
      <c r="D1723" s="26"/>
      <c r="E1723" s="27"/>
      <c r="F1723" s="25"/>
      <c r="G1723" s="25"/>
      <c r="H1723" s="25"/>
      <c r="I1723" s="25"/>
      <c r="J1723" s="25"/>
      <c r="K1723" s="25"/>
      <c r="L1723" s="25"/>
      <c r="M1723" s="25"/>
      <c r="N1723" s="25"/>
      <c r="O1723" s="25"/>
      <c r="P1723" s="25"/>
      <c r="Q1723" s="25"/>
      <c r="R1723" s="25"/>
      <c r="S1723" s="151"/>
      <c r="T1723" s="151"/>
      <c r="U1723" s="151"/>
      <c r="V1723" s="73"/>
      <c r="W1723" s="28"/>
      <c r="X1723" s="24"/>
    </row>
    <row r="1724" spans="2:24">
      <c r="B1724" s="24"/>
      <c r="C1724" s="47"/>
      <c r="D1724" s="26"/>
      <c r="E1724" s="27"/>
      <c r="F1724" s="25"/>
      <c r="G1724" s="25"/>
      <c r="H1724" s="25"/>
      <c r="I1724" s="25"/>
      <c r="J1724" s="25"/>
      <c r="K1724" s="25"/>
      <c r="L1724" s="25"/>
      <c r="M1724" s="25"/>
      <c r="N1724" s="25"/>
      <c r="O1724" s="25"/>
      <c r="P1724" s="25"/>
      <c r="Q1724" s="25"/>
      <c r="R1724" s="25"/>
      <c r="S1724" s="151"/>
      <c r="T1724" s="151"/>
      <c r="U1724" s="151"/>
      <c r="V1724" s="73"/>
      <c r="W1724" s="28"/>
      <c r="X1724" s="24"/>
    </row>
    <row r="1725" spans="2:24">
      <c r="B1725" s="24"/>
      <c r="C1725" s="47"/>
      <c r="D1725" s="26"/>
      <c r="E1725" s="27"/>
      <c r="F1725" s="25"/>
      <c r="G1725" s="25"/>
      <c r="H1725" s="25"/>
      <c r="I1725" s="25"/>
      <c r="J1725" s="25"/>
      <c r="K1725" s="25"/>
      <c r="L1725" s="25"/>
      <c r="M1725" s="25"/>
      <c r="N1725" s="25"/>
      <c r="O1725" s="25"/>
      <c r="P1725" s="25"/>
      <c r="Q1725" s="25"/>
      <c r="R1725" s="25"/>
      <c r="S1725" s="151"/>
      <c r="T1725" s="151"/>
      <c r="U1725" s="151"/>
      <c r="V1725" s="73"/>
      <c r="W1725" s="28"/>
      <c r="X1725" s="24"/>
    </row>
    <row r="1726" spans="2:24">
      <c r="B1726" s="24"/>
      <c r="C1726" s="47"/>
      <c r="D1726" s="26"/>
      <c r="E1726" s="27"/>
      <c r="F1726" s="25"/>
      <c r="G1726" s="25"/>
      <c r="H1726" s="25"/>
      <c r="I1726" s="25"/>
      <c r="J1726" s="25"/>
      <c r="K1726" s="25"/>
      <c r="L1726" s="25"/>
      <c r="M1726" s="25"/>
      <c r="N1726" s="25"/>
      <c r="O1726" s="25"/>
      <c r="P1726" s="25"/>
      <c r="Q1726" s="25"/>
      <c r="R1726" s="25"/>
      <c r="S1726" s="151"/>
      <c r="T1726" s="151"/>
      <c r="U1726" s="151"/>
      <c r="V1726" s="73"/>
      <c r="W1726" s="28"/>
      <c r="X1726" s="24"/>
    </row>
    <row r="1727" spans="2:24">
      <c r="B1727" s="24"/>
      <c r="C1727" s="47"/>
      <c r="D1727" s="26"/>
      <c r="E1727" s="27"/>
      <c r="F1727" s="25"/>
      <c r="G1727" s="25"/>
      <c r="H1727" s="25"/>
      <c r="I1727" s="25"/>
      <c r="J1727" s="25"/>
      <c r="K1727" s="25"/>
      <c r="L1727" s="25"/>
      <c r="M1727" s="25"/>
      <c r="N1727" s="25"/>
      <c r="O1727" s="25"/>
      <c r="P1727" s="25"/>
      <c r="Q1727" s="25"/>
      <c r="R1727" s="25"/>
      <c r="S1727" s="151"/>
      <c r="T1727" s="151"/>
      <c r="U1727" s="151"/>
      <c r="V1727" s="73"/>
      <c r="W1727" s="28"/>
      <c r="X1727" s="24"/>
    </row>
    <row r="1728" spans="2:24">
      <c r="B1728" s="24"/>
      <c r="C1728" s="47"/>
      <c r="D1728" s="26"/>
      <c r="E1728" s="27"/>
      <c r="F1728" s="25"/>
      <c r="G1728" s="25"/>
      <c r="H1728" s="25"/>
      <c r="I1728" s="25"/>
      <c r="J1728" s="25"/>
      <c r="K1728" s="25"/>
      <c r="L1728" s="25"/>
      <c r="M1728" s="25"/>
      <c r="N1728" s="25"/>
      <c r="O1728" s="25"/>
      <c r="P1728" s="25"/>
      <c r="Q1728" s="25"/>
      <c r="R1728" s="25"/>
      <c r="S1728" s="151"/>
      <c r="T1728" s="151"/>
      <c r="U1728" s="151"/>
      <c r="V1728" s="73"/>
      <c r="W1728" s="28"/>
      <c r="X1728" s="24"/>
    </row>
    <row r="1729" spans="2:24">
      <c r="B1729" s="24"/>
      <c r="C1729" s="47"/>
      <c r="D1729" s="26"/>
      <c r="E1729" s="27"/>
      <c r="F1729" s="25"/>
      <c r="G1729" s="25"/>
      <c r="H1729" s="25"/>
      <c r="I1729" s="25"/>
      <c r="J1729" s="25"/>
      <c r="K1729" s="25"/>
      <c r="L1729" s="25"/>
      <c r="M1729" s="25"/>
      <c r="N1729" s="25"/>
      <c r="O1729" s="25"/>
      <c r="P1729" s="25"/>
      <c r="Q1729" s="25"/>
      <c r="R1729" s="25"/>
      <c r="S1729" s="151"/>
      <c r="T1729" s="151"/>
      <c r="U1729" s="151"/>
      <c r="V1729" s="73"/>
      <c r="W1729" s="28"/>
      <c r="X1729" s="24"/>
    </row>
    <row r="1730" spans="2:24">
      <c r="B1730" s="24"/>
      <c r="C1730" s="47"/>
      <c r="D1730" s="26"/>
      <c r="E1730" s="27"/>
      <c r="F1730" s="25"/>
      <c r="G1730" s="25"/>
      <c r="H1730" s="25"/>
      <c r="I1730" s="25"/>
      <c r="J1730" s="25"/>
      <c r="K1730" s="25"/>
      <c r="L1730" s="25"/>
      <c r="M1730" s="25"/>
      <c r="N1730" s="25"/>
      <c r="O1730" s="25"/>
      <c r="P1730" s="25"/>
      <c r="Q1730" s="25"/>
      <c r="R1730" s="25"/>
      <c r="S1730" s="151"/>
      <c r="T1730" s="151"/>
      <c r="U1730" s="151"/>
      <c r="V1730" s="73"/>
      <c r="W1730" s="28"/>
      <c r="X1730" s="24"/>
    </row>
    <row r="1731" spans="2:24">
      <c r="B1731" s="24"/>
      <c r="C1731" s="47"/>
      <c r="D1731" s="26"/>
      <c r="E1731" s="27"/>
      <c r="F1731" s="25"/>
      <c r="G1731" s="25"/>
      <c r="H1731" s="25"/>
      <c r="I1731" s="25"/>
      <c r="J1731" s="25"/>
      <c r="K1731" s="25"/>
      <c r="L1731" s="25"/>
      <c r="M1731" s="25"/>
      <c r="N1731" s="25"/>
      <c r="O1731" s="25"/>
      <c r="P1731" s="25"/>
      <c r="Q1731" s="25"/>
      <c r="R1731" s="25"/>
      <c r="S1731" s="151"/>
      <c r="T1731" s="151"/>
      <c r="U1731" s="151"/>
      <c r="V1731" s="73"/>
      <c r="W1731" s="28"/>
      <c r="X1731" s="24"/>
    </row>
    <row r="1732" spans="2:24">
      <c r="B1732" s="24"/>
      <c r="C1732" s="47"/>
      <c r="D1732" s="26"/>
      <c r="E1732" s="27"/>
      <c r="F1732" s="25"/>
      <c r="G1732" s="25"/>
      <c r="H1732" s="25"/>
      <c r="I1732" s="25"/>
      <c r="J1732" s="25"/>
      <c r="K1732" s="25"/>
      <c r="L1732" s="25"/>
      <c r="M1732" s="25"/>
      <c r="N1732" s="25"/>
      <c r="O1732" s="25"/>
      <c r="P1732" s="25"/>
      <c r="Q1732" s="25"/>
      <c r="R1732" s="25"/>
      <c r="S1732" s="151"/>
      <c r="T1732" s="151"/>
      <c r="U1732" s="151"/>
      <c r="V1732" s="73"/>
      <c r="W1732" s="28"/>
      <c r="X1732" s="24"/>
    </row>
    <row r="1733" spans="2:24">
      <c r="B1733" s="24"/>
      <c r="C1733" s="47"/>
      <c r="D1733" s="26"/>
      <c r="E1733" s="27"/>
      <c r="F1733" s="25"/>
      <c r="G1733" s="25"/>
      <c r="H1733" s="25"/>
      <c r="I1733" s="25"/>
      <c r="J1733" s="25"/>
      <c r="K1733" s="25"/>
      <c r="L1733" s="25"/>
      <c r="M1733" s="25"/>
      <c r="N1733" s="25"/>
      <c r="O1733" s="25"/>
      <c r="P1733" s="25"/>
      <c r="Q1733" s="25"/>
      <c r="R1733" s="25"/>
      <c r="S1733" s="151"/>
      <c r="T1733" s="151"/>
      <c r="U1733" s="151"/>
      <c r="V1733" s="73"/>
      <c r="W1733" s="28"/>
      <c r="X1733" s="24"/>
    </row>
    <row r="1734" spans="2:24">
      <c r="B1734" s="24"/>
      <c r="C1734" s="47"/>
      <c r="D1734" s="26"/>
      <c r="E1734" s="27"/>
      <c r="F1734" s="25"/>
      <c r="G1734" s="25"/>
      <c r="H1734" s="25"/>
      <c r="I1734" s="25"/>
      <c r="J1734" s="25"/>
      <c r="K1734" s="25"/>
      <c r="L1734" s="25"/>
      <c r="M1734" s="25"/>
      <c r="N1734" s="25"/>
      <c r="O1734" s="25"/>
      <c r="P1734" s="25"/>
      <c r="Q1734" s="25"/>
      <c r="R1734" s="25"/>
      <c r="S1734" s="151"/>
      <c r="T1734" s="151"/>
      <c r="U1734" s="151"/>
      <c r="V1734" s="73"/>
      <c r="W1734" s="28"/>
      <c r="X1734" s="24"/>
    </row>
    <row r="1735" spans="2:24">
      <c r="B1735" s="24"/>
      <c r="C1735" s="47"/>
      <c r="D1735" s="26"/>
      <c r="E1735" s="27"/>
      <c r="F1735" s="25"/>
      <c r="G1735" s="25"/>
      <c r="H1735" s="25"/>
      <c r="I1735" s="25"/>
      <c r="J1735" s="25"/>
      <c r="K1735" s="25"/>
      <c r="L1735" s="25"/>
      <c r="M1735" s="25"/>
      <c r="N1735" s="25"/>
      <c r="O1735" s="25"/>
      <c r="P1735" s="25"/>
      <c r="Q1735" s="25"/>
      <c r="R1735" s="25"/>
      <c r="S1735" s="151"/>
      <c r="T1735" s="151"/>
      <c r="U1735" s="151"/>
      <c r="V1735" s="73"/>
      <c r="W1735" s="28"/>
      <c r="X1735" s="24"/>
    </row>
    <row r="1736" spans="2:24">
      <c r="B1736" s="24"/>
      <c r="C1736" s="47"/>
      <c r="D1736" s="26"/>
      <c r="E1736" s="27"/>
      <c r="F1736" s="25"/>
      <c r="G1736" s="25"/>
      <c r="H1736" s="25"/>
      <c r="I1736" s="25"/>
      <c r="J1736" s="25"/>
      <c r="K1736" s="25"/>
      <c r="L1736" s="25"/>
      <c r="M1736" s="25"/>
      <c r="N1736" s="25"/>
      <c r="O1736" s="25"/>
      <c r="P1736" s="25"/>
      <c r="Q1736" s="25"/>
      <c r="R1736" s="25"/>
      <c r="S1736" s="151"/>
      <c r="T1736" s="151"/>
      <c r="U1736" s="151"/>
      <c r="V1736" s="73"/>
      <c r="W1736" s="28"/>
      <c r="X1736" s="24"/>
    </row>
    <row r="1737" spans="2:24">
      <c r="B1737" s="24"/>
      <c r="C1737" s="47"/>
      <c r="D1737" s="26"/>
      <c r="E1737" s="27"/>
      <c r="F1737" s="25"/>
      <c r="G1737" s="25"/>
      <c r="H1737" s="25"/>
      <c r="I1737" s="25"/>
      <c r="J1737" s="25"/>
      <c r="K1737" s="25"/>
      <c r="L1737" s="25"/>
      <c r="M1737" s="25"/>
      <c r="N1737" s="25"/>
      <c r="O1737" s="25"/>
      <c r="P1737" s="25"/>
      <c r="Q1737" s="25"/>
      <c r="R1737" s="25"/>
      <c r="S1737" s="151"/>
      <c r="T1737" s="151"/>
      <c r="U1737" s="151"/>
      <c r="V1737" s="73"/>
      <c r="W1737" s="28"/>
      <c r="X1737" s="24"/>
    </row>
    <row r="1738" spans="2:24">
      <c r="B1738" s="24"/>
      <c r="C1738" s="47"/>
      <c r="D1738" s="26"/>
      <c r="E1738" s="27"/>
      <c r="F1738" s="25"/>
      <c r="G1738" s="25"/>
      <c r="H1738" s="25"/>
      <c r="I1738" s="25"/>
      <c r="J1738" s="25"/>
      <c r="K1738" s="25"/>
      <c r="L1738" s="25"/>
      <c r="M1738" s="25"/>
      <c r="N1738" s="25"/>
      <c r="O1738" s="25"/>
      <c r="P1738" s="25"/>
      <c r="Q1738" s="25"/>
      <c r="R1738" s="25"/>
      <c r="S1738" s="151"/>
      <c r="T1738" s="151"/>
      <c r="U1738" s="151"/>
      <c r="V1738" s="73"/>
      <c r="W1738" s="28"/>
      <c r="X1738" s="24"/>
    </row>
    <row r="1739" spans="2:24">
      <c r="B1739" s="24"/>
      <c r="C1739" s="47"/>
      <c r="D1739" s="26"/>
      <c r="E1739" s="27"/>
      <c r="F1739" s="25"/>
      <c r="G1739" s="25"/>
      <c r="H1739" s="25"/>
      <c r="I1739" s="25"/>
      <c r="J1739" s="25"/>
      <c r="K1739" s="25"/>
      <c r="L1739" s="25"/>
      <c r="M1739" s="25"/>
      <c r="N1739" s="25"/>
      <c r="O1739" s="25"/>
      <c r="P1739" s="25"/>
      <c r="Q1739" s="25"/>
      <c r="R1739" s="25"/>
      <c r="S1739" s="151"/>
      <c r="T1739" s="151"/>
      <c r="U1739" s="151"/>
      <c r="V1739" s="73"/>
      <c r="W1739" s="28"/>
      <c r="X1739" s="24"/>
    </row>
    <row r="1740" spans="2:24">
      <c r="B1740" s="24"/>
      <c r="C1740" s="47"/>
      <c r="D1740" s="26"/>
      <c r="E1740" s="27"/>
      <c r="F1740" s="25"/>
      <c r="G1740" s="25"/>
      <c r="H1740" s="25"/>
      <c r="I1740" s="25"/>
      <c r="J1740" s="25"/>
      <c r="K1740" s="25"/>
      <c r="L1740" s="25"/>
      <c r="M1740" s="25"/>
      <c r="N1740" s="25"/>
      <c r="O1740" s="25"/>
      <c r="P1740" s="25"/>
      <c r="Q1740" s="25"/>
      <c r="R1740" s="25"/>
      <c r="S1740" s="151"/>
      <c r="T1740" s="151"/>
      <c r="U1740" s="151"/>
      <c r="V1740" s="73"/>
      <c r="W1740" s="28"/>
      <c r="X1740" s="24"/>
    </row>
    <row r="1741" spans="2:24">
      <c r="B1741" s="24"/>
      <c r="C1741" s="47"/>
      <c r="D1741" s="26"/>
      <c r="E1741" s="27"/>
      <c r="F1741" s="25"/>
      <c r="G1741" s="25"/>
      <c r="H1741" s="25"/>
      <c r="I1741" s="25"/>
      <c r="J1741" s="25"/>
      <c r="K1741" s="25"/>
      <c r="L1741" s="25"/>
      <c r="M1741" s="25"/>
      <c r="N1741" s="25"/>
      <c r="O1741" s="25"/>
      <c r="P1741" s="25"/>
      <c r="Q1741" s="25"/>
      <c r="R1741" s="25"/>
      <c r="S1741" s="151"/>
      <c r="T1741" s="151"/>
      <c r="U1741" s="151"/>
      <c r="V1741" s="73"/>
      <c r="W1741" s="28"/>
      <c r="X1741" s="24"/>
    </row>
    <row r="1742" spans="2:24">
      <c r="B1742" s="24"/>
      <c r="C1742" s="47"/>
      <c r="D1742" s="26"/>
      <c r="E1742" s="27"/>
      <c r="F1742" s="25"/>
      <c r="G1742" s="25"/>
      <c r="H1742" s="25"/>
      <c r="I1742" s="25"/>
      <c r="J1742" s="25"/>
      <c r="K1742" s="25"/>
      <c r="L1742" s="25"/>
      <c r="M1742" s="25"/>
      <c r="N1742" s="25"/>
      <c r="O1742" s="25"/>
      <c r="P1742" s="25"/>
      <c r="Q1742" s="25"/>
      <c r="R1742" s="25"/>
      <c r="S1742" s="151"/>
      <c r="T1742" s="151"/>
      <c r="U1742" s="151"/>
      <c r="V1742" s="73"/>
      <c r="W1742" s="28"/>
      <c r="X1742" s="24"/>
    </row>
    <row r="1743" spans="2:24">
      <c r="B1743" s="24"/>
      <c r="C1743" s="47"/>
      <c r="D1743" s="26"/>
      <c r="E1743" s="27"/>
      <c r="F1743" s="25"/>
      <c r="G1743" s="25"/>
      <c r="H1743" s="25"/>
      <c r="I1743" s="25"/>
      <c r="J1743" s="25"/>
      <c r="K1743" s="25"/>
      <c r="L1743" s="25"/>
      <c r="M1743" s="25"/>
      <c r="N1743" s="25"/>
      <c r="O1743" s="25"/>
      <c r="P1743" s="25"/>
      <c r="Q1743" s="25"/>
      <c r="R1743" s="25"/>
      <c r="S1743" s="151"/>
      <c r="T1743" s="151"/>
      <c r="U1743" s="151"/>
      <c r="V1743" s="73"/>
      <c r="W1743" s="28"/>
      <c r="X1743" s="24"/>
    </row>
    <row r="1744" spans="2:24">
      <c r="B1744" s="24"/>
      <c r="C1744" s="47"/>
      <c r="D1744" s="26"/>
      <c r="E1744" s="27"/>
      <c r="F1744" s="25"/>
      <c r="G1744" s="25"/>
      <c r="H1744" s="25"/>
      <c r="I1744" s="25"/>
      <c r="J1744" s="25"/>
      <c r="K1744" s="25"/>
      <c r="L1744" s="25"/>
      <c r="M1744" s="25"/>
      <c r="N1744" s="25"/>
      <c r="O1744" s="25"/>
      <c r="P1744" s="25"/>
      <c r="Q1744" s="25"/>
      <c r="R1744" s="25"/>
      <c r="S1744" s="151"/>
      <c r="T1744" s="151"/>
      <c r="U1744" s="151"/>
      <c r="V1744" s="73"/>
      <c r="W1744" s="28"/>
      <c r="X1744" s="24"/>
    </row>
    <row r="1745" spans="2:24">
      <c r="B1745" s="24"/>
      <c r="C1745" s="47"/>
      <c r="D1745" s="26"/>
      <c r="E1745" s="27"/>
      <c r="F1745" s="25"/>
      <c r="G1745" s="25"/>
      <c r="H1745" s="25"/>
      <c r="I1745" s="25"/>
      <c r="J1745" s="25"/>
      <c r="K1745" s="25"/>
      <c r="L1745" s="25"/>
      <c r="M1745" s="25"/>
      <c r="N1745" s="25"/>
      <c r="O1745" s="25"/>
      <c r="P1745" s="25"/>
      <c r="Q1745" s="25"/>
      <c r="R1745" s="25"/>
      <c r="S1745" s="151"/>
      <c r="T1745" s="151"/>
      <c r="U1745" s="151"/>
      <c r="V1745" s="73"/>
      <c r="W1745" s="28"/>
      <c r="X1745" s="24"/>
    </row>
    <row r="1746" spans="2:24">
      <c r="B1746" s="24"/>
      <c r="C1746" s="47"/>
      <c r="D1746" s="26"/>
      <c r="E1746" s="27"/>
      <c r="F1746" s="25"/>
      <c r="G1746" s="25"/>
      <c r="H1746" s="25"/>
      <c r="I1746" s="25"/>
      <c r="J1746" s="25"/>
      <c r="K1746" s="25"/>
      <c r="L1746" s="25"/>
      <c r="M1746" s="25"/>
      <c r="N1746" s="25"/>
      <c r="O1746" s="25"/>
      <c r="P1746" s="25"/>
      <c r="Q1746" s="25"/>
      <c r="R1746" s="25"/>
      <c r="S1746" s="151"/>
      <c r="T1746" s="151"/>
      <c r="U1746" s="151"/>
      <c r="V1746" s="73"/>
      <c r="W1746" s="28"/>
      <c r="X1746" s="24"/>
    </row>
    <row r="1747" spans="2:24">
      <c r="B1747" s="24"/>
      <c r="C1747" s="47"/>
      <c r="D1747" s="26"/>
      <c r="E1747" s="27"/>
      <c r="F1747" s="25"/>
      <c r="G1747" s="25"/>
      <c r="H1747" s="25"/>
      <c r="I1747" s="25"/>
      <c r="J1747" s="25"/>
      <c r="K1747" s="25"/>
      <c r="L1747" s="25"/>
      <c r="M1747" s="25"/>
      <c r="N1747" s="25"/>
      <c r="O1747" s="25"/>
      <c r="P1747" s="25"/>
      <c r="Q1747" s="25"/>
      <c r="R1747" s="25"/>
      <c r="S1747" s="151"/>
      <c r="T1747" s="151"/>
      <c r="U1747" s="151"/>
      <c r="V1747" s="73"/>
      <c r="W1747" s="28"/>
      <c r="X1747" s="24"/>
    </row>
    <row r="1748" spans="2:24">
      <c r="B1748" s="24"/>
      <c r="C1748" s="47"/>
      <c r="D1748" s="26"/>
      <c r="E1748" s="27"/>
      <c r="F1748" s="25"/>
      <c r="G1748" s="25"/>
      <c r="H1748" s="25"/>
      <c r="I1748" s="25"/>
      <c r="J1748" s="25"/>
      <c r="K1748" s="25"/>
      <c r="L1748" s="25"/>
      <c r="M1748" s="25"/>
      <c r="N1748" s="25"/>
      <c r="O1748" s="25"/>
      <c r="P1748" s="25"/>
      <c r="Q1748" s="25"/>
      <c r="R1748" s="25"/>
      <c r="S1748" s="151"/>
      <c r="T1748" s="151"/>
      <c r="U1748" s="151"/>
      <c r="V1748" s="73"/>
      <c r="W1748" s="28"/>
      <c r="X1748" s="24"/>
    </row>
    <row r="1749" spans="2:24">
      <c r="B1749" s="24"/>
      <c r="C1749" s="47"/>
      <c r="D1749" s="26"/>
      <c r="E1749" s="27"/>
      <c r="F1749" s="25"/>
      <c r="G1749" s="25"/>
      <c r="H1749" s="25"/>
      <c r="I1749" s="25"/>
      <c r="J1749" s="25"/>
      <c r="K1749" s="25"/>
      <c r="L1749" s="25"/>
      <c r="M1749" s="25"/>
      <c r="N1749" s="25"/>
      <c r="O1749" s="25"/>
      <c r="P1749" s="25"/>
      <c r="Q1749" s="25"/>
      <c r="R1749" s="25"/>
      <c r="S1749" s="151"/>
      <c r="T1749" s="151"/>
      <c r="U1749" s="151"/>
      <c r="V1749" s="73"/>
      <c r="W1749" s="28"/>
      <c r="X1749" s="24"/>
    </row>
    <row r="1750" spans="2:24">
      <c r="B1750" s="24"/>
      <c r="C1750" s="47"/>
      <c r="D1750" s="26"/>
      <c r="E1750" s="27"/>
      <c r="F1750" s="25"/>
      <c r="G1750" s="25"/>
      <c r="H1750" s="25"/>
      <c r="I1750" s="25"/>
      <c r="J1750" s="25"/>
      <c r="K1750" s="25"/>
      <c r="L1750" s="25"/>
      <c r="M1750" s="25"/>
      <c r="N1750" s="25"/>
      <c r="O1750" s="25"/>
      <c r="P1750" s="25"/>
      <c r="Q1750" s="25"/>
      <c r="R1750" s="25"/>
      <c r="S1750" s="151"/>
      <c r="T1750" s="151"/>
      <c r="U1750" s="151"/>
      <c r="V1750" s="73"/>
      <c r="W1750" s="28"/>
      <c r="X1750" s="24"/>
    </row>
    <row r="1751" spans="2:24">
      <c r="B1751" s="24"/>
      <c r="C1751" s="47"/>
      <c r="D1751" s="26"/>
      <c r="E1751" s="27"/>
      <c r="F1751" s="25"/>
      <c r="G1751" s="25"/>
      <c r="H1751" s="25"/>
      <c r="I1751" s="25"/>
      <c r="J1751" s="25"/>
      <c r="K1751" s="25"/>
      <c r="L1751" s="25"/>
      <c r="M1751" s="25"/>
      <c r="N1751" s="25"/>
      <c r="O1751" s="25"/>
      <c r="P1751" s="25"/>
      <c r="Q1751" s="25"/>
      <c r="R1751" s="25"/>
      <c r="S1751" s="151"/>
      <c r="T1751" s="151"/>
      <c r="U1751" s="151"/>
      <c r="V1751" s="73"/>
      <c r="W1751" s="28"/>
      <c r="X1751" s="24"/>
    </row>
    <row r="1752" spans="2:24">
      <c r="B1752" s="24"/>
      <c r="C1752" s="47"/>
      <c r="D1752" s="26"/>
      <c r="E1752" s="27"/>
      <c r="F1752" s="25"/>
      <c r="G1752" s="25"/>
      <c r="H1752" s="25"/>
      <c r="I1752" s="25"/>
      <c r="J1752" s="25"/>
      <c r="K1752" s="25"/>
      <c r="L1752" s="25"/>
      <c r="M1752" s="25"/>
      <c r="N1752" s="25"/>
      <c r="O1752" s="25"/>
      <c r="P1752" s="25"/>
      <c r="Q1752" s="25"/>
      <c r="R1752" s="25"/>
      <c r="S1752" s="151"/>
      <c r="T1752" s="151"/>
      <c r="U1752" s="151"/>
      <c r="V1752" s="73"/>
      <c r="W1752" s="28"/>
      <c r="X1752" s="24"/>
    </row>
    <row r="1753" spans="2:24">
      <c r="B1753" s="24"/>
      <c r="C1753" s="47"/>
      <c r="D1753" s="26"/>
      <c r="E1753" s="27"/>
      <c r="F1753" s="25"/>
      <c r="G1753" s="25"/>
      <c r="H1753" s="25"/>
      <c r="I1753" s="25"/>
      <c r="J1753" s="25"/>
      <c r="K1753" s="25"/>
      <c r="L1753" s="25"/>
      <c r="M1753" s="25"/>
      <c r="N1753" s="25"/>
      <c r="O1753" s="25"/>
      <c r="P1753" s="25"/>
      <c r="Q1753" s="25"/>
      <c r="R1753" s="25"/>
      <c r="S1753" s="151"/>
      <c r="T1753" s="151"/>
      <c r="U1753" s="151"/>
      <c r="V1753" s="73"/>
      <c r="W1753" s="28"/>
      <c r="X1753" s="24"/>
    </row>
    <row r="1754" spans="2:24">
      <c r="B1754" s="24"/>
      <c r="C1754" s="47"/>
      <c r="D1754" s="26"/>
      <c r="E1754" s="27"/>
      <c r="F1754" s="25"/>
      <c r="G1754" s="25"/>
      <c r="H1754" s="25"/>
      <c r="I1754" s="25"/>
      <c r="J1754" s="25"/>
      <c r="K1754" s="25"/>
      <c r="L1754" s="25"/>
      <c r="M1754" s="25"/>
      <c r="N1754" s="25"/>
      <c r="O1754" s="25"/>
      <c r="P1754" s="25"/>
      <c r="Q1754" s="25"/>
      <c r="R1754" s="25"/>
      <c r="S1754" s="151"/>
      <c r="T1754" s="151"/>
      <c r="U1754" s="151"/>
      <c r="V1754" s="73"/>
      <c r="W1754" s="28"/>
      <c r="X1754" s="24"/>
    </row>
    <row r="1755" spans="2:24">
      <c r="B1755" s="24"/>
      <c r="C1755" s="47"/>
      <c r="D1755" s="26"/>
      <c r="E1755" s="27"/>
      <c r="F1755" s="25"/>
      <c r="G1755" s="25"/>
      <c r="H1755" s="25"/>
      <c r="I1755" s="25"/>
      <c r="J1755" s="25"/>
      <c r="K1755" s="25"/>
      <c r="L1755" s="25"/>
      <c r="M1755" s="25"/>
      <c r="N1755" s="25"/>
      <c r="O1755" s="25"/>
      <c r="P1755" s="25"/>
      <c r="Q1755" s="25"/>
      <c r="R1755" s="25"/>
      <c r="S1755" s="151"/>
      <c r="T1755" s="151"/>
      <c r="U1755" s="151"/>
      <c r="V1755" s="73"/>
      <c r="W1755" s="28"/>
      <c r="X1755" s="24"/>
    </row>
    <row r="1756" spans="2:24">
      <c r="B1756" s="24"/>
      <c r="C1756" s="47"/>
      <c r="D1756" s="26"/>
      <c r="E1756" s="27"/>
      <c r="F1756" s="25"/>
      <c r="G1756" s="25"/>
      <c r="H1756" s="25"/>
      <c r="I1756" s="25"/>
      <c r="J1756" s="25"/>
      <c r="K1756" s="25"/>
      <c r="L1756" s="25"/>
      <c r="M1756" s="25"/>
      <c r="N1756" s="25"/>
      <c r="O1756" s="25"/>
      <c r="P1756" s="25"/>
      <c r="Q1756" s="25"/>
      <c r="R1756" s="25"/>
      <c r="S1756" s="151"/>
      <c r="T1756" s="151"/>
      <c r="U1756" s="151"/>
      <c r="V1756" s="73"/>
      <c r="W1756" s="28"/>
      <c r="X1756" s="24"/>
    </row>
    <row r="1757" spans="2:24">
      <c r="B1757" s="24"/>
      <c r="C1757" s="47"/>
      <c r="D1757" s="26"/>
      <c r="E1757" s="27"/>
      <c r="F1757" s="25"/>
      <c r="G1757" s="25"/>
      <c r="H1757" s="25"/>
      <c r="I1757" s="25"/>
      <c r="J1757" s="25"/>
      <c r="K1757" s="25"/>
      <c r="L1757" s="25"/>
      <c r="M1757" s="25"/>
      <c r="N1757" s="25"/>
      <c r="O1757" s="25"/>
      <c r="P1757" s="25"/>
      <c r="Q1757" s="25"/>
      <c r="R1757" s="25"/>
      <c r="S1757" s="151"/>
      <c r="T1757" s="151"/>
      <c r="U1757" s="151"/>
      <c r="V1757" s="73"/>
      <c r="W1757" s="28"/>
      <c r="X1757" s="24"/>
    </row>
    <row r="1758" spans="2:24">
      <c r="B1758" s="24"/>
      <c r="C1758" s="47"/>
      <c r="D1758" s="26"/>
      <c r="E1758" s="27"/>
      <c r="F1758" s="25"/>
      <c r="G1758" s="25"/>
      <c r="H1758" s="25"/>
      <c r="I1758" s="25"/>
      <c r="J1758" s="25"/>
      <c r="K1758" s="25"/>
      <c r="L1758" s="25"/>
      <c r="M1758" s="25"/>
      <c r="N1758" s="25"/>
      <c r="O1758" s="25"/>
      <c r="P1758" s="25"/>
      <c r="Q1758" s="25"/>
      <c r="R1758" s="25"/>
      <c r="S1758" s="151"/>
      <c r="T1758" s="151"/>
      <c r="U1758" s="151"/>
      <c r="V1758" s="73"/>
      <c r="W1758" s="28"/>
      <c r="X1758" s="24"/>
    </row>
    <row r="1759" spans="2:24">
      <c r="B1759" s="24"/>
      <c r="C1759" s="47"/>
      <c r="D1759" s="26"/>
      <c r="E1759" s="27"/>
      <c r="F1759" s="25"/>
      <c r="G1759" s="25"/>
      <c r="H1759" s="25"/>
      <c r="I1759" s="25"/>
      <c r="J1759" s="25"/>
      <c r="K1759" s="25"/>
      <c r="L1759" s="25"/>
      <c r="M1759" s="25"/>
      <c r="N1759" s="25"/>
      <c r="O1759" s="25"/>
      <c r="P1759" s="25"/>
      <c r="Q1759" s="25"/>
      <c r="R1759" s="25"/>
      <c r="S1759" s="151"/>
      <c r="T1759" s="151"/>
      <c r="U1759" s="151"/>
      <c r="V1759" s="73"/>
      <c r="W1759" s="28"/>
      <c r="X1759" s="24"/>
    </row>
    <row r="1760" spans="2:24">
      <c r="B1760" s="24"/>
      <c r="C1760" s="47"/>
      <c r="D1760" s="26"/>
      <c r="E1760" s="27"/>
      <c r="F1760" s="25"/>
      <c r="G1760" s="25"/>
      <c r="H1760" s="25"/>
      <c r="I1760" s="25"/>
      <c r="J1760" s="25"/>
      <c r="K1760" s="25"/>
      <c r="L1760" s="25"/>
      <c r="M1760" s="25"/>
      <c r="N1760" s="25"/>
      <c r="O1760" s="25"/>
      <c r="P1760" s="25"/>
      <c r="Q1760" s="25"/>
      <c r="R1760" s="25"/>
      <c r="S1760" s="151"/>
      <c r="T1760" s="151"/>
      <c r="U1760" s="151"/>
      <c r="V1760" s="73"/>
      <c r="W1760" s="28"/>
      <c r="X1760" s="24"/>
    </row>
    <row r="1761" spans="2:24">
      <c r="B1761" s="24"/>
      <c r="C1761" s="47"/>
      <c r="D1761" s="26"/>
      <c r="E1761" s="27"/>
      <c r="F1761" s="25"/>
      <c r="G1761" s="25"/>
      <c r="H1761" s="25"/>
      <c r="I1761" s="25"/>
      <c r="J1761" s="25"/>
      <c r="K1761" s="25"/>
      <c r="L1761" s="25"/>
      <c r="M1761" s="25"/>
      <c r="N1761" s="25"/>
      <c r="O1761" s="25"/>
      <c r="P1761" s="25"/>
      <c r="Q1761" s="25"/>
      <c r="R1761" s="25"/>
      <c r="S1761" s="151"/>
      <c r="T1761" s="151"/>
      <c r="U1761" s="151"/>
      <c r="V1761" s="73"/>
      <c r="W1761" s="28"/>
      <c r="X1761" s="24"/>
    </row>
    <row r="1762" spans="2:24">
      <c r="B1762" s="24"/>
      <c r="C1762" s="47"/>
      <c r="D1762" s="26"/>
      <c r="E1762" s="27"/>
      <c r="F1762" s="25"/>
      <c r="G1762" s="25"/>
      <c r="H1762" s="25"/>
      <c r="I1762" s="25"/>
      <c r="J1762" s="25"/>
      <c r="K1762" s="25"/>
      <c r="L1762" s="25"/>
      <c r="M1762" s="25"/>
      <c r="N1762" s="25"/>
      <c r="O1762" s="25"/>
      <c r="P1762" s="25"/>
      <c r="Q1762" s="25"/>
      <c r="R1762" s="25"/>
      <c r="S1762" s="151"/>
      <c r="T1762" s="151"/>
      <c r="U1762" s="151"/>
      <c r="V1762" s="73"/>
      <c r="W1762" s="28"/>
      <c r="X1762" s="24"/>
    </row>
    <row r="1763" spans="2:24">
      <c r="B1763" s="24"/>
      <c r="C1763" s="47"/>
      <c r="D1763" s="26"/>
      <c r="E1763" s="27"/>
      <c r="F1763" s="25"/>
      <c r="G1763" s="25"/>
      <c r="H1763" s="25"/>
      <c r="I1763" s="25"/>
      <c r="J1763" s="25"/>
      <c r="K1763" s="25"/>
      <c r="L1763" s="25"/>
      <c r="M1763" s="25"/>
      <c r="N1763" s="25"/>
      <c r="O1763" s="25"/>
      <c r="P1763" s="25"/>
      <c r="Q1763" s="25"/>
      <c r="R1763" s="25"/>
      <c r="S1763" s="151"/>
      <c r="T1763" s="151"/>
      <c r="U1763" s="151"/>
      <c r="V1763" s="73"/>
      <c r="W1763" s="28"/>
      <c r="X1763" s="24"/>
    </row>
    <row r="1764" spans="2:24">
      <c r="B1764" s="24"/>
      <c r="C1764" s="47"/>
      <c r="D1764" s="26"/>
      <c r="E1764" s="27"/>
      <c r="F1764" s="25"/>
      <c r="G1764" s="25"/>
      <c r="H1764" s="25"/>
      <c r="I1764" s="25"/>
      <c r="J1764" s="25"/>
      <c r="K1764" s="25"/>
      <c r="L1764" s="25"/>
      <c r="M1764" s="25"/>
      <c r="N1764" s="25"/>
      <c r="O1764" s="25"/>
      <c r="P1764" s="25"/>
      <c r="Q1764" s="25"/>
      <c r="R1764" s="25"/>
      <c r="S1764" s="151"/>
      <c r="T1764" s="151"/>
      <c r="U1764" s="151"/>
      <c r="V1764" s="73"/>
      <c r="W1764" s="28"/>
      <c r="X1764" s="24"/>
    </row>
    <row r="1765" spans="2:24">
      <c r="B1765" s="24"/>
      <c r="C1765" s="47"/>
      <c r="D1765" s="26"/>
      <c r="E1765" s="27"/>
      <c r="F1765" s="25"/>
      <c r="G1765" s="25"/>
      <c r="H1765" s="25"/>
      <c r="I1765" s="25"/>
      <c r="J1765" s="25"/>
      <c r="K1765" s="25"/>
      <c r="L1765" s="25"/>
      <c r="M1765" s="25"/>
      <c r="N1765" s="25"/>
      <c r="O1765" s="25"/>
      <c r="P1765" s="25"/>
      <c r="Q1765" s="25"/>
      <c r="R1765" s="25"/>
      <c r="S1765" s="151"/>
      <c r="T1765" s="151"/>
      <c r="U1765" s="151"/>
      <c r="V1765" s="73"/>
      <c r="W1765" s="28"/>
      <c r="X1765" s="24"/>
    </row>
    <row r="1766" spans="2:24">
      <c r="B1766" s="24"/>
      <c r="C1766" s="47"/>
      <c r="D1766" s="26"/>
      <c r="E1766" s="27"/>
      <c r="F1766" s="25"/>
      <c r="G1766" s="25"/>
      <c r="H1766" s="25"/>
      <c r="I1766" s="25"/>
      <c r="J1766" s="25"/>
      <c r="K1766" s="25"/>
      <c r="L1766" s="25"/>
      <c r="M1766" s="25"/>
      <c r="N1766" s="25"/>
      <c r="O1766" s="25"/>
      <c r="P1766" s="25"/>
      <c r="Q1766" s="25"/>
      <c r="R1766" s="25"/>
      <c r="S1766" s="151"/>
      <c r="T1766" s="151"/>
      <c r="U1766" s="151"/>
      <c r="V1766" s="73"/>
      <c r="W1766" s="28"/>
      <c r="X1766" s="24"/>
    </row>
    <row r="1767" spans="2:24">
      <c r="B1767" s="24"/>
      <c r="C1767" s="47"/>
      <c r="D1767" s="26"/>
      <c r="E1767" s="27"/>
      <c r="F1767" s="25"/>
      <c r="G1767" s="25"/>
      <c r="H1767" s="25"/>
      <c r="I1767" s="25"/>
      <c r="J1767" s="25"/>
      <c r="K1767" s="25"/>
      <c r="L1767" s="25"/>
      <c r="M1767" s="25"/>
      <c r="N1767" s="25"/>
      <c r="O1767" s="25"/>
      <c r="P1767" s="25"/>
      <c r="Q1767" s="25"/>
      <c r="R1767" s="25"/>
      <c r="S1767" s="151"/>
      <c r="T1767" s="151"/>
      <c r="U1767" s="151"/>
      <c r="V1767" s="73"/>
      <c r="W1767" s="28"/>
      <c r="X1767" s="24"/>
    </row>
    <row r="1768" spans="2:24">
      <c r="B1768" s="24"/>
      <c r="C1768" s="47"/>
      <c r="D1768" s="26"/>
      <c r="E1768" s="27"/>
      <c r="F1768" s="25"/>
      <c r="G1768" s="25"/>
      <c r="H1768" s="25"/>
      <c r="I1768" s="25"/>
      <c r="J1768" s="25"/>
      <c r="K1768" s="25"/>
      <c r="L1768" s="25"/>
      <c r="M1768" s="25"/>
      <c r="N1768" s="25"/>
      <c r="O1768" s="25"/>
      <c r="P1768" s="25"/>
      <c r="Q1768" s="25"/>
      <c r="R1768" s="25"/>
      <c r="S1768" s="151"/>
      <c r="T1768" s="151"/>
      <c r="U1768" s="151"/>
      <c r="V1768" s="73"/>
      <c r="W1768" s="28"/>
      <c r="X1768" s="24"/>
    </row>
    <row r="1769" spans="2:24">
      <c r="B1769" s="24"/>
      <c r="C1769" s="47"/>
      <c r="D1769" s="26"/>
      <c r="E1769" s="27"/>
      <c r="F1769" s="25"/>
      <c r="G1769" s="25"/>
      <c r="H1769" s="25"/>
      <c r="I1769" s="25"/>
      <c r="J1769" s="25"/>
      <c r="K1769" s="25"/>
      <c r="L1769" s="25"/>
      <c r="M1769" s="25"/>
      <c r="N1769" s="25"/>
      <c r="O1769" s="25"/>
      <c r="P1769" s="25"/>
      <c r="Q1769" s="25"/>
      <c r="R1769" s="25"/>
      <c r="S1769" s="151"/>
      <c r="T1769" s="151"/>
      <c r="U1769" s="151"/>
      <c r="V1769" s="73"/>
      <c r="W1769" s="28"/>
      <c r="X1769" s="24"/>
    </row>
    <row r="1770" spans="2:24">
      <c r="B1770" s="24"/>
      <c r="C1770" s="47"/>
      <c r="D1770" s="26"/>
      <c r="E1770" s="27"/>
      <c r="F1770" s="25"/>
      <c r="G1770" s="25"/>
      <c r="H1770" s="25"/>
      <c r="I1770" s="25"/>
      <c r="J1770" s="25"/>
      <c r="K1770" s="25"/>
      <c r="L1770" s="25"/>
      <c r="M1770" s="25"/>
      <c r="N1770" s="25"/>
      <c r="O1770" s="25"/>
      <c r="P1770" s="25"/>
      <c r="Q1770" s="25"/>
      <c r="R1770" s="25"/>
      <c r="S1770" s="151"/>
      <c r="T1770" s="151"/>
      <c r="U1770" s="151"/>
      <c r="V1770" s="73"/>
      <c r="W1770" s="28"/>
      <c r="X1770" s="24"/>
    </row>
    <row r="1771" spans="2:24">
      <c r="B1771" s="24"/>
      <c r="C1771" s="47"/>
      <c r="D1771" s="26"/>
      <c r="E1771" s="27"/>
      <c r="F1771" s="25"/>
      <c r="G1771" s="25"/>
      <c r="H1771" s="25"/>
      <c r="I1771" s="25"/>
      <c r="J1771" s="25"/>
      <c r="K1771" s="25"/>
      <c r="L1771" s="25"/>
      <c r="M1771" s="25"/>
      <c r="N1771" s="25"/>
      <c r="O1771" s="25"/>
      <c r="P1771" s="25"/>
      <c r="Q1771" s="25"/>
      <c r="R1771" s="25"/>
      <c r="S1771" s="151"/>
      <c r="T1771" s="151"/>
      <c r="U1771" s="151"/>
      <c r="V1771" s="73"/>
      <c r="W1771" s="28"/>
      <c r="X1771" s="24"/>
    </row>
    <row r="1772" spans="2:24">
      <c r="B1772" s="24"/>
      <c r="C1772" s="47"/>
      <c r="D1772" s="26"/>
      <c r="E1772" s="27"/>
      <c r="F1772" s="25"/>
      <c r="G1772" s="25"/>
      <c r="H1772" s="25"/>
      <c r="I1772" s="25"/>
      <c r="J1772" s="25"/>
      <c r="K1772" s="25"/>
      <c r="L1772" s="25"/>
      <c r="M1772" s="25"/>
      <c r="N1772" s="25"/>
      <c r="O1772" s="25"/>
      <c r="P1772" s="25"/>
      <c r="Q1772" s="25"/>
      <c r="R1772" s="25"/>
      <c r="S1772" s="151"/>
      <c r="T1772" s="151"/>
      <c r="U1772" s="151"/>
      <c r="V1772" s="73"/>
      <c r="W1772" s="28"/>
      <c r="X1772" s="24"/>
    </row>
    <row r="1773" spans="2:24">
      <c r="B1773" s="24"/>
      <c r="C1773" s="47"/>
      <c r="D1773" s="26"/>
      <c r="E1773" s="27"/>
      <c r="F1773" s="25"/>
      <c r="G1773" s="25"/>
      <c r="H1773" s="25"/>
      <c r="I1773" s="25"/>
      <c r="J1773" s="25"/>
      <c r="K1773" s="25"/>
      <c r="L1773" s="25"/>
      <c r="M1773" s="25"/>
      <c r="N1773" s="25"/>
      <c r="O1773" s="25"/>
      <c r="P1773" s="25"/>
      <c r="Q1773" s="25"/>
      <c r="R1773" s="25"/>
      <c r="S1773" s="151"/>
      <c r="T1773" s="151"/>
      <c r="U1773" s="151"/>
      <c r="V1773" s="73"/>
      <c r="W1773" s="28"/>
      <c r="X1773" s="24"/>
    </row>
    <row r="1774" spans="2:24">
      <c r="B1774" s="24"/>
      <c r="C1774" s="47"/>
      <c r="D1774" s="26"/>
      <c r="E1774" s="27"/>
      <c r="F1774" s="25"/>
      <c r="G1774" s="25"/>
      <c r="H1774" s="25"/>
      <c r="I1774" s="25"/>
      <c r="J1774" s="25"/>
      <c r="K1774" s="25"/>
      <c r="L1774" s="25"/>
      <c r="M1774" s="25"/>
      <c r="N1774" s="25"/>
      <c r="O1774" s="25"/>
      <c r="P1774" s="25"/>
      <c r="Q1774" s="25"/>
      <c r="R1774" s="25"/>
      <c r="S1774" s="151"/>
      <c r="T1774" s="151"/>
      <c r="U1774" s="151"/>
      <c r="V1774" s="73"/>
      <c r="W1774" s="28"/>
      <c r="X1774" s="24"/>
    </row>
    <row r="1775" spans="2:24">
      <c r="B1775" s="24"/>
      <c r="C1775" s="47"/>
      <c r="D1775" s="26"/>
      <c r="E1775" s="27"/>
      <c r="F1775" s="25"/>
      <c r="G1775" s="25"/>
      <c r="H1775" s="25"/>
      <c r="I1775" s="25"/>
      <c r="J1775" s="25"/>
      <c r="K1775" s="25"/>
      <c r="L1775" s="25"/>
      <c r="M1775" s="25"/>
      <c r="N1775" s="25"/>
      <c r="O1775" s="25"/>
      <c r="P1775" s="25"/>
      <c r="Q1775" s="25"/>
      <c r="R1775" s="25"/>
      <c r="S1775" s="151"/>
      <c r="T1775" s="151"/>
      <c r="U1775" s="151"/>
      <c r="V1775" s="73"/>
      <c r="W1775" s="28"/>
      <c r="X1775" s="24"/>
    </row>
    <row r="1776" spans="2:24">
      <c r="B1776" s="24"/>
      <c r="C1776" s="47"/>
      <c r="D1776" s="26"/>
      <c r="E1776" s="27"/>
      <c r="F1776" s="25"/>
      <c r="G1776" s="25"/>
      <c r="H1776" s="25"/>
      <c r="I1776" s="25"/>
      <c r="J1776" s="25"/>
      <c r="K1776" s="25"/>
      <c r="L1776" s="25"/>
      <c r="M1776" s="25"/>
      <c r="N1776" s="25"/>
      <c r="O1776" s="25"/>
      <c r="P1776" s="25"/>
      <c r="Q1776" s="25"/>
      <c r="R1776" s="25"/>
      <c r="S1776" s="151"/>
      <c r="T1776" s="151"/>
      <c r="U1776" s="151"/>
      <c r="V1776" s="73"/>
      <c r="W1776" s="28"/>
      <c r="X1776" s="24"/>
    </row>
    <row r="1777" spans="2:24">
      <c r="B1777" s="24"/>
      <c r="C1777" s="47"/>
      <c r="D1777" s="26"/>
      <c r="E1777" s="27"/>
      <c r="F1777" s="25"/>
      <c r="G1777" s="25"/>
      <c r="H1777" s="25"/>
      <c r="I1777" s="25"/>
      <c r="J1777" s="25"/>
      <c r="K1777" s="25"/>
      <c r="L1777" s="25"/>
      <c r="M1777" s="25"/>
      <c r="N1777" s="25"/>
      <c r="O1777" s="25"/>
      <c r="P1777" s="25"/>
      <c r="Q1777" s="25"/>
      <c r="R1777" s="25"/>
      <c r="S1777" s="151"/>
      <c r="T1777" s="151"/>
      <c r="U1777" s="151"/>
      <c r="V1777" s="73"/>
      <c r="W1777" s="28"/>
      <c r="X1777" s="24"/>
    </row>
    <row r="1778" spans="2:24">
      <c r="B1778" s="24"/>
      <c r="C1778" s="47"/>
      <c r="D1778" s="26"/>
      <c r="E1778" s="27"/>
      <c r="F1778" s="25"/>
      <c r="G1778" s="25"/>
      <c r="H1778" s="25"/>
      <c r="I1778" s="25"/>
      <c r="J1778" s="25"/>
      <c r="K1778" s="25"/>
      <c r="L1778" s="25"/>
      <c r="M1778" s="25"/>
      <c r="N1778" s="25"/>
      <c r="O1778" s="25"/>
      <c r="P1778" s="25"/>
      <c r="Q1778" s="25"/>
      <c r="R1778" s="25"/>
      <c r="S1778" s="151"/>
      <c r="T1778" s="151"/>
      <c r="U1778" s="151"/>
      <c r="V1778" s="73"/>
      <c r="W1778" s="28"/>
      <c r="X1778" s="24"/>
    </row>
    <row r="1779" spans="2:24">
      <c r="B1779" s="24"/>
      <c r="C1779" s="47"/>
      <c r="D1779" s="26"/>
      <c r="E1779" s="27"/>
      <c r="F1779" s="25"/>
      <c r="G1779" s="25"/>
      <c r="H1779" s="25"/>
      <c r="I1779" s="25"/>
      <c r="J1779" s="25"/>
      <c r="K1779" s="25"/>
      <c r="L1779" s="25"/>
      <c r="M1779" s="25"/>
      <c r="N1779" s="25"/>
      <c r="O1779" s="25"/>
      <c r="P1779" s="25"/>
      <c r="Q1779" s="25"/>
      <c r="R1779" s="25"/>
      <c r="S1779" s="151"/>
      <c r="T1779" s="151"/>
      <c r="U1779" s="151"/>
      <c r="V1779" s="73"/>
      <c r="W1779" s="28"/>
      <c r="X1779" s="24"/>
    </row>
    <row r="1780" spans="2:24">
      <c r="B1780" s="24"/>
      <c r="C1780" s="47"/>
      <c r="D1780" s="26"/>
      <c r="E1780" s="27"/>
      <c r="F1780" s="25"/>
      <c r="G1780" s="25"/>
      <c r="H1780" s="25"/>
      <c r="I1780" s="25"/>
      <c r="J1780" s="25"/>
      <c r="K1780" s="25"/>
      <c r="L1780" s="25"/>
      <c r="M1780" s="25"/>
      <c r="N1780" s="25"/>
      <c r="O1780" s="25"/>
      <c r="P1780" s="25"/>
      <c r="Q1780" s="25"/>
      <c r="R1780" s="25"/>
      <c r="S1780" s="151"/>
      <c r="T1780" s="151"/>
      <c r="U1780" s="151"/>
      <c r="V1780" s="73"/>
      <c r="W1780" s="28"/>
      <c r="X1780" s="24"/>
    </row>
    <row r="1781" spans="2:24">
      <c r="B1781" s="24"/>
      <c r="C1781" s="47"/>
      <c r="D1781" s="26"/>
      <c r="E1781" s="27"/>
      <c r="F1781" s="25"/>
      <c r="G1781" s="25"/>
      <c r="H1781" s="25"/>
      <c r="I1781" s="25"/>
      <c r="J1781" s="25"/>
      <c r="K1781" s="25"/>
      <c r="L1781" s="25"/>
      <c r="M1781" s="25"/>
      <c r="N1781" s="25"/>
      <c r="O1781" s="25"/>
      <c r="P1781" s="25"/>
      <c r="Q1781" s="25"/>
      <c r="R1781" s="25"/>
      <c r="S1781" s="151"/>
      <c r="T1781" s="151"/>
      <c r="U1781" s="151"/>
      <c r="V1781" s="73"/>
      <c r="W1781" s="28"/>
      <c r="X1781" s="24"/>
    </row>
    <row r="1782" spans="2:24">
      <c r="B1782" s="24"/>
      <c r="C1782" s="47"/>
      <c r="D1782" s="26"/>
      <c r="E1782" s="27"/>
      <c r="F1782" s="25"/>
      <c r="G1782" s="25"/>
      <c r="H1782" s="25"/>
      <c r="I1782" s="25"/>
      <c r="J1782" s="25"/>
      <c r="K1782" s="25"/>
      <c r="L1782" s="25"/>
      <c r="M1782" s="25"/>
      <c r="N1782" s="25"/>
      <c r="O1782" s="25"/>
      <c r="P1782" s="25"/>
      <c r="Q1782" s="25"/>
      <c r="R1782" s="25"/>
      <c r="S1782" s="151"/>
      <c r="T1782" s="151"/>
      <c r="U1782" s="151"/>
      <c r="V1782" s="73"/>
      <c r="W1782" s="28"/>
      <c r="X1782" s="24"/>
    </row>
    <row r="1783" spans="2:24">
      <c r="B1783" s="24"/>
      <c r="C1783" s="47"/>
      <c r="D1783" s="26"/>
      <c r="E1783" s="27"/>
      <c r="F1783" s="25"/>
      <c r="G1783" s="25"/>
      <c r="H1783" s="25"/>
      <c r="I1783" s="25"/>
      <c r="J1783" s="25"/>
      <c r="K1783" s="25"/>
      <c r="L1783" s="25"/>
      <c r="M1783" s="25"/>
      <c r="N1783" s="25"/>
      <c r="O1783" s="25"/>
      <c r="P1783" s="25"/>
      <c r="Q1783" s="25"/>
      <c r="R1783" s="25"/>
      <c r="S1783" s="151"/>
      <c r="T1783" s="151"/>
      <c r="U1783" s="151"/>
      <c r="V1783" s="73"/>
      <c r="W1783" s="28"/>
      <c r="X1783" s="24"/>
    </row>
    <row r="1784" spans="2:24">
      <c r="B1784" s="24"/>
      <c r="C1784" s="47"/>
      <c r="D1784" s="26"/>
      <c r="E1784" s="27"/>
      <c r="F1784" s="25"/>
      <c r="G1784" s="25"/>
      <c r="H1784" s="25"/>
      <c r="I1784" s="25"/>
      <c r="J1784" s="25"/>
      <c r="K1784" s="25"/>
      <c r="L1784" s="25"/>
      <c r="M1784" s="25"/>
      <c r="N1784" s="25"/>
      <c r="O1784" s="25"/>
      <c r="P1784" s="25"/>
      <c r="Q1784" s="25"/>
      <c r="R1784" s="25"/>
      <c r="S1784" s="151"/>
      <c r="T1784" s="151"/>
      <c r="U1784" s="151"/>
      <c r="V1784" s="73"/>
      <c r="W1784" s="28"/>
      <c r="X1784" s="24"/>
    </row>
    <row r="1785" spans="2:24">
      <c r="B1785" s="24"/>
      <c r="C1785" s="47"/>
      <c r="D1785" s="26"/>
      <c r="E1785" s="27"/>
      <c r="F1785" s="25"/>
      <c r="G1785" s="25"/>
      <c r="H1785" s="25"/>
      <c r="I1785" s="25"/>
      <c r="J1785" s="25"/>
      <c r="K1785" s="25"/>
      <c r="L1785" s="25"/>
      <c r="M1785" s="25"/>
      <c r="N1785" s="25"/>
      <c r="O1785" s="25"/>
      <c r="P1785" s="25"/>
      <c r="Q1785" s="25"/>
      <c r="R1785" s="25"/>
      <c r="S1785" s="151"/>
      <c r="T1785" s="151"/>
      <c r="U1785" s="151"/>
      <c r="V1785" s="73"/>
      <c r="W1785" s="28"/>
      <c r="X1785" s="24"/>
    </row>
    <row r="1786" spans="2:24">
      <c r="B1786" s="24"/>
      <c r="C1786" s="47"/>
      <c r="D1786" s="26"/>
      <c r="E1786" s="27"/>
      <c r="F1786" s="25"/>
      <c r="G1786" s="25"/>
      <c r="H1786" s="25"/>
      <c r="I1786" s="25"/>
      <c r="J1786" s="25"/>
      <c r="K1786" s="25"/>
      <c r="L1786" s="25"/>
      <c r="M1786" s="25"/>
      <c r="N1786" s="25"/>
      <c r="O1786" s="25"/>
      <c r="P1786" s="25"/>
      <c r="Q1786" s="25"/>
      <c r="R1786" s="25"/>
      <c r="S1786" s="151"/>
      <c r="T1786" s="151"/>
      <c r="U1786" s="151"/>
      <c r="V1786" s="73"/>
      <c r="W1786" s="28"/>
      <c r="X1786" s="24"/>
    </row>
    <row r="1787" spans="2:24">
      <c r="B1787" s="24"/>
      <c r="C1787" s="47"/>
      <c r="D1787" s="26"/>
      <c r="E1787" s="27"/>
      <c r="F1787" s="25"/>
      <c r="G1787" s="25"/>
      <c r="H1787" s="25"/>
      <c r="I1787" s="25"/>
      <c r="J1787" s="25"/>
      <c r="K1787" s="25"/>
      <c r="L1787" s="25"/>
      <c r="M1787" s="25"/>
      <c r="N1787" s="25"/>
      <c r="O1787" s="25"/>
      <c r="P1787" s="25"/>
      <c r="Q1787" s="25"/>
      <c r="R1787" s="25"/>
      <c r="S1787" s="151"/>
      <c r="T1787" s="151"/>
      <c r="U1787" s="151"/>
      <c r="V1787" s="73"/>
      <c r="W1787" s="28"/>
      <c r="X1787" s="24"/>
    </row>
    <row r="1788" spans="2:24">
      <c r="B1788" s="24"/>
      <c r="C1788" s="47"/>
      <c r="D1788" s="26"/>
      <c r="E1788" s="27"/>
      <c r="F1788" s="25"/>
      <c r="G1788" s="25"/>
      <c r="H1788" s="25"/>
      <c r="I1788" s="25"/>
      <c r="J1788" s="25"/>
      <c r="K1788" s="25"/>
      <c r="L1788" s="25"/>
      <c r="M1788" s="25"/>
      <c r="N1788" s="25"/>
      <c r="O1788" s="25"/>
      <c r="P1788" s="25"/>
      <c r="Q1788" s="25"/>
      <c r="R1788" s="25"/>
      <c r="S1788" s="151"/>
      <c r="T1788" s="151"/>
      <c r="U1788" s="151"/>
      <c r="V1788" s="73"/>
      <c r="W1788" s="28"/>
      <c r="X1788" s="24"/>
    </row>
    <row r="1789" spans="2:24">
      <c r="B1789" s="24"/>
      <c r="C1789" s="47"/>
      <c r="D1789" s="26"/>
      <c r="E1789" s="27"/>
      <c r="F1789" s="25"/>
      <c r="G1789" s="25"/>
      <c r="H1789" s="25"/>
      <c r="I1789" s="25"/>
      <c r="J1789" s="25"/>
      <c r="K1789" s="25"/>
      <c r="L1789" s="25"/>
      <c r="M1789" s="25"/>
      <c r="N1789" s="25"/>
      <c r="O1789" s="25"/>
      <c r="P1789" s="25"/>
      <c r="Q1789" s="25"/>
      <c r="R1789" s="25"/>
      <c r="S1789" s="151"/>
      <c r="T1789" s="151"/>
      <c r="U1789" s="151"/>
      <c r="V1789" s="73"/>
      <c r="W1789" s="28"/>
      <c r="X1789" s="24"/>
    </row>
    <row r="1790" spans="2:24">
      <c r="B1790" s="24"/>
      <c r="C1790" s="47"/>
      <c r="D1790" s="26"/>
      <c r="E1790" s="27"/>
      <c r="F1790" s="25"/>
      <c r="G1790" s="25"/>
      <c r="H1790" s="25"/>
      <c r="I1790" s="25"/>
      <c r="J1790" s="25"/>
      <c r="K1790" s="25"/>
      <c r="L1790" s="25"/>
      <c r="M1790" s="25"/>
      <c r="N1790" s="25"/>
      <c r="O1790" s="25"/>
      <c r="P1790" s="25"/>
      <c r="Q1790" s="25"/>
      <c r="R1790" s="25"/>
      <c r="S1790" s="151"/>
      <c r="T1790" s="151"/>
      <c r="U1790" s="151"/>
      <c r="V1790" s="73"/>
      <c r="W1790" s="28"/>
      <c r="X1790" s="24"/>
    </row>
    <row r="1791" spans="2:24">
      <c r="B1791" s="24"/>
      <c r="C1791" s="47"/>
      <c r="D1791" s="26"/>
      <c r="E1791" s="27"/>
      <c r="F1791" s="25"/>
      <c r="G1791" s="25"/>
      <c r="H1791" s="25"/>
      <c r="I1791" s="25"/>
      <c r="J1791" s="25"/>
      <c r="K1791" s="25"/>
      <c r="L1791" s="25"/>
      <c r="M1791" s="25"/>
      <c r="N1791" s="25"/>
      <c r="O1791" s="25"/>
      <c r="P1791" s="25"/>
      <c r="Q1791" s="25"/>
      <c r="R1791" s="25"/>
      <c r="S1791" s="151"/>
      <c r="T1791" s="151"/>
      <c r="U1791" s="151"/>
      <c r="V1791" s="73"/>
      <c r="W1791" s="28"/>
      <c r="X1791" s="24"/>
    </row>
    <row r="1792" spans="2:24">
      <c r="B1792" s="24"/>
      <c r="C1792" s="47"/>
      <c r="D1792" s="26"/>
      <c r="E1792" s="27"/>
      <c r="F1792" s="25"/>
      <c r="G1792" s="25"/>
      <c r="H1792" s="25"/>
      <c r="I1792" s="25"/>
      <c r="J1792" s="25"/>
      <c r="K1792" s="25"/>
      <c r="L1792" s="25"/>
      <c r="M1792" s="25"/>
      <c r="N1792" s="25"/>
      <c r="O1792" s="25"/>
      <c r="P1792" s="25"/>
      <c r="Q1792" s="25"/>
      <c r="R1792" s="25"/>
      <c r="S1792" s="151"/>
      <c r="T1792" s="151"/>
      <c r="U1792" s="151"/>
      <c r="V1792" s="73"/>
      <c r="W1792" s="28"/>
      <c r="X1792" s="24"/>
    </row>
    <row r="1793" spans="2:24">
      <c r="B1793" s="24"/>
      <c r="C1793" s="47"/>
      <c r="D1793" s="26"/>
      <c r="E1793" s="27"/>
      <c r="F1793" s="25"/>
      <c r="G1793" s="25"/>
      <c r="H1793" s="25"/>
      <c r="I1793" s="25"/>
      <c r="J1793" s="25"/>
      <c r="K1793" s="25"/>
      <c r="L1793" s="25"/>
      <c r="M1793" s="25"/>
      <c r="N1793" s="25"/>
      <c r="O1793" s="25"/>
      <c r="P1793" s="25"/>
      <c r="Q1793" s="25"/>
      <c r="R1793" s="25"/>
      <c r="S1793" s="151"/>
      <c r="T1793" s="151"/>
      <c r="U1793" s="151"/>
      <c r="V1793" s="73"/>
      <c r="W1793" s="28"/>
      <c r="X1793" s="24"/>
    </row>
    <row r="1794" spans="2:24">
      <c r="B1794" s="24"/>
      <c r="C1794" s="47"/>
      <c r="D1794" s="26"/>
      <c r="E1794" s="27"/>
      <c r="F1794" s="25"/>
      <c r="G1794" s="25"/>
      <c r="H1794" s="25"/>
      <c r="I1794" s="25"/>
      <c r="J1794" s="25"/>
      <c r="K1794" s="25"/>
      <c r="L1794" s="25"/>
      <c r="M1794" s="25"/>
      <c r="N1794" s="25"/>
      <c r="O1794" s="25"/>
      <c r="P1794" s="25"/>
      <c r="Q1794" s="25"/>
      <c r="R1794" s="25"/>
      <c r="S1794" s="151"/>
      <c r="T1794" s="151"/>
      <c r="U1794" s="151"/>
      <c r="V1794" s="73"/>
      <c r="W1794" s="28"/>
      <c r="X1794" s="24"/>
    </row>
    <row r="1795" spans="2:24">
      <c r="B1795" s="24"/>
      <c r="C1795" s="47"/>
      <c r="D1795" s="26"/>
      <c r="E1795" s="27"/>
      <c r="F1795" s="25"/>
      <c r="G1795" s="25"/>
      <c r="H1795" s="25"/>
      <c r="I1795" s="25"/>
      <c r="J1795" s="25"/>
      <c r="K1795" s="25"/>
      <c r="L1795" s="25"/>
      <c r="M1795" s="25"/>
      <c r="N1795" s="25"/>
      <c r="O1795" s="25"/>
      <c r="P1795" s="25"/>
      <c r="Q1795" s="25"/>
      <c r="R1795" s="25"/>
      <c r="S1795" s="151"/>
      <c r="T1795" s="151"/>
      <c r="U1795" s="151"/>
      <c r="V1795" s="73"/>
      <c r="W1795" s="28"/>
      <c r="X1795" s="24"/>
    </row>
    <row r="1796" spans="2:24">
      <c r="B1796" s="24"/>
      <c r="C1796" s="47"/>
      <c r="D1796" s="26"/>
      <c r="E1796" s="27"/>
      <c r="F1796" s="25"/>
      <c r="G1796" s="25"/>
      <c r="H1796" s="25"/>
      <c r="I1796" s="25"/>
      <c r="J1796" s="25"/>
      <c r="K1796" s="25"/>
      <c r="L1796" s="25"/>
      <c r="M1796" s="25"/>
      <c r="N1796" s="25"/>
      <c r="O1796" s="25"/>
      <c r="P1796" s="25"/>
      <c r="Q1796" s="25"/>
      <c r="R1796" s="25"/>
      <c r="S1796" s="151"/>
      <c r="T1796" s="151"/>
      <c r="U1796" s="151"/>
      <c r="V1796" s="73"/>
      <c r="W1796" s="28"/>
      <c r="X1796" s="24"/>
    </row>
    <row r="1797" spans="2:24">
      <c r="B1797" s="24"/>
      <c r="C1797" s="47"/>
      <c r="D1797" s="26"/>
      <c r="E1797" s="27"/>
      <c r="F1797" s="25"/>
      <c r="G1797" s="25"/>
      <c r="H1797" s="25"/>
      <c r="I1797" s="25"/>
      <c r="J1797" s="25"/>
      <c r="K1797" s="25"/>
      <c r="L1797" s="25"/>
      <c r="M1797" s="25"/>
      <c r="N1797" s="25"/>
      <c r="O1797" s="25"/>
      <c r="P1797" s="25"/>
      <c r="Q1797" s="25"/>
      <c r="R1797" s="25"/>
      <c r="S1797" s="151"/>
      <c r="T1797" s="151"/>
      <c r="U1797" s="151"/>
      <c r="V1797" s="73"/>
      <c r="W1797" s="28"/>
      <c r="X1797" s="24"/>
    </row>
    <row r="1798" spans="2:24">
      <c r="B1798" s="24"/>
      <c r="C1798" s="47"/>
      <c r="D1798" s="26"/>
      <c r="E1798" s="27"/>
      <c r="F1798" s="25"/>
      <c r="G1798" s="25"/>
      <c r="H1798" s="25"/>
      <c r="I1798" s="25"/>
      <c r="J1798" s="25"/>
      <c r="K1798" s="25"/>
      <c r="L1798" s="25"/>
      <c r="M1798" s="25"/>
      <c r="N1798" s="25"/>
      <c r="O1798" s="25"/>
      <c r="P1798" s="25"/>
      <c r="Q1798" s="25"/>
      <c r="R1798" s="25"/>
      <c r="S1798" s="151"/>
      <c r="T1798" s="151"/>
      <c r="U1798" s="151"/>
      <c r="V1798" s="73"/>
      <c r="W1798" s="28"/>
      <c r="X1798" s="24"/>
    </row>
    <row r="1799" spans="2:24">
      <c r="B1799" s="24"/>
      <c r="C1799" s="47"/>
      <c r="D1799" s="26"/>
      <c r="E1799" s="27"/>
      <c r="F1799" s="25"/>
      <c r="G1799" s="25"/>
      <c r="H1799" s="25"/>
      <c r="I1799" s="25"/>
      <c r="J1799" s="25"/>
      <c r="K1799" s="25"/>
      <c r="L1799" s="25"/>
      <c r="M1799" s="25"/>
      <c r="N1799" s="25"/>
      <c r="O1799" s="25"/>
      <c r="P1799" s="25"/>
      <c r="Q1799" s="25"/>
      <c r="R1799" s="25"/>
      <c r="S1799" s="151"/>
      <c r="T1799" s="151"/>
      <c r="U1799" s="151"/>
      <c r="V1799" s="73"/>
      <c r="W1799" s="28"/>
      <c r="X1799" s="24"/>
    </row>
    <row r="1800" spans="2:24">
      <c r="B1800" s="24"/>
      <c r="C1800" s="47"/>
      <c r="D1800" s="26"/>
      <c r="E1800" s="27"/>
      <c r="F1800" s="25"/>
      <c r="G1800" s="25"/>
      <c r="H1800" s="25"/>
      <c r="I1800" s="25"/>
      <c r="J1800" s="25"/>
      <c r="K1800" s="25"/>
      <c r="L1800" s="25"/>
      <c r="M1800" s="25"/>
      <c r="N1800" s="25"/>
      <c r="O1800" s="25"/>
      <c r="P1800" s="25"/>
      <c r="Q1800" s="25"/>
      <c r="R1800" s="25"/>
      <c r="S1800" s="151"/>
      <c r="T1800" s="151"/>
      <c r="U1800" s="151"/>
      <c r="V1800" s="73"/>
      <c r="W1800" s="28"/>
      <c r="X1800" s="24"/>
    </row>
    <row r="1801" spans="2:24">
      <c r="B1801" s="24"/>
      <c r="C1801" s="47"/>
      <c r="D1801" s="26"/>
      <c r="E1801" s="27"/>
      <c r="F1801" s="25"/>
      <c r="G1801" s="25"/>
      <c r="H1801" s="25"/>
      <c r="I1801" s="25"/>
      <c r="J1801" s="25"/>
      <c r="K1801" s="25"/>
      <c r="L1801" s="25"/>
      <c r="M1801" s="25"/>
      <c r="N1801" s="25"/>
      <c r="O1801" s="25"/>
      <c r="P1801" s="25"/>
      <c r="Q1801" s="25"/>
      <c r="R1801" s="25"/>
      <c r="S1801" s="151"/>
      <c r="T1801" s="151"/>
      <c r="U1801" s="151"/>
      <c r="V1801" s="73"/>
      <c r="W1801" s="28"/>
      <c r="X1801" s="24"/>
    </row>
    <row r="1802" spans="2:24">
      <c r="B1802" s="24"/>
      <c r="C1802" s="47"/>
      <c r="D1802" s="26"/>
      <c r="E1802" s="27"/>
      <c r="F1802" s="25"/>
      <c r="G1802" s="25"/>
      <c r="H1802" s="25"/>
      <c r="I1802" s="25"/>
      <c r="J1802" s="25"/>
      <c r="K1802" s="25"/>
      <c r="L1802" s="25"/>
      <c r="M1802" s="25"/>
      <c r="N1802" s="25"/>
      <c r="O1802" s="25"/>
      <c r="P1802" s="25"/>
      <c r="Q1802" s="25"/>
      <c r="R1802" s="25"/>
      <c r="S1802" s="151"/>
      <c r="T1802" s="151"/>
      <c r="U1802" s="151"/>
      <c r="V1802" s="73"/>
      <c r="W1802" s="28"/>
      <c r="X1802" s="24"/>
    </row>
    <row r="1803" spans="2:24">
      <c r="B1803" s="24"/>
      <c r="C1803" s="47"/>
      <c r="D1803" s="26"/>
      <c r="E1803" s="27"/>
      <c r="F1803" s="25"/>
      <c r="G1803" s="25"/>
      <c r="H1803" s="25"/>
      <c r="I1803" s="25"/>
      <c r="J1803" s="25"/>
      <c r="K1803" s="25"/>
      <c r="L1803" s="25"/>
      <c r="M1803" s="25"/>
      <c r="N1803" s="25"/>
      <c r="O1803" s="25"/>
      <c r="P1803" s="25"/>
      <c r="Q1803" s="25"/>
      <c r="R1803" s="25"/>
      <c r="S1803" s="151"/>
      <c r="T1803" s="151"/>
      <c r="U1803" s="151"/>
      <c r="V1803" s="73"/>
      <c r="W1803" s="28"/>
      <c r="X1803" s="24"/>
    </row>
    <row r="1804" spans="2:24">
      <c r="B1804" s="24"/>
      <c r="C1804" s="47"/>
      <c r="D1804" s="26"/>
      <c r="E1804" s="27"/>
      <c r="F1804" s="25"/>
      <c r="G1804" s="25"/>
      <c r="H1804" s="25"/>
      <c r="I1804" s="25"/>
      <c r="J1804" s="25"/>
      <c r="K1804" s="25"/>
      <c r="L1804" s="25"/>
      <c r="M1804" s="25"/>
      <c r="N1804" s="25"/>
      <c r="O1804" s="25"/>
      <c r="P1804" s="25"/>
      <c r="Q1804" s="25"/>
      <c r="R1804" s="25"/>
      <c r="S1804" s="151"/>
      <c r="T1804" s="151"/>
      <c r="U1804" s="151"/>
      <c r="V1804" s="73"/>
      <c r="W1804" s="28"/>
      <c r="X1804" s="24"/>
    </row>
    <row r="1805" spans="2:24">
      <c r="B1805" s="24"/>
      <c r="C1805" s="47"/>
      <c r="D1805" s="26"/>
      <c r="E1805" s="27"/>
      <c r="F1805" s="25"/>
      <c r="G1805" s="25"/>
      <c r="H1805" s="25"/>
      <c r="I1805" s="25"/>
      <c r="J1805" s="25"/>
      <c r="K1805" s="25"/>
      <c r="L1805" s="25"/>
      <c r="M1805" s="25"/>
      <c r="N1805" s="25"/>
      <c r="O1805" s="25"/>
      <c r="P1805" s="25"/>
      <c r="Q1805" s="25"/>
      <c r="R1805" s="25"/>
      <c r="S1805" s="151"/>
      <c r="T1805" s="151"/>
      <c r="U1805" s="151"/>
      <c r="V1805" s="73"/>
      <c r="W1805" s="28"/>
      <c r="X1805" s="24"/>
    </row>
    <row r="1806" spans="2:24">
      <c r="B1806" s="24"/>
      <c r="C1806" s="47"/>
      <c r="D1806" s="26"/>
      <c r="E1806" s="27"/>
      <c r="F1806" s="25"/>
      <c r="G1806" s="25"/>
      <c r="H1806" s="25"/>
      <c r="I1806" s="25"/>
      <c r="J1806" s="25"/>
      <c r="K1806" s="25"/>
      <c r="L1806" s="25"/>
      <c r="M1806" s="25"/>
      <c r="N1806" s="25"/>
      <c r="O1806" s="25"/>
      <c r="P1806" s="25"/>
      <c r="Q1806" s="25"/>
      <c r="R1806" s="25"/>
      <c r="S1806" s="151"/>
      <c r="T1806" s="151"/>
      <c r="U1806" s="151"/>
      <c r="V1806" s="73"/>
      <c r="W1806" s="28"/>
      <c r="X1806" s="24"/>
    </row>
    <row r="1807" spans="2:24">
      <c r="B1807" s="24"/>
      <c r="C1807" s="47"/>
      <c r="D1807" s="26"/>
      <c r="E1807" s="27"/>
      <c r="F1807" s="25"/>
      <c r="G1807" s="25"/>
      <c r="H1807" s="25"/>
      <c r="I1807" s="25"/>
      <c r="J1807" s="25"/>
      <c r="K1807" s="25"/>
      <c r="L1807" s="25"/>
      <c r="M1807" s="25"/>
      <c r="N1807" s="25"/>
      <c r="O1807" s="25"/>
      <c r="P1807" s="25"/>
      <c r="Q1807" s="25"/>
      <c r="R1807" s="25"/>
      <c r="S1807" s="151"/>
      <c r="T1807" s="151"/>
      <c r="U1807" s="151"/>
      <c r="V1807" s="73"/>
      <c r="W1807" s="28"/>
      <c r="X1807" s="24"/>
    </row>
    <row r="1808" spans="2:24">
      <c r="B1808" s="24"/>
      <c r="C1808" s="47"/>
      <c r="D1808" s="26"/>
      <c r="E1808" s="27"/>
      <c r="F1808" s="25"/>
      <c r="G1808" s="25"/>
      <c r="H1808" s="25"/>
      <c r="I1808" s="25"/>
      <c r="J1808" s="25"/>
      <c r="K1808" s="25"/>
      <c r="L1808" s="25"/>
      <c r="M1808" s="25"/>
      <c r="N1808" s="25"/>
      <c r="O1808" s="25"/>
      <c r="P1808" s="25"/>
      <c r="Q1808" s="25"/>
      <c r="R1808" s="25"/>
      <c r="S1808" s="151"/>
      <c r="T1808" s="151"/>
      <c r="U1808" s="151"/>
      <c r="V1808" s="73"/>
      <c r="W1808" s="28"/>
      <c r="X1808" s="24"/>
    </row>
    <row r="1809" spans="2:24">
      <c r="B1809" s="24"/>
      <c r="C1809" s="47"/>
      <c r="D1809" s="26"/>
      <c r="E1809" s="27"/>
      <c r="F1809" s="25"/>
      <c r="G1809" s="25"/>
      <c r="H1809" s="25"/>
      <c r="I1809" s="25"/>
      <c r="J1809" s="25"/>
      <c r="K1809" s="25"/>
      <c r="L1809" s="25"/>
      <c r="M1809" s="25"/>
      <c r="N1809" s="25"/>
      <c r="O1809" s="25"/>
      <c r="P1809" s="25"/>
      <c r="Q1809" s="25"/>
      <c r="R1809" s="25"/>
      <c r="S1809" s="151"/>
      <c r="T1809" s="151"/>
      <c r="U1809" s="151"/>
      <c r="V1809" s="73"/>
      <c r="W1809" s="28"/>
      <c r="X1809" s="24"/>
    </row>
    <row r="1810" spans="2:24">
      <c r="B1810" s="24"/>
      <c r="C1810" s="47"/>
      <c r="D1810" s="26"/>
      <c r="E1810" s="27"/>
      <c r="F1810" s="25"/>
      <c r="G1810" s="25"/>
      <c r="H1810" s="25"/>
      <c r="I1810" s="25"/>
      <c r="J1810" s="25"/>
      <c r="K1810" s="25"/>
      <c r="L1810" s="25"/>
      <c r="M1810" s="25"/>
      <c r="N1810" s="25"/>
      <c r="O1810" s="25"/>
      <c r="P1810" s="25"/>
      <c r="Q1810" s="25"/>
      <c r="R1810" s="25"/>
      <c r="S1810" s="151"/>
      <c r="T1810" s="151"/>
      <c r="U1810" s="151"/>
      <c r="V1810" s="73"/>
      <c r="W1810" s="28"/>
      <c r="X1810" s="24"/>
    </row>
    <row r="1811" spans="2:24">
      <c r="B1811" s="24"/>
      <c r="C1811" s="47"/>
      <c r="D1811" s="26"/>
      <c r="E1811" s="27"/>
      <c r="F1811" s="25"/>
      <c r="G1811" s="25"/>
      <c r="H1811" s="25"/>
      <c r="I1811" s="25"/>
      <c r="J1811" s="25"/>
      <c r="K1811" s="25"/>
      <c r="L1811" s="25"/>
      <c r="M1811" s="25"/>
      <c r="N1811" s="25"/>
      <c r="O1811" s="25"/>
      <c r="P1811" s="25"/>
      <c r="Q1811" s="25"/>
      <c r="R1811" s="25"/>
      <c r="S1811" s="151"/>
      <c r="T1811" s="151"/>
      <c r="U1811" s="151"/>
      <c r="V1811" s="73"/>
      <c r="W1811" s="28"/>
      <c r="X1811" s="24"/>
    </row>
    <row r="1812" spans="2:24">
      <c r="B1812" s="24"/>
      <c r="C1812" s="47"/>
      <c r="D1812" s="26"/>
      <c r="E1812" s="27"/>
      <c r="F1812" s="25"/>
      <c r="G1812" s="25"/>
      <c r="H1812" s="25"/>
      <c r="I1812" s="25"/>
      <c r="J1812" s="25"/>
      <c r="K1812" s="25"/>
      <c r="L1812" s="25"/>
      <c r="M1812" s="25"/>
      <c r="N1812" s="25"/>
      <c r="O1812" s="25"/>
      <c r="P1812" s="25"/>
      <c r="Q1812" s="25"/>
      <c r="R1812" s="25"/>
      <c r="S1812" s="151"/>
      <c r="T1812" s="151"/>
      <c r="U1812" s="151"/>
      <c r="V1812" s="73"/>
      <c r="W1812" s="28"/>
      <c r="X1812" s="24"/>
    </row>
    <row r="1813" spans="2:24">
      <c r="B1813" s="24"/>
      <c r="C1813" s="47"/>
      <c r="D1813" s="26"/>
      <c r="E1813" s="27"/>
      <c r="F1813" s="25"/>
      <c r="G1813" s="25"/>
      <c r="H1813" s="25"/>
      <c r="I1813" s="25"/>
      <c r="J1813" s="25"/>
      <c r="K1813" s="25"/>
      <c r="L1813" s="25"/>
      <c r="M1813" s="25"/>
      <c r="N1813" s="25"/>
      <c r="O1813" s="25"/>
      <c r="P1813" s="25"/>
      <c r="Q1813" s="25"/>
      <c r="R1813" s="25"/>
      <c r="S1813" s="151"/>
      <c r="T1813" s="151"/>
      <c r="U1813" s="151"/>
      <c r="V1813" s="73"/>
      <c r="W1813" s="28"/>
      <c r="X1813" s="24"/>
    </row>
    <row r="1814" spans="2:24">
      <c r="B1814" s="24"/>
      <c r="C1814" s="47"/>
      <c r="D1814" s="26"/>
      <c r="E1814" s="27"/>
      <c r="F1814" s="25"/>
      <c r="G1814" s="25"/>
      <c r="H1814" s="25"/>
      <c r="I1814" s="25"/>
      <c r="J1814" s="25"/>
      <c r="K1814" s="25"/>
      <c r="L1814" s="25"/>
      <c r="M1814" s="25"/>
      <c r="N1814" s="25"/>
      <c r="O1814" s="25"/>
      <c r="P1814" s="25"/>
      <c r="Q1814" s="25"/>
      <c r="R1814" s="25"/>
      <c r="S1814" s="151"/>
      <c r="T1814" s="151"/>
      <c r="U1814" s="151"/>
      <c r="V1814" s="73"/>
      <c r="W1814" s="28"/>
      <c r="X1814" s="24"/>
    </row>
    <row r="1815" spans="2:24">
      <c r="B1815" s="24"/>
      <c r="C1815" s="47"/>
      <c r="D1815" s="26"/>
      <c r="E1815" s="27"/>
      <c r="F1815" s="25"/>
      <c r="G1815" s="25"/>
      <c r="H1815" s="25"/>
      <c r="I1815" s="25"/>
      <c r="J1815" s="25"/>
      <c r="K1815" s="25"/>
      <c r="L1815" s="25"/>
      <c r="M1815" s="25"/>
      <c r="N1815" s="25"/>
      <c r="O1815" s="25"/>
      <c r="P1815" s="25"/>
      <c r="Q1815" s="25"/>
      <c r="R1815" s="25"/>
      <c r="S1815" s="151"/>
      <c r="T1815" s="151"/>
      <c r="U1815" s="151"/>
      <c r="V1815" s="73"/>
      <c r="W1815" s="28"/>
      <c r="X1815" s="24"/>
    </row>
    <row r="1816" spans="2:24">
      <c r="B1816" s="24"/>
      <c r="C1816" s="47"/>
      <c r="D1816" s="26"/>
      <c r="E1816" s="27"/>
      <c r="F1816" s="25"/>
      <c r="G1816" s="25"/>
      <c r="H1816" s="25"/>
      <c r="I1816" s="25"/>
      <c r="J1816" s="25"/>
      <c r="K1816" s="25"/>
      <c r="L1816" s="25"/>
      <c r="M1816" s="25"/>
      <c r="N1816" s="25"/>
      <c r="O1816" s="25"/>
      <c r="P1816" s="25"/>
      <c r="Q1816" s="25"/>
      <c r="R1816" s="25"/>
      <c r="S1816" s="151"/>
      <c r="T1816" s="151"/>
      <c r="U1816" s="151"/>
      <c r="V1816" s="73"/>
      <c r="W1816" s="28"/>
      <c r="X1816" s="24"/>
    </row>
    <row r="1817" spans="2:24">
      <c r="B1817" s="24"/>
      <c r="C1817" s="47"/>
      <c r="D1817" s="26"/>
      <c r="E1817" s="27"/>
      <c r="F1817" s="25"/>
      <c r="G1817" s="25"/>
      <c r="H1817" s="25"/>
      <c r="I1817" s="25"/>
      <c r="J1817" s="25"/>
      <c r="K1817" s="25"/>
      <c r="L1817" s="25"/>
      <c r="M1817" s="25"/>
      <c r="N1817" s="25"/>
      <c r="O1817" s="25"/>
      <c r="P1817" s="25"/>
      <c r="Q1817" s="25"/>
      <c r="R1817" s="25"/>
      <c r="S1817" s="151"/>
      <c r="T1817" s="151"/>
      <c r="U1817" s="151"/>
      <c r="V1817" s="73"/>
      <c r="W1817" s="28"/>
      <c r="X1817" s="24"/>
    </row>
    <row r="1818" spans="2:24">
      <c r="B1818" s="24"/>
      <c r="C1818" s="47"/>
      <c r="D1818" s="26"/>
      <c r="E1818" s="27"/>
      <c r="F1818" s="25"/>
      <c r="G1818" s="25"/>
      <c r="H1818" s="25"/>
      <c r="I1818" s="25"/>
      <c r="J1818" s="25"/>
      <c r="K1818" s="25"/>
      <c r="L1818" s="25"/>
      <c r="M1818" s="25"/>
      <c r="N1818" s="25"/>
      <c r="O1818" s="25"/>
      <c r="P1818" s="25"/>
      <c r="Q1818" s="25"/>
      <c r="R1818" s="25"/>
      <c r="S1818" s="151"/>
      <c r="T1818" s="151"/>
      <c r="U1818" s="151"/>
      <c r="V1818" s="73"/>
      <c r="W1818" s="28"/>
      <c r="X1818" s="24"/>
    </row>
    <row r="1819" spans="2:24">
      <c r="B1819" s="24"/>
      <c r="C1819" s="47"/>
      <c r="D1819" s="26"/>
      <c r="E1819" s="27"/>
      <c r="F1819" s="25"/>
      <c r="G1819" s="25"/>
      <c r="H1819" s="25"/>
      <c r="I1819" s="25"/>
      <c r="J1819" s="25"/>
      <c r="K1819" s="25"/>
      <c r="L1819" s="25"/>
      <c r="M1819" s="25"/>
      <c r="N1819" s="25"/>
      <c r="O1819" s="25"/>
      <c r="P1819" s="25"/>
      <c r="Q1819" s="25"/>
      <c r="R1819" s="25"/>
      <c r="S1819" s="151"/>
      <c r="T1819" s="151"/>
      <c r="U1819" s="151"/>
      <c r="V1819" s="73"/>
      <c r="W1819" s="28"/>
      <c r="X1819" s="24"/>
    </row>
    <row r="1820" spans="2:24">
      <c r="B1820" s="24"/>
      <c r="C1820" s="47"/>
      <c r="D1820" s="26"/>
      <c r="E1820" s="27"/>
      <c r="F1820" s="25"/>
      <c r="G1820" s="25"/>
      <c r="H1820" s="25"/>
      <c r="I1820" s="25"/>
      <c r="J1820" s="25"/>
      <c r="K1820" s="25"/>
      <c r="L1820" s="25"/>
      <c r="M1820" s="25"/>
      <c r="N1820" s="25"/>
      <c r="O1820" s="25"/>
      <c r="P1820" s="25"/>
      <c r="Q1820" s="25"/>
      <c r="R1820" s="25"/>
      <c r="S1820" s="151"/>
      <c r="T1820" s="151"/>
      <c r="U1820" s="151"/>
      <c r="V1820" s="73"/>
      <c r="W1820" s="28"/>
      <c r="X1820" s="24"/>
    </row>
    <row r="1821" spans="2:24">
      <c r="B1821" s="24"/>
      <c r="C1821" s="47"/>
      <c r="D1821" s="26"/>
      <c r="E1821" s="27"/>
      <c r="F1821" s="25"/>
      <c r="G1821" s="25"/>
      <c r="H1821" s="25"/>
      <c r="I1821" s="25"/>
      <c r="J1821" s="25"/>
      <c r="K1821" s="25"/>
      <c r="L1821" s="25"/>
      <c r="M1821" s="25"/>
      <c r="N1821" s="25"/>
      <c r="O1821" s="25"/>
      <c r="P1821" s="25"/>
      <c r="Q1821" s="25"/>
      <c r="R1821" s="25"/>
      <c r="S1821" s="151"/>
      <c r="T1821" s="151"/>
      <c r="U1821" s="151"/>
      <c r="V1821" s="73"/>
      <c r="W1821" s="28"/>
      <c r="X1821" s="24"/>
    </row>
    <row r="1822" spans="2:24">
      <c r="B1822" s="24"/>
      <c r="C1822" s="47"/>
      <c r="D1822" s="26"/>
      <c r="E1822" s="27"/>
      <c r="F1822" s="25"/>
      <c r="G1822" s="25"/>
      <c r="H1822" s="25"/>
      <c r="I1822" s="25"/>
      <c r="J1822" s="25"/>
      <c r="K1822" s="25"/>
      <c r="L1822" s="25"/>
      <c r="M1822" s="25"/>
      <c r="N1822" s="25"/>
      <c r="O1822" s="25"/>
      <c r="P1822" s="25"/>
      <c r="Q1822" s="25"/>
      <c r="R1822" s="25"/>
      <c r="S1822" s="151"/>
      <c r="T1822" s="151"/>
      <c r="U1822" s="151"/>
      <c r="V1822" s="73"/>
      <c r="W1822" s="28"/>
      <c r="X1822" s="24"/>
    </row>
    <row r="1823" spans="2:24">
      <c r="B1823" s="24"/>
      <c r="C1823" s="47"/>
      <c r="D1823" s="26"/>
      <c r="E1823" s="27"/>
      <c r="F1823" s="25"/>
      <c r="G1823" s="25"/>
      <c r="H1823" s="25"/>
      <c r="I1823" s="25"/>
      <c r="J1823" s="25"/>
      <c r="K1823" s="25"/>
      <c r="L1823" s="25"/>
      <c r="M1823" s="25"/>
      <c r="N1823" s="25"/>
      <c r="O1823" s="25"/>
      <c r="P1823" s="25"/>
      <c r="Q1823" s="25"/>
      <c r="R1823" s="25"/>
      <c r="S1823" s="151"/>
      <c r="T1823" s="151"/>
      <c r="U1823" s="151"/>
      <c r="V1823" s="73"/>
      <c r="W1823" s="28"/>
      <c r="X1823" s="24"/>
    </row>
    <row r="1824" spans="2:24">
      <c r="B1824" s="24"/>
      <c r="C1824" s="47"/>
      <c r="D1824" s="26"/>
      <c r="E1824" s="27"/>
      <c r="F1824" s="25"/>
      <c r="G1824" s="25"/>
      <c r="H1824" s="25"/>
      <c r="I1824" s="25"/>
      <c r="J1824" s="25"/>
      <c r="K1824" s="25"/>
      <c r="L1824" s="25"/>
      <c r="M1824" s="25"/>
      <c r="N1824" s="25"/>
      <c r="O1824" s="25"/>
      <c r="P1824" s="25"/>
      <c r="Q1824" s="25"/>
      <c r="R1824" s="25"/>
      <c r="S1824" s="151"/>
      <c r="T1824" s="151"/>
      <c r="U1824" s="151"/>
      <c r="V1824" s="73"/>
      <c r="W1824" s="28"/>
      <c r="X1824" s="24"/>
    </row>
    <row r="1825" spans="2:24">
      <c r="B1825" s="24"/>
      <c r="C1825" s="47"/>
      <c r="D1825" s="26"/>
      <c r="E1825" s="27"/>
      <c r="F1825" s="25"/>
      <c r="G1825" s="25"/>
      <c r="H1825" s="25"/>
      <c r="I1825" s="25"/>
      <c r="J1825" s="25"/>
      <c r="K1825" s="25"/>
      <c r="L1825" s="25"/>
      <c r="M1825" s="25"/>
      <c r="N1825" s="25"/>
      <c r="O1825" s="25"/>
      <c r="P1825" s="25"/>
      <c r="Q1825" s="25"/>
      <c r="R1825" s="25"/>
      <c r="S1825" s="151"/>
      <c r="T1825" s="151"/>
      <c r="U1825" s="151"/>
      <c r="V1825" s="73"/>
      <c r="W1825" s="28"/>
      <c r="X1825" s="24"/>
    </row>
    <row r="1826" spans="2:24">
      <c r="B1826" s="24"/>
      <c r="C1826" s="47"/>
      <c r="D1826" s="26"/>
      <c r="E1826" s="27"/>
      <c r="F1826" s="25"/>
      <c r="G1826" s="25"/>
      <c r="H1826" s="25"/>
      <c r="I1826" s="25"/>
      <c r="J1826" s="25"/>
      <c r="K1826" s="25"/>
      <c r="L1826" s="25"/>
      <c r="M1826" s="25"/>
      <c r="N1826" s="25"/>
      <c r="O1826" s="25"/>
      <c r="P1826" s="25"/>
      <c r="Q1826" s="25"/>
      <c r="R1826" s="25"/>
      <c r="S1826" s="151"/>
      <c r="T1826" s="151"/>
      <c r="U1826" s="151"/>
      <c r="V1826" s="73"/>
      <c r="W1826" s="28"/>
      <c r="X1826" s="24"/>
    </row>
    <row r="1827" spans="2:24">
      <c r="B1827" s="24"/>
      <c r="C1827" s="47"/>
      <c r="D1827" s="26"/>
      <c r="E1827" s="27"/>
      <c r="F1827" s="25"/>
      <c r="G1827" s="25"/>
      <c r="H1827" s="25"/>
      <c r="I1827" s="25"/>
      <c r="J1827" s="25"/>
      <c r="K1827" s="25"/>
      <c r="L1827" s="25"/>
      <c r="M1827" s="25"/>
      <c r="N1827" s="25"/>
      <c r="O1827" s="25"/>
      <c r="P1827" s="25"/>
      <c r="Q1827" s="25"/>
      <c r="R1827" s="25"/>
      <c r="S1827" s="151"/>
      <c r="T1827" s="151"/>
      <c r="U1827" s="151"/>
      <c r="V1827" s="73"/>
      <c r="W1827" s="28"/>
      <c r="X1827" s="24"/>
    </row>
    <row r="1828" spans="2:24">
      <c r="B1828" s="24"/>
      <c r="C1828" s="47"/>
      <c r="D1828" s="26"/>
      <c r="E1828" s="27"/>
      <c r="F1828" s="25"/>
      <c r="G1828" s="25"/>
      <c r="H1828" s="25"/>
      <c r="I1828" s="25"/>
      <c r="J1828" s="25"/>
      <c r="K1828" s="25"/>
      <c r="L1828" s="25"/>
      <c r="M1828" s="25"/>
      <c r="N1828" s="25"/>
      <c r="O1828" s="25"/>
      <c r="P1828" s="25"/>
      <c r="Q1828" s="25"/>
      <c r="R1828" s="25"/>
      <c r="S1828" s="151"/>
      <c r="T1828" s="151"/>
      <c r="U1828" s="151"/>
      <c r="V1828" s="73"/>
      <c r="W1828" s="28"/>
      <c r="X1828" s="24"/>
    </row>
    <row r="1829" spans="2:24">
      <c r="B1829" s="24"/>
      <c r="C1829" s="47"/>
      <c r="D1829" s="26"/>
      <c r="E1829" s="27"/>
      <c r="F1829" s="25"/>
      <c r="G1829" s="25"/>
      <c r="H1829" s="25"/>
      <c r="I1829" s="25"/>
      <c r="J1829" s="25"/>
      <c r="K1829" s="25"/>
      <c r="L1829" s="25"/>
      <c r="M1829" s="25"/>
      <c r="N1829" s="25"/>
      <c r="O1829" s="25"/>
      <c r="P1829" s="25"/>
      <c r="Q1829" s="25"/>
      <c r="R1829" s="25"/>
      <c r="S1829" s="151"/>
      <c r="T1829" s="151"/>
      <c r="U1829" s="151"/>
      <c r="V1829" s="73"/>
      <c r="W1829" s="28"/>
      <c r="X1829" s="24"/>
    </row>
    <row r="1830" spans="2:24">
      <c r="B1830" s="24"/>
      <c r="C1830" s="47"/>
      <c r="D1830" s="26"/>
      <c r="E1830" s="27"/>
      <c r="F1830" s="25"/>
      <c r="G1830" s="25"/>
      <c r="H1830" s="25"/>
      <c r="I1830" s="25"/>
      <c r="J1830" s="25"/>
      <c r="K1830" s="25"/>
      <c r="L1830" s="25"/>
      <c r="M1830" s="25"/>
      <c r="N1830" s="25"/>
      <c r="O1830" s="25"/>
      <c r="P1830" s="25"/>
      <c r="Q1830" s="25"/>
      <c r="R1830" s="25"/>
      <c r="S1830" s="151"/>
      <c r="T1830" s="151"/>
      <c r="U1830" s="151"/>
      <c r="V1830" s="73"/>
      <c r="W1830" s="28"/>
      <c r="X1830" s="24"/>
    </row>
    <row r="1831" spans="2:24">
      <c r="B1831" s="24"/>
      <c r="C1831" s="47"/>
      <c r="D1831" s="26"/>
      <c r="E1831" s="27"/>
      <c r="F1831" s="25"/>
      <c r="G1831" s="25"/>
      <c r="H1831" s="25"/>
      <c r="I1831" s="25"/>
      <c r="J1831" s="25"/>
      <c r="K1831" s="25"/>
      <c r="L1831" s="25"/>
      <c r="M1831" s="25"/>
      <c r="N1831" s="25"/>
      <c r="O1831" s="25"/>
      <c r="P1831" s="25"/>
      <c r="Q1831" s="25"/>
      <c r="R1831" s="25"/>
      <c r="S1831" s="151"/>
      <c r="T1831" s="151"/>
      <c r="U1831" s="151"/>
      <c r="V1831" s="73"/>
      <c r="W1831" s="28"/>
      <c r="X1831" s="24"/>
    </row>
    <row r="1832" spans="2:24">
      <c r="B1832" s="24"/>
      <c r="C1832" s="47"/>
      <c r="D1832" s="26"/>
      <c r="E1832" s="27"/>
      <c r="F1832" s="25"/>
      <c r="G1832" s="25"/>
      <c r="H1832" s="25"/>
      <c r="I1832" s="25"/>
      <c r="J1832" s="25"/>
      <c r="K1832" s="25"/>
      <c r="L1832" s="25"/>
      <c r="M1832" s="25"/>
      <c r="N1832" s="25"/>
      <c r="O1832" s="25"/>
      <c r="P1832" s="25"/>
      <c r="Q1832" s="25"/>
      <c r="R1832" s="25"/>
      <c r="S1832" s="151"/>
      <c r="T1832" s="151"/>
      <c r="U1832" s="151"/>
      <c r="V1832" s="73"/>
      <c r="W1832" s="28"/>
      <c r="X1832" s="24"/>
    </row>
    <row r="1833" spans="2:24">
      <c r="B1833" s="24"/>
      <c r="C1833" s="47"/>
      <c r="D1833" s="26"/>
      <c r="E1833" s="27"/>
      <c r="F1833" s="25"/>
      <c r="G1833" s="25"/>
      <c r="H1833" s="25"/>
      <c r="I1833" s="25"/>
      <c r="J1833" s="25"/>
      <c r="K1833" s="25"/>
      <c r="L1833" s="25"/>
      <c r="M1833" s="25"/>
      <c r="N1833" s="25"/>
      <c r="O1833" s="25"/>
      <c r="P1833" s="25"/>
      <c r="Q1833" s="25"/>
      <c r="R1833" s="25"/>
      <c r="S1833" s="151"/>
      <c r="T1833" s="151"/>
      <c r="U1833" s="151"/>
      <c r="V1833" s="73"/>
      <c r="W1833" s="28"/>
      <c r="X1833" s="24"/>
    </row>
    <row r="1834" spans="2:24">
      <c r="B1834" s="24"/>
      <c r="C1834" s="47"/>
      <c r="D1834" s="26"/>
      <c r="E1834" s="27"/>
      <c r="F1834" s="25"/>
      <c r="G1834" s="25"/>
      <c r="H1834" s="25"/>
      <c r="I1834" s="25"/>
      <c r="J1834" s="25"/>
      <c r="K1834" s="25"/>
      <c r="L1834" s="25"/>
      <c r="M1834" s="25"/>
      <c r="N1834" s="25"/>
      <c r="O1834" s="25"/>
      <c r="P1834" s="25"/>
      <c r="Q1834" s="25"/>
      <c r="R1834" s="25"/>
      <c r="S1834" s="151"/>
      <c r="T1834" s="151"/>
      <c r="U1834" s="151"/>
      <c r="V1834" s="73"/>
      <c r="W1834" s="28"/>
      <c r="X1834" s="24"/>
    </row>
    <row r="1835" spans="2:24">
      <c r="B1835" s="24"/>
      <c r="C1835" s="47"/>
      <c r="D1835" s="26"/>
      <c r="E1835" s="27"/>
      <c r="F1835" s="25"/>
      <c r="G1835" s="25"/>
      <c r="H1835" s="25"/>
      <c r="I1835" s="25"/>
      <c r="J1835" s="25"/>
      <c r="K1835" s="25"/>
      <c r="L1835" s="25"/>
      <c r="M1835" s="25"/>
      <c r="N1835" s="25"/>
      <c r="O1835" s="25"/>
      <c r="P1835" s="25"/>
      <c r="Q1835" s="25"/>
      <c r="R1835" s="25"/>
      <c r="S1835" s="151"/>
      <c r="T1835" s="151"/>
      <c r="U1835" s="151"/>
      <c r="V1835" s="73"/>
      <c r="W1835" s="28"/>
      <c r="X1835" s="24"/>
    </row>
    <row r="1836" spans="2:24">
      <c r="B1836" s="24"/>
      <c r="C1836" s="47"/>
      <c r="D1836" s="26"/>
      <c r="E1836" s="27"/>
      <c r="F1836" s="25"/>
      <c r="G1836" s="25"/>
      <c r="H1836" s="25"/>
      <c r="I1836" s="25"/>
      <c r="J1836" s="25"/>
      <c r="K1836" s="25"/>
      <c r="L1836" s="25"/>
      <c r="M1836" s="25"/>
      <c r="N1836" s="25"/>
      <c r="O1836" s="25"/>
      <c r="P1836" s="25"/>
      <c r="Q1836" s="25"/>
      <c r="R1836" s="25"/>
      <c r="S1836" s="151"/>
      <c r="T1836" s="151"/>
      <c r="U1836" s="151"/>
      <c r="V1836" s="73"/>
      <c r="W1836" s="28"/>
      <c r="X1836" s="24"/>
    </row>
    <row r="1837" spans="2:24">
      <c r="B1837" s="24"/>
      <c r="C1837" s="47"/>
      <c r="D1837" s="26"/>
      <c r="E1837" s="27"/>
      <c r="F1837" s="25"/>
      <c r="G1837" s="25"/>
      <c r="H1837" s="25"/>
      <c r="I1837" s="25"/>
      <c r="J1837" s="25"/>
      <c r="K1837" s="25"/>
      <c r="L1837" s="25"/>
      <c r="M1837" s="25"/>
      <c r="N1837" s="25"/>
      <c r="O1837" s="25"/>
      <c r="P1837" s="25"/>
      <c r="Q1837" s="25"/>
      <c r="R1837" s="25"/>
      <c r="S1837" s="151"/>
      <c r="T1837" s="151"/>
      <c r="U1837" s="151"/>
      <c r="V1837" s="73"/>
      <c r="W1837" s="28"/>
      <c r="X1837" s="24"/>
    </row>
    <row r="1838" spans="2:24">
      <c r="B1838" s="24"/>
      <c r="C1838" s="47"/>
      <c r="D1838" s="26"/>
      <c r="E1838" s="27"/>
      <c r="F1838" s="25"/>
      <c r="G1838" s="25"/>
      <c r="H1838" s="25"/>
      <c r="I1838" s="25"/>
      <c r="J1838" s="25"/>
      <c r="K1838" s="25"/>
      <c r="L1838" s="25"/>
      <c r="M1838" s="25"/>
      <c r="N1838" s="25"/>
      <c r="O1838" s="25"/>
      <c r="P1838" s="25"/>
      <c r="Q1838" s="25"/>
      <c r="R1838" s="25"/>
      <c r="S1838" s="151"/>
      <c r="T1838" s="151"/>
      <c r="U1838" s="151"/>
      <c r="V1838" s="73"/>
      <c r="W1838" s="28"/>
      <c r="X1838" s="24"/>
    </row>
    <row r="1839" spans="2:24">
      <c r="B1839" s="24"/>
      <c r="C1839" s="47"/>
      <c r="D1839" s="26"/>
      <c r="E1839" s="27"/>
      <c r="F1839" s="25"/>
      <c r="G1839" s="25"/>
      <c r="H1839" s="25"/>
      <c r="I1839" s="25"/>
      <c r="J1839" s="25"/>
      <c r="K1839" s="25"/>
      <c r="L1839" s="25"/>
      <c r="M1839" s="25"/>
      <c r="N1839" s="25"/>
      <c r="O1839" s="25"/>
      <c r="P1839" s="25"/>
      <c r="Q1839" s="25"/>
      <c r="R1839" s="25"/>
      <c r="S1839" s="151"/>
      <c r="T1839" s="151"/>
      <c r="U1839" s="151"/>
      <c r="V1839" s="73"/>
      <c r="W1839" s="28"/>
      <c r="X1839" s="24"/>
    </row>
    <row r="1840" spans="2:24">
      <c r="B1840" s="24"/>
      <c r="C1840" s="47"/>
      <c r="D1840" s="26"/>
      <c r="E1840" s="27"/>
      <c r="F1840" s="25"/>
      <c r="G1840" s="25"/>
      <c r="H1840" s="25"/>
      <c r="I1840" s="25"/>
      <c r="J1840" s="25"/>
      <c r="K1840" s="25"/>
      <c r="L1840" s="25"/>
      <c r="M1840" s="25"/>
      <c r="N1840" s="25"/>
      <c r="O1840" s="25"/>
      <c r="P1840" s="25"/>
      <c r="Q1840" s="25"/>
      <c r="R1840" s="25"/>
      <c r="S1840" s="151"/>
      <c r="T1840" s="151"/>
      <c r="U1840" s="151"/>
      <c r="V1840" s="73"/>
      <c r="W1840" s="28"/>
      <c r="X1840" s="24"/>
    </row>
    <row r="1841" spans="2:24">
      <c r="B1841" s="24"/>
      <c r="C1841" s="47"/>
      <c r="D1841" s="26"/>
      <c r="E1841" s="27"/>
      <c r="F1841" s="25"/>
      <c r="G1841" s="25"/>
      <c r="H1841" s="25"/>
      <c r="I1841" s="25"/>
      <c r="J1841" s="25"/>
      <c r="K1841" s="25"/>
      <c r="L1841" s="25"/>
      <c r="M1841" s="25"/>
      <c r="N1841" s="25"/>
      <c r="O1841" s="25"/>
      <c r="P1841" s="25"/>
      <c r="Q1841" s="25"/>
      <c r="R1841" s="25"/>
      <c r="S1841" s="151"/>
      <c r="T1841" s="151"/>
      <c r="U1841" s="151"/>
      <c r="V1841" s="73"/>
      <c r="W1841" s="28"/>
      <c r="X1841" s="24"/>
    </row>
    <row r="1842" spans="2:24">
      <c r="B1842" s="24"/>
      <c r="C1842" s="47"/>
      <c r="D1842" s="26"/>
      <c r="E1842" s="27"/>
      <c r="F1842" s="25"/>
      <c r="G1842" s="25"/>
      <c r="H1842" s="25"/>
      <c r="I1842" s="25"/>
      <c r="J1842" s="25"/>
      <c r="K1842" s="25"/>
      <c r="L1842" s="25"/>
      <c r="M1842" s="25"/>
      <c r="N1842" s="25"/>
      <c r="O1842" s="25"/>
      <c r="P1842" s="25"/>
      <c r="Q1842" s="25"/>
      <c r="R1842" s="25"/>
      <c r="S1842" s="151"/>
      <c r="T1842" s="151"/>
      <c r="U1842" s="151"/>
      <c r="V1842" s="73"/>
      <c r="W1842" s="28"/>
      <c r="X1842" s="24"/>
    </row>
    <row r="1843" spans="2:24">
      <c r="B1843" s="24"/>
      <c r="C1843" s="47"/>
      <c r="D1843" s="26"/>
      <c r="E1843" s="27"/>
      <c r="F1843" s="25"/>
      <c r="G1843" s="25"/>
      <c r="H1843" s="25"/>
      <c r="I1843" s="25"/>
      <c r="J1843" s="25"/>
      <c r="K1843" s="25"/>
      <c r="L1843" s="25"/>
      <c r="M1843" s="25"/>
      <c r="N1843" s="25"/>
      <c r="O1843" s="25"/>
      <c r="P1843" s="25"/>
      <c r="Q1843" s="25"/>
      <c r="R1843" s="25"/>
      <c r="S1843" s="151"/>
      <c r="T1843" s="151"/>
      <c r="U1843" s="151"/>
      <c r="V1843" s="73"/>
      <c r="W1843" s="28"/>
      <c r="X1843" s="24"/>
    </row>
    <row r="1844" spans="2:24">
      <c r="B1844" s="24"/>
      <c r="C1844" s="47"/>
      <c r="D1844" s="26"/>
      <c r="E1844" s="27"/>
      <c r="F1844" s="25"/>
      <c r="G1844" s="25"/>
      <c r="H1844" s="25"/>
      <c r="I1844" s="25"/>
      <c r="J1844" s="25"/>
      <c r="K1844" s="25"/>
      <c r="L1844" s="25"/>
      <c r="M1844" s="25"/>
      <c r="N1844" s="25"/>
      <c r="O1844" s="25"/>
      <c r="P1844" s="25"/>
      <c r="Q1844" s="25"/>
      <c r="R1844" s="25"/>
      <c r="S1844" s="151"/>
      <c r="T1844" s="151"/>
      <c r="U1844" s="151"/>
      <c r="V1844" s="73"/>
      <c r="W1844" s="28"/>
      <c r="X1844" s="24"/>
    </row>
    <row r="1845" spans="2:24">
      <c r="B1845" s="24"/>
      <c r="C1845" s="47"/>
      <c r="D1845" s="26"/>
      <c r="E1845" s="27"/>
      <c r="F1845" s="25"/>
      <c r="G1845" s="25"/>
      <c r="H1845" s="25"/>
      <c r="I1845" s="25"/>
      <c r="J1845" s="25"/>
      <c r="K1845" s="25"/>
      <c r="L1845" s="25"/>
      <c r="M1845" s="25"/>
      <c r="N1845" s="25"/>
      <c r="O1845" s="25"/>
      <c r="P1845" s="25"/>
      <c r="Q1845" s="25"/>
      <c r="R1845" s="25"/>
      <c r="S1845" s="151"/>
      <c r="T1845" s="151"/>
      <c r="U1845" s="151"/>
      <c r="V1845" s="73"/>
      <c r="W1845" s="28"/>
      <c r="X1845" s="24"/>
    </row>
    <row r="1846" spans="2:24">
      <c r="B1846" s="24"/>
      <c r="C1846" s="47"/>
      <c r="D1846" s="26"/>
      <c r="E1846" s="27"/>
      <c r="F1846" s="25"/>
      <c r="G1846" s="25"/>
      <c r="H1846" s="25"/>
      <c r="I1846" s="25"/>
      <c r="J1846" s="25"/>
      <c r="K1846" s="25"/>
      <c r="L1846" s="25"/>
      <c r="M1846" s="25"/>
      <c r="N1846" s="25"/>
      <c r="O1846" s="25"/>
      <c r="P1846" s="25"/>
      <c r="Q1846" s="25"/>
      <c r="R1846" s="25"/>
      <c r="S1846" s="151"/>
      <c r="T1846" s="151"/>
      <c r="U1846" s="151"/>
      <c r="V1846" s="73"/>
      <c r="W1846" s="28"/>
      <c r="X1846" s="24"/>
    </row>
    <row r="1847" spans="2:24">
      <c r="B1847" s="24"/>
      <c r="C1847" s="47"/>
      <c r="D1847" s="26"/>
      <c r="E1847" s="27"/>
      <c r="F1847" s="25"/>
      <c r="G1847" s="25"/>
      <c r="H1847" s="25"/>
      <c r="I1847" s="25"/>
      <c r="J1847" s="25"/>
      <c r="K1847" s="25"/>
      <c r="L1847" s="25"/>
      <c r="M1847" s="25"/>
      <c r="N1847" s="25"/>
      <c r="O1847" s="25"/>
      <c r="P1847" s="25"/>
      <c r="Q1847" s="25"/>
      <c r="R1847" s="25"/>
      <c r="S1847" s="151"/>
      <c r="T1847" s="151"/>
      <c r="U1847" s="151"/>
      <c r="V1847" s="73"/>
      <c r="W1847" s="28"/>
      <c r="X1847" s="24"/>
    </row>
    <row r="1848" spans="2:24">
      <c r="B1848" s="24"/>
      <c r="C1848" s="47"/>
      <c r="D1848" s="26"/>
      <c r="E1848" s="27"/>
      <c r="F1848" s="25"/>
      <c r="G1848" s="25"/>
      <c r="H1848" s="25"/>
      <c r="I1848" s="25"/>
      <c r="J1848" s="25"/>
      <c r="K1848" s="25"/>
      <c r="L1848" s="25"/>
      <c r="M1848" s="25"/>
      <c r="N1848" s="25"/>
      <c r="O1848" s="25"/>
      <c r="P1848" s="25"/>
      <c r="Q1848" s="25"/>
      <c r="R1848" s="25"/>
      <c r="S1848" s="151"/>
      <c r="T1848" s="151"/>
      <c r="U1848" s="151"/>
      <c r="V1848" s="73"/>
      <c r="W1848" s="28"/>
      <c r="X1848" s="24"/>
    </row>
    <row r="1849" spans="2:24">
      <c r="B1849" s="24"/>
      <c r="C1849" s="47"/>
      <c r="D1849" s="26"/>
      <c r="E1849" s="27"/>
      <c r="F1849" s="25"/>
      <c r="G1849" s="25"/>
      <c r="H1849" s="25"/>
      <c r="I1849" s="25"/>
      <c r="J1849" s="25"/>
      <c r="K1849" s="25"/>
      <c r="L1849" s="25"/>
      <c r="M1849" s="25"/>
      <c r="N1849" s="25"/>
      <c r="O1849" s="25"/>
      <c r="P1849" s="25"/>
      <c r="Q1849" s="25"/>
      <c r="R1849" s="25"/>
      <c r="S1849" s="151"/>
      <c r="T1849" s="151"/>
      <c r="U1849" s="151"/>
      <c r="V1849" s="73"/>
      <c r="W1849" s="28"/>
      <c r="X1849" s="24"/>
    </row>
    <row r="1850" spans="2:24">
      <c r="B1850" s="24"/>
      <c r="C1850" s="47"/>
      <c r="D1850" s="26"/>
      <c r="E1850" s="27"/>
      <c r="F1850" s="25"/>
      <c r="G1850" s="25"/>
      <c r="H1850" s="25"/>
      <c r="I1850" s="25"/>
      <c r="J1850" s="25"/>
      <c r="K1850" s="25"/>
      <c r="L1850" s="25"/>
      <c r="M1850" s="25"/>
      <c r="N1850" s="25"/>
      <c r="O1850" s="25"/>
      <c r="P1850" s="25"/>
      <c r="Q1850" s="25"/>
      <c r="R1850" s="25"/>
      <c r="S1850" s="151"/>
      <c r="T1850" s="151"/>
      <c r="U1850" s="151"/>
      <c r="V1850" s="73"/>
      <c r="W1850" s="28"/>
      <c r="X1850" s="24"/>
    </row>
    <row r="1851" spans="2:24">
      <c r="B1851" s="24"/>
      <c r="C1851" s="47"/>
      <c r="D1851" s="26"/>
      <c r="E1851" s="27"/>
      <c r="F1851" s="25"/>
      <c r="G1851" s="25"/>
      <c r="H1851" s="25"/>
      <c r="I1851" s="25"/>
      <c r="J1851" s="25"/>
      <c r="K1851" s="25"/>
      <c r="L1851" s="25"/>
      <c r="M1851" s="25"/>
      <c r="N1851" s="25"/>
      <c r="O1851" s="25"/>
      <c r="P1851" s="25"/>
      <c r="Q1851" s="25"/>
      <c r="R1851" s="25"/>
      <c r="S1851" s="151"/>
      <c r="T1851" s="151"/>
      <c r="U1851" s="151"/>
      <c r="V1851" s="73"/>
      <c r="W1851" s="28"/>
      <c r="X1851" s="24"/>
    </row>
    <row r="1852" spans="2:24">
      <c r="B1852" s="24"/>
      <c r="C1852" s="47"/>
      <c r="D1852" s="26"/>
      <c r="E1852" s="27"/>
      <c r="F1852" s="25"/>
      <c r="G1852" s="25"/>
      <c r="H1852" s="25"/>
      <c r="I1852" s="25"/>
      <c r="J1852" s="25"/>
      <c r="K1852" s="25"/>
      <c r="L1852" s="25"/>
      <c r="M1852" s="25"/>
      <c r="N1852" s="25"/>
      <c r="O1852" s="25"/>
      <c r="P1852" s="25"/>
      <c r="Q1852" s="25"/>
      <c r="R1852" s="25"/>
      <c r="S1852" s="151"/>
      <c r="T1852" s="151"/>
      <c r="U1852" s="151"/>
      <c r="V1852" s="73"/>
      <c r="W1852" s="28"/>
      <c r="X1852" s="24"/>
    </row>
    <row r="1853" spans="2:24">
      <c r="B1853" s="24"/>
      <c r="C1853" s="47"/>
      <c r="D1853" s="26"/>
      <c r="E1853" s="27"/>
      <c r="F1853" s="25"/>
      <c r="G1853" s="25"/>
      <c r="H1853" s="25"/>
      <c r="I1853" s="25"/>
      <c r="J1853" s="25"/>
      <c r="K1853" s="25"/>
      <c r="L1853" s="25"/>
      <c r="M1853" s="25"/>
      <c r="N1853" s="25"/>
      <c r="O1853" s="25"/>
      <c r="P1853" s="25"/>
      <c r="Q1853" s="25"/>
      <c r="R1853" s="25"/>
      <c r="S1853" s="151"/>
      <c r="T1853" s="151"/>
      <c r="U1853" s="151"/>
      <c r="V1853" s="73"/>
      <c r="W1853" s="28"/>
      <c r="X1853" s="24"/>
    </row>
    <row r="1854" spans="2:24">
      <c r="B1854" s="24"/>
      <c r="C1854" s="47"/>
      <c r="D1854" s="26"/>
      <c r="E1854" s="27"/>
      <c r="F1854" s="25"/>
      <c r="G1854" s="25"/>
      <c r="H1854" s="25"/>
      <c r="I1854" s="25"/>
      <c r="J1854" s="25"/>
      <c r="K1854" s="25"/>
      <c r="L1854" s="25"/>
      <c r="M1854" s="25"/>
      <c r="N1854" s="25"/>
      <c r="O1854" s="25"/>
      <c r="P1854" s="25"/>
      <c r="Q1854" s="25"/>
      <c r="R1854" s="25"/>
      <c r="S1854" s="151"/>
      <c r="T1854" s="151"/>
      <c r="U1854" s="151"/>
      <c r="V1854" s="73"/>
      <c r="W1854" s="28"/>
      <c r="X1854" s="24"/>
    </row>
    <row r="1855" spans="2:24">
      <c r="B1855" s="24"/>
      <c r="C1855" s="47"/>
      <c r="D1855" s="26"/>
      <c r="E1855" s="27"/>
      <c r="F1855" s="25"/>
      <c r="G1855" s="25"/>
      <c r="H1855" s="25"/>
      <c r="I1855" s="25"/>
      <c r="J1855" s="25"/>
      <c r="K1855" s="25"/>
      <c r="L1855" s="25"/>
      <c r="M1855" s="25"/>
      <c r="N1855" s="25"/>
      <c r="O1855" s="25"/>
      <c r="P1855" s="25"/>
      <c r="Q1855" s="25"/>
      <c r="R1855" s="25"/>
      <c r="S1855" s="151"/>
      <c r="T1855" s="151"/>
      <c r="U1855" s="151"/>
      <c r="V1855" s="73"/>
      <c r="W1855" s="28"/>
      <c r="X1855" s="24"/>
    </row>
  </sheetData>
  <autoFilter ref="D2:X1363" xr:uid="{E7F66094-9B3F-43B6-9918-91F9A443DB81}"/>
  <phoneticPr fontId="2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C1750-ADCA-4E81-AE34-F223560D2A5A}">
  <sheetPr codeName="Sheet2"/>
  <dimension ref="A2:AZ62"/>
  <sheetViews>
    <sheetView topLeftCell="AA43" workbookViewId="0">
      <selection activeCell="AU9" sqref="AU9"/>
    </sheetView>
  </sheetViews>
  <sheetFormatPr defaultRowHeight="14.25"/>
  <cols>
    <col min="2" max="45" width="8.75" customWidth="1"/>
  </cols>
  <sheetData>
    <row r="2" spans="1:52">
      <c r="A2">
        <f>IF(ISNUMBER(SEARCH(Checksheet!$BA$17,AY2)),MAX($A$1:A1)+1,"")</f>
        <v>1</v>
      </c>
      <c r="B2" t="str">
        <f>IFERROR(INDEX($AV:$AV,MATCH(ROW()-1,$A:$A,0),1),"")</f>
        <v>Oxi hóa</v>
      </c>
      <c r="C2" t="str" cm="1">
        <f t="array" aca="1" ref="C2:C59" ca="1">OFFSET($B$2,0,0,COUNTIF($B:$B,"?*"))</f>
        <v>Oxi hóa</v>
      </c>
      <c r="D2">
        <f>IF(ISNUMBER(SEARCH(Checksheet!$BA$18,AY2)),MAX($D$1:D1)+1,"")</f>
        <v>1</v>
      </c>
      <c r="E2" t="str">
        <f>IFERROR(INDEX($AV:$AV,MATCH(ROW()-1,$D:$D,0),1),"")</f>
        <v>Oxi hóa</v>
      </c>
      <c r="F2" t="str" cm="1">
        <f t="array" aca="1" ref="F2:F59" ca="1">OFFSET($E$2,0,0,COUNTIF($E:$E,"?*"))</f>
        <v>Oxi hóa</v>
      </c>
      <c r="G2">
        <f>IF(ISNUMBER(SEARCH(Checksheet!$BA$19,AY2)),MAX($G$1:G1)+1,"")</f>
        <v>1</v>
      </c>
      <c r="H2" t="str">
        <f>IFERROR(INDEX($AV:$AV,MATCH(ROW()-1,$G:$G,0),1),"")</f>
        <v>Oxi hóa</v>
      </c>
      <c r="I2" t="str" cm="1">
        <f t="array" aca="1" ref="I2:I59" ca="1">OFFSET($H$2,0,0,COUNTIF($H:$H,"?*"))</f>
        <v>Oxi hóa</v>
      </c>
      <c r="J2">
        <f>IF(ISNUMBER(SEARCH(Checksheet!$BA$20,AY2)),MAX($J$1:J1)+1,"")</f>
        <v>1</v>
      </c>
      <c r="K2" t="str">
        <f>IFERROR(INDEX($AV:$AV,MATCH(ROW()-1,$J:$J,0),1),"")</f>
        <v>Oxi hóa</v>
      </c>
      <c r="L2" t="str" cm="1">
        <f t="array" aca="1" ref="L2:L59" ca="1">OFFSET($K$2,0,0,COUNTIF($K:$K,"?*"))</f>
        <v>Oxi hóa</v>
      </c>
      <c r="M2">
        <f>IF(ISNUMBER(SEARCH(Checksheet!$BA$21,AY2)),MAX($M$1:M1)+1,"")</f>
        <v>1</v>
      </c>
      <c r="N2" t="str">
        <f>IFERROR(INDEX($AV:$AV,MATCH(ROW()-1,$M:$M,0),1),"")</f>
        <v>Oxi hóa</v>
      </c>
      <c r="O2" t="str" cm="1">
        <f t="array" aca="1" ref="O2:O59" ca="1">OFFSET($N$2,0,0,COUNTIF($N:$N,"?*"))</f>
        <v>Oxi hóa</v>
      </c>
      <c r="P2">
        <f>IF(ISNUMBER(SEARCH(Checksheet!$BA$22,AY2)),MAX($P$1:P1)+1,"")</f>
        <v>1</v>
      </c>
      <c r="Q2" t="str">
        <f>IFERROR(INDEX($AV:$AV,MATCH(ROW()-1,$P:$P,0),1),"")</f>
        <v>Oxi hóa</v>
      </c>
      <c r="R2" t="str" cm="1">
        <f t="array" aca="1" ref="R2:R59" ca="1">OFFSET($Q$2,0,0,COUNTIF($Q:$Q,"?*"))</f>
        <v>Oxi hóa</v>
      </c>
      <c r="S2">
        <f>IF(ISNUMBER(SEARCH(Checksheet!$BA$23,AY2)),MAX($S$1:S1)+1,"")</f>
        <v>1</v>
      </c>
      <c r="T2" t="str">
        <f>IFERROR(INDEX($AV:$AV,MATCH(ROW()-1,$S:$S,0),1),"")</f>
        <v>Oxi hóa</v>
      </c>
      <c r="U2" t="str" cm="1">
        <f t="array" aca="1" ref="U2:U59" ca="1">OFFSET($T$2,0,0,COUNTIF($T:$T,"?*"))</f>
        <v>Oxi hóa</v>
      </c>
      <c r="V2">
        <f>IF(ISNUMBER(SEARCH(Checksheet!$BA$24,AY2)),MAX($V$1:V1)+1,"")</f>
        <v>1</v>
      </c>
      <c r="W2" t="str">
        <f>IFERROR(INDEX($AV:$AV,MATCH(ROW()-1,$V:$V,0),1),"")</f>
        <v>Oxi hóa</v>
      </c>
      <c r="X2" t="str" cm="1">
        <f t="array" aca="1" ref="X2:X59" ca="1">OFFSET($W$2,0,0,COUNTIF($W:$W,"?*"))</f>
        <v>Oxi hóa</v>
      </c>
      <c r="Y2">
        <f>IF(ISNUMBER(SEARCH(Checksheet!$BA$25,AY2)),MAX($Y$1:Y1)+1,"")</f>
        <v>1</v>
      </c>
      <c r="Z2" t="str">
        <f>IFERROR(INDEX($AV:$AV,MATCH(ROW()-1,$Y:$Y,0),1),"")</f>
        <v>Oxi hóa</v>
      </c>
      <c r="AA2" t="str" cm="1">
        <f t="array" aca="1" ref="AA2:AA59" ca="1">OFFSET($Z$2,0,0,COUNTIF($Z:$Z,"?*"))</f>
        <v>Oxi hóa</v>
      </c>
      <c r="AB2">
        <f>IF(ISNUMBER(SEARCH(Checksheet!$BA$26,AY2)),MAX($AB$1:AB1)+1,"")</f>
        <v>1</v>
      </c>
      <c r="AC2" t="str">
        <f>IFERROR(INDEX($AV:$AV,MATCH(ROW()-1,$AB:$AB,0),1),"")</f>
        <v>Oxi hóa</v>
      </c>
      <c r="AD2" t="str" cm="1">
        <f t="array" aca="1" ref="AD2:AD59" ca="1">OFFSET($AC$2,0,0,COUNTIF($AC:$AC,"?*"))</f>
        <v>Oxi hóa</v>
      </c>
      <c r="AE2">
        <f>IF(ISNUMBER(SEARCH(Checksheet!$BA$27,AY2)),MAX($AE$1:AE1)+1,"")</f>
        <v>1</v>
      </c>
      <c r="AF2" t="str">
        <f>IFERROR(INDEX($AV:$AV,MATCH(ROW()-1,$AE:$AE,0),1),"")</f>
        <v>Oxi hóa</v>
      </c>
      <c r="AG2" t="str" cm="1">
        <f t="array" aca="1" ref="AG2:AG59" ca="1">OFFSET($AF$2,0,0,COUNTIF($AF:$AF,"?*"))</f>
        <v>Oxi hóa</v>
      </c>
      <c r="AH2">
        <f>IF(ISNUMBER(SEARCH(Checksheet!$BA$28,AY2)),MAX($AH$1:AH1)+1,"")</f>
        <v>1</v>
      </c>
      <c r="AI2" t="str">
        <f>IFERROR(INDEX($AV:$AV,MATCH(ROW()-1,$AH:$AH,0),1),"")</f>
        <v>Oxi hóa</v>
      </c>
      <c r="AJ2" t="str" cm="1">
        <f t="array" aca="1" ref="AJ2:AJ59" ca="1">OFFSET($AI$2,0,0,COUNTIF($AI:$AI,"?*"))</f>
        <v>Oxi hóa</v>
      </c>
      <c r="AK2">
        <f>IF(ISNUMBER(SEARCH(Checksheet!$BA$29,AY2)),MAX($AK$1:AK1)+1,"")</f>
        <v>1</v>
      </c>
      <c r="AL2" t="str">
        <f>IFERROR(INDEX($AV:$AV,MATCH(ROW()-1,$AK:$AK,0),1),"")</f>
        <v>Oxi hóa</v>
      </c>
      <c r="AM2" t="str" cm="1">
        <f t="array" aca="1" ref="AM2:AM59" ca="1">OFFSET($AL$2,0,0,COUNTIF($AL:$AL,"?*"))</f>
        <v>Oxi hóa</v>
      </c>
      <c r="AN2">
        <f>IF(ISNUMBER(SEARCH(Checksheet!$BA$30,AY2)),MAX($AN$1:AN1)+1,"")</f>
        <v>1</v>
      </c>
      <c r="AO2" t="str">
        <f>IFERROR(INDEX($AV:$AV,MATCH(ROW()-1,$AN:$AN,0),1),"")</f>
        <v>Oxi hóa</v>
      </c>
      <c r="AP2" t="str" cm="1">
        <f t="array" aca="1" ref="AP2:AP59" ca="1">OFFSET($AO$2,0,0,COUNTIF($AO:$AO,"?*"))</f>
        <v>Oxi hóa</v>
      </c>
      <c r="AQ2">
        <f>IF(ISNUMBER(SEARCH(Checksheet!$BA$31,AY2)),MAX($AQ$1:AQ1)+1,"")</f>
        <v>1</v>
      </c>
      <c r="AR2" t="str">
        <f>IFERROR(INDEX($AV:$AV,MATCH(ROW()-1,$AQ:$AQ,0),1),"")</f>
        <v>Oxi hóa</v>
      </c>
      <c r="AS2" t="str" cm="1">
        <f t="array" aca="1" ref="AS2:AS59" ca="1">OFFSET($AR$2,0,0,COUNTIF($AR:$AR,"?*"))</f>
        <v>Oxi hóa</v>
      </c>
      <c r="AT2" s="153" t="s">
        <v>1246</v>
      </c>
      <c r="AU2" s="154" t="s">
        <v>1364</v>
      </c>
      <c r="AV2" s="154" t="s">
        <v>1365</v>
      </c>
      <c r="AW2" s="154"/>
      <c r="AX2" s="154" t="b">
        <f>AND([1]Checksheet!$S$46=TRUE,[1]Checksheet!$F$17)</f>
        <v>0</v>
      </c>
      <c r="AY2" s="154" t="str">
        <f>AT2&amp;AU2</f>
        <v>MaterialTerminal</v>
      </c>
      <c r="AZ2" s="155"/>
    </row>
    <row r="3" spans="1:52">
      <c r="A3">
        <f>IF(ISNUMBER(SEARCH(Checksheet!$BA$17,AY3)),MAX($A$1:A2)+1,"")</f>
        <v>2</v>
      </c>
      <c r="B3" t="str">
        <f t="shared" ref="B3:B62" si="0">IFERROR(INDEX($AV:$AV,MATCH(ROW()-1,$A:$A,0),1),"")</f>
        <v>NG, dính dơ, dị vật do NL</v>
      </c>
      <c r="C3" t="str">
        <f ca="1"/>
        <v>NG, dính dơ, dị vật do NL</v>
      </c>
      <c r="D3">
        <f>IF(ISNUMBER(SEARCH(Checksheet!$BA$18,AY3)),MAX($D$1:D2)+1,"")</f>
        <v>2</v>
      </c>
      <c r="E3" t="str">
        <f t="shared" ref="E3:E62" si="1">IFERROR(INDEX($AV:$AV,MATCH(ROW()-1,$D:$D,0),1),"")</f>
        <v>NG, dính dơ, dị vật do NL</v>
      </c>
      <c r="F3" t="str">
        <f ca="1"/>
        <v>NG, dính dơ, dị vật do NL</v>
      </c>
      <c r="G3">
        <f>IF(ISNUMBER(SEARCH(Checksheet!$BA$19,AY3)),MAX($G$1:G2)+1,"")</f>
        <v>2</v>
      </c>
      <c r="H3" t="str">
        <f t="shared" ref="H3:H62" si="2">IFERROR(INDEX($AV:$AV,MATCH(ROW()-1,$G:$G,0),1),"")</f>
        <v>NG, dính dơ, dị vật do NL</v>
      </c>
      <c r="I3" t="str">
        <f ca="1"/>
        <v>NG, dính dơ, dị vật do NL</v>
      </c>
      <c r="J3">
        <f>IF(ISNUMBER(SEARCH(Checksheet!$BA$20,AY3)),MAX($J$1:J2)+1,"")</f>
        <v>2</v>
      </c>
      <c r="K3" t="str">
        <f t="shared" ref="K3:K62" si="3">IFERROR(INDEX($AV:$AV,MATCH(ROW()-1,$J:$J,0),1),"")</f>
        <v>NG, dính dơ, dị vật do NL</v>
      </c>
      <c r="L3" t="str">
        <f ca="1"/>
        <v>NG, dính dơ, dị vật do NL</v>
      </c>
      <c r="M3">
        <f>IF(ISNUMBER(SEARCH(Checksheet!$BA$21,AY3)),MAX($M$1:M2)+1,"")</f>
        <v>2</v>
      </c>
      <c r="N3" t="str">
        <f t="shared" ref="N3:N62" si="4">IFERROR(INDEX($AV:$AV,MATCH(ROW()-1,$M:$M,0),1),"")</f>
        <v>NG, dính dơ, dị vật do NL</v>
      </c>
      <c r="O3" t="str">
        <f ca="1"/>
        <v>NG, dính dơ, dị vật do NL</v>
      </c>
      <c r="P3">
        <f>IF(ISNUMBER(SEARCH(Checksheet!$BA$22,AY3)),MAX($P$1:P2)+1,"")</f>
        <v>2</v>
      </c>
      <c r="Q3" t="str">
        <f t="shared" ref="Q3:Q62" si="5">IFERROR(INDEX($AV:$AV,MATCH(ROW()-1,$P:$P,0),1),"")</f>
        <v>NG, dính dơ, dị vật do NL</v>
      </c>
      <c r="R3" t="str">
        <f ca="1"/>
        <v>NG, dính dơ, dị vật do NL</v>
      </c>
      <c r="S3">
        <f>IF(ISNUMBER(SEARCH(Checksheet!$BA$23,AY3)),MAX($S$1:S2)+1,"")</f>
        <v>2</v>
      </c>
      <c r="T3" t="str">
        <f t="shared" ref="T3:T62" si="6">IFERROR(INDEX($AV:$AV,MATCH(ROW()-1,$S:$S,0),1),"")</f>
        <v>NG, dính dơ, dị vật do NL</v>
      </c>
      <c r="U3" t="str">
        <f ca="1"/>
        <v>NG, dính dơ, dị vật do NL</v>
      </c>
      <c r="V3">
        <f>IF(ISNUMBER(SEARCH(Checksheet!$BA$24,AY3)),MAX($V$1:V2)+1,"")</f>
        <v>2</v>
      </c>
      <c r="W3" t="str">
        <f t="shared" ref="W3:W62" si="7">IFERROR(INDEX($AV:$AV,MATCH(ROW()-1,$V:$V,0),1),"")</f>
        <v>NG, dính dơ, dị vật do NL</v>
      </c>
      <c r="X3" t="str">
        <f ca="1"/>
        <v>NG, dính dơ, dị vật do NL</v>
      </c>
      <c r="Y3">
        <f>IF(ISNUMBER(SEARCH(Checksheet!$BA$25,AY3)),MAX($Y$1:Y2)+1,"")</f>
        <v>2</v>
      </c>
      <c r="Z3" t="str">
        <f t="shared" ref="Z3:Z62" si="8">IFERROR(INDEX($AV:$AV,MATCH(ROW()-1,$Y:$Y,0),1),"")</f>
        <v>NG, dính dơ, dị vật do NL</v>
      </c>
      <c r="AA3" t="str">
        <f ca="1"/>
        <v>NG, dính dơ, dị vật do NL</v>
      </c>
      <c r="AB3">
        <f>IF(ISNUMBER(SEARCH(Checksheet!$BA$26,AY3)),MAX($AB$1:AB2)+1,"")</f>
        <v>2</v>
      </c>
      <c r="AC3" t="str">
        <f t="shared" ref="AC3:AC62" si="9">IFERROR(INDEX($AV:$AV,MATCH(ROW()-1,$AB:$AB,0),1),"")</f>
        <v>NG, dính dơ, dị vật do NL</v>
      </c>
      <c r="AD3" t="str">
        <f ca="1"/>
        <v>NG, dính dơ, dị vật do NL</v>
      </c>
      <c r="AE3">
        <f>IF(ISNUMBER(SEARCH(Checksheet!$BA$27,AY3)),MAX($AE$1:AE2)+1,"")</f>
        <v>2</v>
      </c>
      <c r="AF3" t="str">
        <f t="shared" ref="AF3:AF62" si="10">IFERROR(INDEX($AV:$AV,MATCH(ROW()-1,$AE:$AE,0),1),"")</f>
        <v>NG, dính dơ, dị vật do NL</v>
      </c>
      <c r="AG3" t="str">
        <f ca="1"/>
        <v>NG, dính dơ, dị vật do NL</v>
      </c>
      <c r="AH3">
        <f>IF(ISNUMBER(SEARCH(Checksheet!$BA$28,AY3)),MAX($AH$1:AH2)+1,"")</f>
        <v>2</v>
      </c>
      <c r="AI3" t="str">
        <f t="shared" ref="AI3:AI62" si="11">IFERROR(INDEX($AV:$AV,MATCH(ROW()-1,$AH:$AH,0),1),"")</f>
        <v>NG, dính dơ, dị vật do NL</v>
      </c>
      <c r="AJ3" t="str">
        <f ca="1"/>
        <v>NG, dính dơ, dị vật do NL</v>
      </c>
      <c r="AK3">
        <f>IF(ISNUMBER(SEARCH(Checksheet!$BA$29,AY3)),MAX($AK$1:AK2)+1,"")</f>
        <v>2</v>
      </c>
      <c r="AL3" t="str">
        <f t="shared" ref="AL3:AL62" si="12">IFERROR(INDEX($AV:$AV,MATCH(ROW()-1,$AK:$AK,0),1),"")</f>
        <v>NG, dính dơ, dị vật do NL</v>
      </c>
      <c r="AM3" t="str">
        <f ca="1"/>
        <v>NG, dính dơ, dị vật do NL</v>
      </c>
      <c r="AN3">
        <f>IF(ISNUMBER(SEARCH(Checksheet!$BA$30,AY3)),MAX($AN$1:AN2)+1,"")</f>
        <v>2</v>
      </c>
      <c r="AO3" t="str">
        <f t="shared" ref="AO3:AO62" si="13">IFERROR(INDEX($AV:$AV,MATCH(ROW()-1,$AN:$AN,0),1),"")</f>
        <v>NG, dính dơ, dị vật do NL</v>
      </c>
      <c r="AP3" t="str">
        <f ca="1"/>
        <v>NG, dính dơ, dị vật do NL</v>
      </c>
      <c r="AQ3">
        <f>IF(ISNUMBER(SEARCH(Checksheet!$BA$31,AY3)),MAX($AQ$1:AQ2)+1,"")</f>
        <v>2</v>
      </c>
      <c r="AR3" t="str">
        <f t="shared" ref="AR3:AR62" si="14">IFERROR(INDEX($AV:$AV,MATCH(ROW()-1,$AQ:$AQ,0),1),"")</f>
        <v>NG, dính dơ, dị vật do NL</v>
      </c>
      <c r="AS3" t="str">
        <f ca="1"/>
        <v>NG, dính dơ, dị vật do NL</v>
      </c>
      <c r="AT3" s="156" t="s">
        <v>1246</v>
      </c>
      <c r="AU3" s="157" t="s">
        <v>1360</v>
      </c>
      <c r="AV3" s="157" t="s">
        <v>1366</v>
      </c>
      <c r="AW3" s="157"/>
      <c r="AX3" s="157"/>
      <c r="AY3" s="157" t="str">
        <f t="shared" ref="AY3:AY4" si="15">AT3&amp;AU3</f>
        <v>MaterialHousing</v>
      </c>
      <c r="AZ3" s="158"/>
    </row>
    <row r="4" spans="1:52">
      <c r="A4">
        <f>IF(ISNUMBER(SEARCH(Checksheet!$BA$17,AY4)),MAX($A$1:A3)+1,"")</f>
        <v>3</v>
      </c>
      <c r="B4" t="str">
        <f t="shared" si="0"/>
        <v>Trầy, dơ do NL</v>
      </c>
      <c r="C4" t="str">
        <f ca="1"/>
        <v>Trầy, dơ do NL</v>
      </c>
      <c r="D4">
        <f>IF(ISNUMBER(SEARCH(Checksheet!$BA$18,AY4)),MAX($D$1:D3)+1,"")</f>
        <v>3</v>
      </c>
      <c r="E4" t="str">
        <f t="shared" si="1"/>
        <v>Trầy, dơ do NL</v>
      </c>
      <c r="F4" t="str">
        <f ca="1"/>
        <v>Trầy, dơ do NL</v>
      </c>
      <c r="G4">
        <f>IF(ISNUMBER(SEARCH(Checksheet!$BA$19,AY4)),MAX($G$1:G3)+1,"")</f>
        <v>3</v>
      </c>
      <c r="H4" t="str">
        <f t="shared" si="2"/>
        <v>Trầy, dơ do NL</v>
      </c>
      <c r="I4" t="str">
        <f ca="1"/>
        <v>Trầy, dơ do NL</v>
      </c>
      <c r="J4">
        <f>IF(ISNUMBER(SEARCH(Checksheet!$BA$20,AY4)),MAX($J$1:J3)+1,"")</f>
        <v>3</v>
      </c>
      <c r="K4" t="str">
        <f t="shared" si="3"/>
        <v>Trầy, dơ do NL</v>
      </c>
      <c r="L4" t="str">
        <f ca="1"/>
        <v>Trầy, dơ do NL</v>
      </c>
      <c r="M4">
        <f>IF(ISNUMBER(SEARCH(Checksheet!$BA$21,AY4)),MAX($M$1:M3)+1,"")</f>
        <v>3</v>
      </c>
      <c r="N4" t="str">
        <f t="shared" si="4"/>
        <v>Trầy, dơ do NL</v>
      </c>
      <c r="O4" t="str">
        <f ca="1"/>
        <v>Trầy, dơ do NL</v>
      </c>
      <c r="P4">
        <f>IF(ISNUMBER(SEARCH(Checksheet!$BA$22,AY4)),MAX($P$1:P3)+1,"")</f>
        <v>3</v>
      </c>
      <c r="Q4" t="str">
        <f t="shared" si="5"/>
        <v>Trầy, dơ do NL</v>
      </c>
      <c r="R4" t="str">
        <f ca="1"/>
        <v>Trầy, dơ do NL</v>
      </c>
      <c r="S4">
        <f>IF(ISNUMBER(SEARCH(Checksheet!$BA$23,AY4)),MAX($S$1:S3)+1,"")</f>
        <v>3</v>
      </c>
      <c r="T4" t="str">
        <f t="shared" si="6"/>
        <v>Trầy, dơ do NL</v>
      </c>
      <c r="U4" t="str">
        <f ca="1"/>
        <v>Trầy, dơ do NL</v>
      </c>
      <c r="V4">
        <f>IF(ISNUMBER(SEARCH(Checksheet!$BA$24,AY4)),MAX($V$1:V3)+1,"")</f>
        <v>3</v>
      </c>
      <c r="W4" t="str">
        <f t="shared" si="7"/>
        <v>Trầy, dơ do NL</v>
      </c>
      <c r="X4" t="str">
        <f ca="1"/>
        <v>Trầy, dơ do NL</v>
      </c>
      <c r="Y4">
        <f>IF(ISNUMBER(SEARCH(Checksheet!$BA$25,AY4)),MAX($Y$1:Y3)+1,"")</f>
        <v>3</v>
      </c>
      <c r="Z4" t="str">
        <f t="shared" si="8"/>
        <v>Trầy, dơ do NL</v>
      </c>
      <c r="AA4" t="str">
        <f ca="1"/>
        <v>Trầy, dơ do NL</v>
      </c>
      <c r="AB4">
        <f>IF(ISNUMBER(SEARCH(Checksheet!$BA$26,AY4)),MAX($AB$1:AB3)+1,"")</f>
        <v>3</v>
      </c>
      <c r="AC4" t="str">
        <f t="shared" si="9"/>
        <v>Trầy, dơ do NL</v>
      </c>
      <c r="AD4" t="str">
        <f ca="1"/>
        <v>Trầy, dơ do NL</v>
      </c>
      <c r="AE4">
        <f>IF(ISNUMBER(SEARCH(Checksheet!$BA$27,AY4)),MAX($AE$1:AE3)+1,"")</f>
        <v>3</v>
      </c>
      <c r="AF4" t="str">
        <f t="shared" si="10"/>
        <v>Trầy, dơ do NL</v>
      </c>
      <c r="AG4" t="str">
        <f ca="1"/>
        <v>Trầy, dơ do NL</v>
      </c>
      <c r="AH4">
        <f>IF(ISNUMBER(SEARCH(Checksheet!$BA$28,AY4)),MAX($AH$1:AH3)+1,"")</f>
        <v>3</v>
      </c>
      <c r="AI4" t="str">
        <f t="shared" si="11"/>
        <v>Trầy, dơ do NL</v>
      </c>
      <c r="AJ4" t="str">
        <f ca="1"/>
        <v>Trầy, dơ do NL</v>
      </c>
      <c r="AK4">
        <f>IF(ISNUMBER(SEARCH(Checksheet!$BA$29,AY4)),MAX($AK$1:AK3)+1,"")</f>
        <v>3</v>
      </c>
      <c r="AL4" t="str">
        <f t="shared" si="12"/>
        <v>Trầy, dơ do NL</v>
      </c>
      <c r="AM4" t="str">
        <f ca="1"/>
        <v>Trầy, dơ do NL</v>
      </c>
      <c r="AN4">
        <f>IF(ISNUMBER(SEARCH(Checksheet!$BA$30,AY4)),MAX($AN$1:AN3)+1,"")</f>
        <v>3</v>
      </c>
      <c r="AO4" t="str">
        <f t="shared" si="13"/>
        <v>Trầy, dơ do NL</v>
      </c>
      <c r="AP4" t="str">
        <f ca="1"/>
        <v>Trầy, dơ do NL</v>
      </c>
      <c r="AQ4">
        <f>IF(ISNUMBER(SEARCH(Checksheet!$BA$31,AY4)),MAX($AQ$1:AQ3)+1,"")</f>
        <v>3</v>
      </c>
      <c r="AR4" t="str">
        <f t="shared" si="14"/>
        <v>Trầy, dơ do NL</v>
      </c>
      <c r="AS4" t="str">
        <f ca="1"/>
        <v>Trầy, dơ do NL</v>
      </c>
      <c r="AT4" s="156" t="s">
        <v>1246</v>
      </c>
      <c r="AU4" s="157" t="s">
        <v>1362</v>
      </c>
      <c r="AV4" s="157" t="s">
        <v>1367</v>
      </c>
      <c r="AW4" s="157"/>
      <c r="AX4" s="157"/>
      <c r="AY4" s="157" t="str">
        <f t="shared" si="15"/>
        <v>MaterialWire</v>
      </c>
      <c r="AZ4" s="158"/>
    </row>
    <row r="5" spans="1:52">
      <c r="A5">
        <f>IF(ISNUMBER(SEARCH(Checksheet!$BA$17,AY5)),MAX($A$1:A4)+1,"")</f>
        <v>4</v>
      </c>
      <c r="B5" t="str">
        <f t="shared" si="0"/>
        <v>Others</v>
      </c>
      <c r="C5" t="str">
        <f ca="1"/>
        <v>Others</v>
      </c>
      <c r="D5">
        <f>IF(ISNUMBER(SEARCH(Checksheet!$BA$18,AY5)),MAX($D$1:D4)+1,"")</f>
        <v>4</v>
      </c>
      <c r="E5" t="str">
        <f t="shared" si="1"/>
        <v>Others</v>
      </c>
      <c r="F5" t="str">
        <f ca="1"/>
        <v>Others</v>
      </c>
      <c r="G5">
        <f>IF(ISNUMBER(SEARCH(Checksheet!$BA$19,AY5)),MAX($G$1:G4)+1,"")</f>
        <v>4</v>
      </c>
      <c r="H5" t="str">
        <f t="shared" si="2"/>
        <v>Others</v>
      </c>
      <c r="I5" t="str">
        <f ca="1"/>
        <v>Others</v>
      </c>
      <c r="J5">
        <f>IF(ISNUMBER(SEARCH(Checksheet!$BA$20,AY5)),MAX($J$1:J4)+1,"")</f>
        <v>4</v>
      </c>
      <c r="K5" t="str">
        <f t="shared" si="3"/>
        <v>Others</v>
      </c>
      <c r="L5" t="str">
        <f ca="1"/>
        <v>Others</v>
      </c>
      <c r="M5">
        <f>IF(ISNUMBER(SEARCH(Checksheet!$BA$21,AY5)),MAX($M$1:M4)+1,"")</f>
        <v>4</v>
      </c>
      <c r="N5" t="str">
        <f t="shared" si="4"/>
        <v>Others</v>
      </c>
      <c r="O5" t="str">
        <f ca="1"/>
        <v>Others</v>
      </c>
      <c r="P5">
        <f>IF(ISNUMBER(SEARCH(Checksheet!$BA$22,AY5)),MAX($P$1:P4)+1,"")</f>
        <v>4</v>
      </c>
      <c r="Q5" t="str">
        <f t="shared" si="5"/>
        <v>Others</v>
      </c>
      <c r="R5" t="str">
        <f ca="1"/>
        <v>Others</v>
      </c>
      <c r="S5">
        <f>IF(ISNUMBER(SEARCH(Checksheet!$BA$23,AY5)),MAX($S$1:S4)+1,"")</f>
        <v>4</v>
      </c>
      <c r="T5" t="str">
        <f t="shared" si="6"/>
        <v>Others</v>
      </c>
      <c r="U5" t="str">
        <f ca="1"/>
        <v>Others</v>
      </c>
      <c r="V5">
        <f>IF(ISNUMBER(SEARCH(Checksheet!$BA$24,AY5)),MAX($V$1:V4)+1,"")</f>
        <v>4</v>
      </c>
      <c r="W5" t="str">
        <f t="shared" si="7"/>
        <v>Others</v>
      </c>
      <c r="X5" t="str">
        <f ca="1"/>
        <v>Others</v>
      </c>
      <c r="Y5">
        <f>IF(ISNUMBER(SEARCH(Checksheet!$BA$25,AY5)),MAX($Y$1:Y4)+1,"")</f>
        <v>4</v>
      </c>
      <c r="Z5" t="str">
        <f t="shared" si="8"/>
        <v>Others</v>
      </c>
      <c r="AA5" t="str">
        <f ca="1"/>
        <v>Others</v>
      </c>
      <c r="AB5">
        <f>IF(ISNUMBER(SEARCH(Checksheet!$BA$26,AY5)),MAX($AB$1:AB4)+1,"")</f>
        <v>4</v>
      </c>
      <c r="AC5" t="str">
        <f t="shared" si="9"/>
        <v>Others</v>
      </c>
      <c r="AD5" t="str">
        <f ca="1"/>
        <v>Others</v>
      </c>
      <c r="AE5">
        <f>IF(ISNUMBER(SEARCH(Checksheet!$BA$27,AY5)),MAX($AE$1:AE4)+1,"")</f>
        <v>4</v>
      </c>
      <c r="AF5" t="str">
        <f t="shared" si="10"/>
        <v>Others</v>
      </c>
      <c r="AG5" t="str">
        <f ca="1"/>
        <v>Others</v>
      </c>
      <c r="AH5">
        <f>IF(ISNUMBER(SEARCH(Checksheet!$BA$28,AY5)),MAX($AH$1:AH4)+1,"")</f>
        <v>4</v>
      </c>
      <c r="AI5" t="str">
        <f t="shared" si="11"/>
        <v>Others</v>
      </c>
      <c r="AJ5" t="str">
        <f ca="1"/>
        <v>Others</v>
      </c>
      <c r="AK5">
        <f>IF(ISNUMBER(SEARCH(Checksheet!$BA$29,AY5)),MAX($AK$1:AK4)+1,"")</f>
        <v>4</v>
      </c>
      <c r="AL5" t="str">
        <f t="shared" si="12"/>
        <v>Others</v>
      </c>
      <c r="AM5" t="str">
        <f ca="1"/>
        <v>Others</v>
      </c>
      <c r="AN5">
        <f>IF(ISNUMBER(SEARCH(Checksheet!$BA$30,AY5)),MAX($AN$1:AN4)+1,"")</f>
        <v>4</v>
      </c>
      <c r="AO5" t="str">
        <f t="shared" si="13"/>
        <v>Others</v>
      </c>
      <c r="AP5" t="str">
        <f ca="1"/>
        <v>Others</v>
      </c>
      <c r="AQ5">
        <f>IF(ISNUMBER(SEARCH(Checksheet!$BA$31,AY5)),MAX($AQ$1:AQ4)+1,"")</f>
        <v>4</v>
      </c>
      <c r="AR5" t="str">
        <f t="shared" si="14"/>
        <v>Others</v>
      </c>
      <c r="AS5" t="str">
        <f ca="1"/>
        <v>Others</v>
      </c>
      <c r="AT5" s="156" t="s">
        <v>1246</v>
      </c>
      <c r="AU5" s="157" t="s">
        <v>1362</v>
      </c>
      <c r="AV5" s="157" t="s">
        <v>1219</v>
      </c>
      <c r="AW5" s="157"/>
      <c r="AX5" s="157"/>
      <c r="AY5" s="157" t="str">
        <f>AT5&amp;AU5</f>
        <v>MaterialWire</v>
      </c>
      <c r="AZ5" s="158"/>
    </row>
    <row r="6" spans="1:52">
      <c r="A6">
        <f>IF(ISNUMBER(SEARCH(Checksheet!$BA$17,AY6)),MAX($A$1:A5)+1,"")</f>
        <v>5</v>
      </c>
      <c r="B6" t="str">
        <f t="shared" si="0"/>
        <v>Không đạt do NL</v>
      </c>
      <c r="C6" t="str">
        <f ca="1"/>
        <v>Không đạt do NL</v>
      </c>
      <c r="D6">
        <f>IF(ISNUMBER(SEARCH(Checksheet!$BA$18,AY6)),MAX($D$1:D5)+1,"")</f>
        <v>5</v>
      </c>
      <c r="E6" t="str">
        <f t="shared" si="1"/>
        <v>Không đạt do NL</v>
      </c>
      <c r="F6" t="str">
        <f ca="1"/>
        <v>Không đạt do NL</v>
      </c>
      <c r="G6">
        <f>IF(ISNUMBER(SEARCH(Checksheet!$BA$19,AY6)),MAX($G$1:G5)+1,"")</f>
        <v>5</v>
      </c>
      <c r="H6" t="str">
        <f t="shared" si="2"/>
        <v>Không đạt do NL</v>
      </c>
      <c r="I6" t="str">
        <f ca="1"/>
        <v>Không đạt do NL</v>
      </c>
      <c r="J6">
        <f>IF(ISNUMBER(SEARCH(Checksheet!$BA$20,AY6)),MAX($J$1:J5)+1,"")</f>
        <v>5</v>
      </c>
      <c r="K6" t="str">
        <f t="shared" si="3"/>
        <v>Không đạt do NL</v>
      </c>
      <c r="L6" t="str">
        <f ca="1"/>
        <v>Không đạt do NL</v>
      </c>
      <c r="M6">
        <f>IF(ISNUMBER(SEARCH(Checksheet!$BA$21,AY6)),MAX($M$1:M5)+1,"")</f>
        <v>5</v>
      </c>
      <c r="N6" t="str">
        <f t="shared" si="4"/>
        <v>Không đạt do NL</v>
      </c>
      <c r="O6" t="str">
        <f ca="1"/>
        <v>Không đạt do NL</v>
      </c>
      <c r="P6">
        <f>IF(ISNUMBER(SEARCH(Checksheet!$BA$22,AY6)),MAX($P$1:P5)+1,"")</f>
        <v>5</v>
      </c>
      <c r="Q6" t="str">
        <f t="shared" si="5"/>
        <v>Không đạt do NL</v>
      </c>
      <c r="R6" t="str">
        <f ca="1"/>
        <v>Không đạt do NL</v>
      </c>
      <c r="S6">
        <f>IF(ISNUMBER(SEARCH(Checksheet!$BA$23,AY6)),MAX($S$1:S5)+1,"")</f>
        <v>5</v>
      </c>
      <c r="T6" t="str">
        <f t="shared" si="6"/>
        <v>Không đạt do NL</v>
      </c>
      <c r="U6" t="str">
        <f ca="1"/>
        <v>Không đạt do NL</v>
      </c>
      <c r="V6">
        <f>IF(ISNUMBER(SEARCH(Checksheet!$BA$24,AY6)),MAX($V$1:V5)+1,"")</f>
        <v>5</v>
      </c>
      <c r="W6" t="str">
        <f t="shared" si="7"/>
        <v>Không đạt do NL</v>
      </c>
      <c r="X6" t="str">
        <f ca="1"/>
        <v>Không đạt do NL</v>
      </c>
      <c r="Y6">
        <f>IF(ISNUMBER(SEARCH(Checksheet!$BA$25,AY6)),MAX($Y$1:Y5)+1,"")</f>
        <v>5</v>
      </c>
      <c r="Z6" t="str">
        <f t="shared" si="8"/>
        <v>Không đạt do NL</v>
      </c>
      <c r="AA6" t="str">
        <f ca="1"/>
        <v>Không đạt do NL</v>
      </c>
      <c r="AB6">
        <f>IF(ISNUMBER(SEARCH(Checksheet!$BA$26,AY6)),MAX($AB$1:AB5)+1,"")</f>
        <v>5</v>
      </c>
      <c r="AC6" t="str">
        <f t="shared" si="9"/>
        <v>Không đạt do NL</v>
      </c>
      <c r="AD6" t="str">
        <f ca="1"/>
        <v>Không đạt do NL</v>
      </c>
      <c r="AE6">
        <f>IF(ISNUMBER(SEARCH(Checksheet!$BA$27,AY6)),MAX($AE$1:AE5)+1,"")</f>
        <v>5</v>
      </c>
      <c r="AF6" t="str">
        <f t="shared" si="10"/>
        <v>Không đạt do NL</v>
      </c>
      <c r="AG6" t="str">
        <f ca="1"/>
        <v>Không đạt do NL</v>
      </c>
      <c r="AH6">
        <f>IF(ISNUMBER(SEARCH(Checksheet!$BA$28,AY6)),MAX($AH$1:AH5)+1,"")</f>
        <v>5</v>
      </c>
      <c r="AI6" t="str">
        <f t="shared" si="11"/>
        <v>Không đạt do NL</v>
      </c>
      <c r="AJ6" t="str">
        <f ca="1"/>
        <v>Không đạt do NL</v>
      </c>
      <c r="AK6">
        <f>IF(ISNUMBER(SEARCH(Checksheet!$BA$29,AY6)),MAX($AK$1:AK5)+1,"")</f>
        <v>5</v>
      </c>
      <c r="AL6" t="str">
        <f t="shared" si="12"/>
        <v>Không đạt do NL</v>
      </c>
      <c r="AM6" t="str">
        <f ca="1"/>
        <v>Không đạt do NL</v>
      </c>
      <c r="AN6">
        <f>IF(ISNUMBER(SEARCH(Checksheet!$BA$30,AY6)),MAX($AN$1:AN5)+1,"")</f>
        <v>5</v>
      </c>
      <c r="AO6" t="str">
        <f t="shared" si="13"/>
        <v>Không đạt do NL</v>
      </c>
      <c r="AP6" t="str">
        <f ca="1"/>
        <v>Không đạt do NL</v>
      </c>
      <c r="AQ6">
        <f>IF(ISNUMBER(SEARCH(Checksheet!$BA$31,AY6)),MAX($AQ$1:AQ5)+1,"")</f>
        <v>5</v>
      </c>
      <c r="AR6" t="str">
        <f t="shared" si="14"/>
        <v>Không đạt do NL</v>
      </c>
      <c r="AS6" t="str">
        <f ca="1"/>
        <v>Không đạt do NL</v>
      </c>
      <c r="AT6" s="156" t="s">
        <v>1246</v>
      </c>
      <c r="AU6" s="157" t="s">
        <v>1368</v>
      </c>
      <c r="AV6" s="157" t="s">
        <v>1391</v>
      </c>
      <c r="AW6" s="157"/>
      <c r="AX6" s="157"/>
      <c r="AY6" s="157" t="s">
        <v>1501</v>
      </c>
      <c r="AZ6" s="158"/>
    </row>
    <row r="7" spans="1:52">
      <c r="A7">
        <f>IF(ISNUMBER(SEARCH(Checksheet!$BA$17,AY7)),MAX($A$1:A6)+1,"")</f>
        <v>6</v>
      </c>
      <c r="B7" t="str">
        <f t="shared" si="0"/>
        <v>Caused by preprocess</v>
      </c>
      <c r="C7" t="str">
        <f ca="1"/>
        <v>Caused by preprocess</v>
      </c>
      <c r="D7">
        <f>IF(ISNUMBER(SEARCH(Checksheet!$BA$18,AY7)),MAX($D$1:D6)+1,"")</f>
        <v>6</v>
      </c>
      <c r="E7" t="str">
        <f t="shared" si="1"/>
        <v>Caused by preprocess</v>
      </c>
      <c r="F7" t="str">
        <f ca="1"/>
        <v>Caused by preprocess</v>
      </c>
      <c r="G7">
        <f>IF(ISNUMBER(SEARCH(Checksheet!$BA$19,AY7)),MAX($G$1:G6)+1,"")</f>
        <v>6</v>
      </c>
      <c r="H7" t="str">
        <f t="shared" si="2"/>
        <v>Caused by preprocess</v>
      </c>
      <c r="I7" t="str">
        <f ca="1"/>
        <v>Caused by preprocess</v>
      </c>
      <c r="J7">
        <f>IF(ISNUMBER(SEARCH(Checksheet!$BA$20,AY7)),MAX($J$1:J6)+1,"")</f>
        <v>6</v>
      </c>
      <c r="K7" t="str">
        <f t="shared" si="3"/>
        <v>Caused by preprocess</v>
      </c>
      <c r="L7" t="str">
        <f ca="1"/>
        <v>Caused by preprocess</v>
      </c>
      <c r="M7">
        <f>IF(ISNUMBER(SEARCH(Checksheet!$BA$21,AY7)),MAX($M$1:M6)+1,"")</f>
        <v>6</v>
      </c>
      <c r="N7" t="str">
        <f t="shared" si="4"/>
        <v>Caused by preprocess</v>
      </c>
      <c r="O7" t="str">
        <f ca="1"/>
        <v>Caused by preprocess</v>
      </c>
      <c r="P7">
        <f>IF(ISNUMBER(SEARCH(Checksheet!$BA$22,AY7)),MAX($P$1:P6)+1,"")</f>
        <v>6</v>
      </c>
      <c r="Q7" t="str">
        <f t="shared" si="5"/>
        <v>Caused by preprocess</v>
      </c>
      <c r="R7" t="str">
        <f ca="1"/>
        <v>Caused by preprocess</v>
      </c>
      <c r="S7">
        <f>IF(ISNUMBER(SEARCH(Checksheet!$BA$23,AY7)),MAX($S$1:S6)+1,"")</f>
        <v>6</v>
      </c>
      <c r="T7" t="str">
        <f t="shared" si="6"/>
        <v>Caused by preprocess</v>
      </c>
      <c r="U7" t="str">
        <f ca="1"/>
        <v>Caused by preprocess</v>
      </c>
      <c r="V7">
        <f>IF(ISNUMBER(SEARCH(Checksheet!$BA$24,AY7)),MAX($V$1:V6)+1,"")</f>
        <v>6</v>
      </c>
      <c r="W7" t="str">
        <f t="shared" si="7"/>
        <v>Caused by preprocess</v>
      </c>
      <c r="X7" t="str">
        <f ca="1"/>
        <v>Caused by preprocess</v>
      </c>
      <c r="Y7">
        <f>IF(ISNUMBER(SEARCH(Checksheet!$BA$25,AY7)),MAX($Y$1:Y6)+1,"")</f>
        <v>6</v>
      </c>
      <c r="Z7" t="str">
        <f t="shared" si="8"/>
        <v>Caused by preprocess</v>
      </c>
      <c r="AA7" t="str">
        <f ca="1"/>
        <v>Caused by preprocess</v>
      </c>
      <c r="AB7">
        <f>IF(ISNUMBER(SEARCH(Checksheet!$BA$26,AY7)),MAX($AB$1:AB6)+1,"")</f>
        <v>6</v>
      </c>
      <c r="AC7" t="str">
        <f t="shared" si="9"/>
        <v>Caused by preprocess</v>
      </c>
      <c r="AD7" t="str">
        <f ca="1"/>
        <v>Caused by preprocess</v>
      </c>
      <c r="AE7">
        <f>IF(ISNUMBER(SEARCH(Checksheet!$BA$27,AY7)),MAX($AE$1:AE6)+1,"")</f>
        <v>6</v>
      </c>
      <c r="AF7" t="str">
        <f t="shared" si="10"/>
        <v>Caused by preprocess</v>
      </c>
      <c r="AG7" t="str">
        <f ca="1"/>
        <v>Caused by preprocess</v>
      </c>
      <c r="AH7">
        <f>IF(ISNUMBER(SEARCH(Checksheet!$BA$28,AY7)),MAX($AH$1:AH6)+1,"")</f>
        <v>6</v>
      </c>
      <c r="AI7" t="str">
        <f t="shared" si="11"/>
        <v>Caused by preprocess</v>
      </c>
      <c r="AJ7" t="str">
        <f ca="1"/>
        <v>Caused by preprocess</v>
      </c>
      <c r="AK7">
        <f>IF(ISNUMBER(SEARCH(Checksheet!$BA$29,AY7)),MAX($AK$1:AK6)+1,"")</f>
        <v>6</v>
      </c>
      <c r="AL7" t="str">
        <f t="shared" si="12"/>
        <v>Caused by preprocess</v>
      </c>
      <c r="AM7" t="str">
        <f ca="1"/>
        <v>Caused by preprocess</v>
      </c>
      <c r="AN7">
        <f>IF(ISNUMBER(SEARCH(Checksheet!$BA$30,AY7)),MAX($AN$1:AN6)+1,"")</f>
        <v>6</v>
      </c>
      <c r="AO7" t="str">
        <f t="shared" si="13"/>
        <v>Caused by preprocess</v>
      </c>
      <c r="AP7" t="str">
        <f ca="1"/>
        <v>Caused by preprocess</v>
      </c>
      <c r="AQ7">
        <f>IF(ISNUMBER(SEARCH(Checksheet!$BA$31,AY7)),MAX($AQ$1:AQ6)+1,"")</f>
        <v>6</v>
      </c>
      <c r="AR7" t="str">
        <f t="shared" si="14"/>
        <v>Caused by preprocess</v>
      </c>
      <c r="AS7" t="str">
        <f ca="1"/>
        <v>Caused by preprocess</v>
      </c>
      <c r="AT7" s="156" t="s">
        <v>1246</v>
      </c>
      <c r="AU7" s="157" t="s">
        <v>1369</v>
      </c>
      <c r="AV7" s="157" t="s">
        <v>1446</v>
      </c>
      <c r="AW7" s="157"/>
      <c r="AX7" s="157"/>
      <c r="AY7" s="157" t="s">
        <v>1500</v>
      </c>
      <c r="AZ7" s="158"/>
    </row>
    <row r="8" spans="1:52">
      <c r="A8">
        <f>IF(ISNUMBER(SEARCH(Checksheet!$BA$17,AY8)),MAX($A$1:A7)+1,"")</f>
        <v>7</v>
      </c>
      <c r="B8" t="str">
        <f t="shared" si="0"/>
        <v>Caused by preprocess</v>
      </c>
      <c r="C8" t="str">
        <f ca="1"/>
        <v>Caused by preprocess</v>
      </c>
      <c r="D8">
        <f>IF(ISNUMBER(SEARCH(Checksheet!$BA$18,AY8)),MAX($D$1:D7)+1,"")</f>
        <v>7</v>
      </c>
      <c r="E8" t="str">
        <f t="shared" si="1"/>
        <v>Caused by preprocess</v>
      </c>
      <c r="F8" t="str">
        <f ca="1"/>
        <v>Caused by preprocess</v>
      </c>
      <c r="G8">
        <f>IF(ISNUMBER(SEARCH(Checksheet!$BA$19,AY8)),MAX($G$1:G7)+1,"")</f>
        <v>7</v>
      </c>
      <c r="H8" t="str">
        <f t="shared" si="2"/>
        <v>Caused by preprocess</v>
      </c>
      <c r="I8" t="str">
        <f ca="1"/>
        <v>Caused by preprocess</v>
      </c>
      <c r="J8">
        <f>IF(ISNUMBER(SEARCH(Checksheet!$BA$20,AY8)),MAX($J$1:J7)+1,"")</f>
        <v>7</v>
      </c>
      <c r="K8" t="str">
        <f t="shared" si="3"/>
        <v>Caused by preprocess</v>
      </c>
      <c r="L8" t="str">
        <f ca="1"/>
        <v>Caused by preprocess</v>
      </c>
      <c r="M8">
        <f>IF(ISNUMBER(SEARCH(Checksheet!$BA$21,AY8)),MAX($M$1:M7)+1,"")</f>
        <v>7</v>
      </c>
      <c r="N8" t="str">
        <f t="shared" si="4"/>
        <v>Caused by preprocess</v>
      </c>
      <c r="O8" t="str">
        <f ca="1"/>
        <v>Caused by preprocess</v>
      </c>
      <c r="P8">
        <f>IF(ISNUMBER(SEARCH(Checksheet!$BA$22,AY8)),MAX($P$1:P7)+1,"")</f>
        <v>7</v>
      </c>
      <c r="Q8" t="str">
        <f t="shared" si="5"/>
        <v>Caused by preprocess</v>
      </c>
      <c r="R8" t="str">
        <f ca="1"/>
        <v>Caused by preprocess</v>
      </c>
      <c r="S8">
        <f>IF(ISNUMBER(SEARCH(Checksheet!$BA$23,AY8)),MAX($S$1:S7)+1,"")</f>
        <v>7</v>
      </c>
      <c r="T8" t="str">
        <f t="shared" si="6"/>
        <v>Caused by preprocess</v>
      </c>
      <c r="U8" t="str">
        <f ca="1"/>
        <v>Caused by preprocess</v>
      </c>
      <c r="V8">
        <f>IF(ISNUMBER(SEARCH(Checksheet!$BA$24,AY8)),MAX($V$1:V7)+1,"")</f>
        <v>7</v>
      </c>
      <c r="W8" t="str">
        <f t="shared" si="7"/>
        <v>Caused by preprocess</v>
      </c>
      <c r="X8" t="str">
        <f ca="1"/>
        <v>Caused by preprocess</v>
      </c>
      <c r="Y8">
        <f>IF(ISNUMBER(SEARCH(Checksheet!$BA$25,AY8)),MAX($Y$1:Y7)+1,"")</f>
        <v>7</v>
      </c>
      <c r="Z8" t="str">
        <f t="shared" si="8"/>
        <v>Caused by preprocess</v>
      </c>
      <c r="AA8" t="str">
        <f ca="1"/>
        <v>Caused by preprocess</v>
      </c>
      <c r="AB8">
        <f>IF(ISNUMBER(SEARCH(Checksheet!$BA$26,AY8)),MAX($AB$1:AB7)+1,"")</f>
        <v>7</v>
      </c>
      <c r="AC8" t="str">
        <f t="shared" si="9"/>
        <v>Caused by preprocess</v>
      </c>
      <c r="AD8" t="str">
        <f ca="1"/>
        <v>Caused by preprocess</v>
      </c>
      <c r="AE8">
        <f>IF(ISNUMBER(SEARCH(Checksheet!$BA$27,AY8)),MAX($AE$1:AE7)+1,"")</f>
        <v>7</v>
      </c>
      <c r="AF8" t="str">
        <f t="shared" si="10"/>
        <v>Caused by preprocess</v>
      </c>
      <c r="AG8" t="str">
        <f ca="1"/>
        <v>Caused by preprocess</v>
      </c>
      <c r="AH8">
        <f>IF(ISNUMBER(SEARCH(Checksheet!$BA$28,AY8)),MAX($AH$1:AH7)+1,"")</f>
        <v>7</v>
      </c>
      <c r="AI8" t="str">
        <f t="shared" si="11"/>
        <v>Caused by preprocess</v>
      </c>
      <c r="AJ8" t="str">
        <f ca="1"/>
        <v>Caused by preprocess</v>
      </c>
      <c r="AK8">
        <f>IF(ISNUMBER(SEARCH(Checksheet!$BA$29,AY8)),MAX($AK$1:AK7)+1,"")</f>
        <v>7</v>
      </c>
      <c r="AL8" t="str">
        <f t="shared" si="12"/>
        <v>Caused by preprocess</v>
      </c>
      <c r="AM8" t="str">
        <f ca="1"/>
        <v>Caused by preprocess</v>
      </c>
      <c r="AN8">
        <f>IF(ISNUMBER(SEARCH(Checksheet!$BA$30,AY8)),MAX($AN$1:AN7)+1,"")</f>
        <v>7</v>
      </c>
      <c r="AO8" t="str">
        <f t="shared" si="13"/>
        <v>Caused by preprocess</v>
      </c>
      <c r="AP8" t="str">
        <f ca="1"/>
        <v>Caused by preprocess</v>
      </c>
      <c r="AQ8">
        <f>IF(ISNUMBER(SEARCH(Checksheet!$BA$31,AY8)),MAX($AQ$1:AQ7)+1,"")</f>
        <v>7</v>
      </c>
      <c r="AR8" t="str">
        <f t="shared" si="14"/>
        <v>Caused by preprocess</v>
      </c>
      <c r="AS8" t="str">
        <f ca="1"/>
        <v>Caused by preprocess</v>
      </c>
      <c r="AT8" s="156" t="s">
        <v>1246</v>
      </c>
      <c r="AU8" s="157" t="s">
        <v>1370</v>
      </c>
      <c r="AV8" s="157" t="s">
        <v>1446</v>
      </c>
      <c r="AW8" s="157"/>
      <c r="AX8" s="157"/>
      <c r="AY8" s="157" t="s">
        <v>1499</v>
      </c>
      <c r="AZ8" s="158"/>
    </row>
    <row r="9" spans="1:52">
      <c r="A9">
        <f>IF(ISNUMBER(SEARCH(Checksheet!$BA$17,AY9)),MAX($A$1:A8)+1,"")</f>
        <v>8</v>
      </c>
      <c r="B9" t="str">
        <f t="shared" si="0"/>
        <v>Mẻ, lõm, biến dạng</v>
      </c>
      <c r="C9" t="str">
        <f ca="1"/>
        <v>Mẻ, lõm, biến dạng</v>
      </c>
      <c r="D9">
        <f>IF(ISNUMBER(SEARCH(Checksheet!$BA$18,AY9)),MAX($D$1:D8)+1,"")</f>
        <v>8</v>
      </c>
      <c r="E9" t="str">
        <f t="shared" si="1"/>
        <v>Mẻ, lõm, biến dạng</v>
      </c>
      <c r="F9" t="str">
        <f ca="1"/>
        <v>Mẻ, lõm, biến dạng</v>
      </c>
      <c r="G9">
        <f>IF(ISNUMBER(SEARCH(Checksheet!$BA$19,AY9)),MAX($G$1:G8)+1,"")</f>
        <v>8</v>
      </c>
      <c r="H9" t="str">
        <f t="shared" si="2"/>
        <v>Mẻ, lõm, biến dạng</v>
      </c>
      <c r="I9" t="str">
        <f ca="1"/>
        <v>Mẻ, lõm, biến dạng</v>
      </c>
      <c r="J9">
        <f>IF(ISNUMBER(SEARCH(Checksheet!$BA$20,AY9)),MAX($J$1:J8)+1,"")</f>
        <v>8</v>
      </c>
      <c r="K9" t="str">
        <f t="shared" si="3"/>
        <v>Mẻ, lõm, biến dạng</v>
      </c>
      <c r="L9" t="str">
        <f ca="1"/>
        <v>Mẻ, lõm, biến dạng</v>
      </c>
      <c r="M9">
        <f>IF(ISNUMBER(SEARCH(Checksheet!$BA$21,AY9)),MAX($M$1:M8)+1,"")</f>
        <v>8</v>
      </c>
      <c r="N9" t="str">
        <f t="shared" si="4"/>
        <v>Mẻ, lõm, biến dạng</v>
      </c>
      <c r="O9" t="str">
        <f ca="1"/>
        <v>Mẻ, lõm, biến dạng</v>
      </c>
      <c r="P9">
        <f>IF(ISNUMBER(SEARCH(Checksheet!$BA$22,AY9)),MAX($P$1:P8)+1,"")</f>
        <v>8</v>
      </c>
      <c r="Q9" t="str">
        <f t="shared" si="5"/>
        <v>Mẻ, lõm, biến dạng</v>
      </c>
      <c r="R9" t="str">
        <f ca="1"/>
        <v>Mẻ, lõm, biến dạng</v>
      </c>
      <c r="S9">
        <f>IF(ISNUMBER(SEARCH(Checksheet!$BA$23,AY9)),MAX($S$1:S8)+1,"")</f>
        <v>8</v>
      </c>
      <c r="T9" t="str">
        <f t="shared" si="6"/>
        <v>Mẻ, lõm, biến dạng</v>
      </c>
      <c r="U9" t="str">
        <f ca="1"/>
        <v>Mẻ, lõm, biến dạng</v>
      </c>
      <c r="V9">
        <f>IF(ISNUMBER(SEARCH(Checksheet!$BA$24,AY9)),MAX($V$1:V8)+1,"")</f>
        <v>8</v>
      </c>
      <c r="W9" t="str">
        <f t="shared" si="7"/>
        <v>Mẻ, lõm, biến dạng</v>
      </c>
      <c r="X9" t="str">
        <f ca="1"/>
        <v>Mẻ, lõm, biến dạng</v>
      </c>
      <c r="Y9">
        <f>IF(ISNUMBER(SEARCH(Checksheet!$BA$25,AY9)),MAX($Y$1:Y8)+1,"")</f>
        <v>8</v>
      </c>
      <c r="Z9" t="str">
        <f t="shared" si="8"/>
        <v>Mẻ, lõm, biến dạng</v>
      </c>
      <c r="AA9" t="str">
        <f ca="1"/>
        <v>Mẻ, lõm, biến dạng</v>
      </c>
      <c r="AB9">
        <f>IF(ISNUMBER(SEARCH(Checksheet!$BA$26,AY9)),MAX($AB$1:AB8)+1,"")</f>
        <v>8</v>
      </c>
      <c r="AC9" t="str">
        <f t="shared" si="9"/>
        <v>Mẻ, lõm, biến dạng</v>
      </c>
      <c r="AD9" t="str">
        <f ca="1"/>
        <v>Mẻ, lõm, biến dạng</v>
      </c>
      <c r="AE9">
        <f>IF(ISNUMBER(SEARCH(Checksheet!$BA$27,AY9)),MAX($AE$1:AE8)+1,"")</f>
        <v>8</v>
      </c>
      <c r="AF9" t="str">
        <f t="shared" si="10"/>
        <v>Mẻ, lõm, biến dạng</v>
      </c>
      <c r="AG9" t="str">
        <f ca="1"/>
        <v>Mẻ, lõm, biến dạng</v>
      </c>
      <c r="AH9">
        <f>IF(ISNUMBER(SEARCH(Checksheet!$BA$28,AY9)),MAX($AH$1:AH8)+1,"")</f>
        <v>8</v>
      </c>
      <c r="AI9" t="str">
        <f t="shared" si="11"/>
        <v>Mẻ, lõm, biến dạng</v>
      </c>
      <c r="AJ9" t="str">
        <f ca="1"/>
        <v>Mẻ, lõm, biến dạng</v>
      </c>
      <c r="AK9">
        <f>IF(ISNUMBER(SEARCH(Checksheet!$BA$29,AY9)),MAX($AK$1:AK8)+1,"")</f>
        <v>8</v>
      </c>
      <c r="AL9" t="str">
        <f t="shared" si="12"/>
        <v>Mẻ, lõm, biến dạng</v>
      </c>
      <c r="AM9" t="str">
        <f ca="1"/>
        <v>Mẻ, lõm, biến dạng</v>
      </c>
      <c r="AN9">
        <f>IF(ISNUMBER(SEARCH(Checksheet!$BA$30,AY9)),MAX($AN$1:AN8)+1,"")</f>
        <v>8</v>
      </c>
      <c r="AO9" t="str">
        <f t="shared" si="13"/>
        <v>Mẻ, lõm, biến dạng</v>
      </c>
      <c r="AP9" t="str">
        <f ca="1"/>
        <v>Mẻ, lõm, biến dạng</v>
      </c>
      <c r="AQ9">
        <f>IF(ISNUMBER(SEARCH(Checksheet!$BA$31,AY9)),MAX($AQ$1:AQ8)+1,"")</f>
        <v>8</v>
      </c>
      <c r="AR9" t="str">
        <f t="shared" si="14"/>
        <v>Mẻ, lõm, biến dạng</v>
      </c>
      <c r="AS9" t="str">
        <f ca="1"/>
        <v>Mẻ, lõm, biến dạng</v>
      </c>
      <c r="AT9" s="156" t="s">
        <v>1246</v>
      </c>
      <c r="AU9" s="157" t="s">
        <v>1360</v>
      </c>
      <c r="AV9" s="157" t="s">
        <v>1447</v>
      </c>
      <c r="AW9" s="157"/>
      <c r="AX9" s="157"/>
      <c r="AY9" s="157" t="s">
        <v>1496</v>
      </c>
      <c r="AZ9" s="158"/>
    </row>
    <row r="10" spans="1:52">
      <c r="A10">
        <f>IF(ISNUMBER(SEARCH(Checksheet!$BA$17,AY10)),MAX($A$1:A9)+1,"")</f>
        <v>9</v>
      </c>
      <c r="B10" t="str">
        <f t="shared" si="0"/>
        <v>Others</v>
      </c>
      <c r="C10" t="str">
        <f ca="1"/>
        <v>Others</v>
      </c>
      <c r="D10">
        <f>IF(ISNUMBER(SEARCH(Checksheet!$BA$18,AY10)),MAX($D$1:D9)+1,"")</f>
        <v>9</v>
      </c>
      <c r="E10" t="str">
        <f t="shared" si="1"/>
        <v>Others</v>
      </c>
      <c r="F10" t="str">
        <f ca="1"/>
        <v>Others</v>
      </c>
      <c r="G10">
        <f>IF(ISNUMBER(SEARCH(Checksheet!$BA$19,AY10)),MAX($G$1:G9)+1,"")</f>
        <v>9</v>
      </c>
      <c r="H10" t="str">
        <f t="shared" si="2"/>
        <v>Others</v>
      </c>
      <c r="I10" t="str">
        <f ca="1"/>
        <v>Others</v>
      </c>
      <c r="J10">
        <f>IF(ISNUMBER(SEARCH(Checksheet!$BA$20,AY10)),MAX($J$1:J9)+1,"")</f>
        <v>9</v>
      </c>
      <c r="K10" t="str">
        <f t="shared" si="3"/>
        <v>Others</v>
      </c>
      <c r="L10" t="str">
        <f ca="1"/>
        <v>Others</v>
      </c>
      <c r="M10">
        <f>IF(ISNUMBER(SEARCH(Checksheet!$BA$21,AY10)),MAX($M$1:M9)+1,"")</f>
        <v>9</v>
      </c>
      <c r="N10" t="str">
        <f t="shared" si="4"/>
        <v>Others</v>
      </c>
      <c r="O10" t="str">
        <f ca="1"/>
        <v>Others</v>
      </c>
      <c r="P10">
        <f>IF(ISNUMBER(SEARCH(Checksheet!$BA$22,AY10)),MAX($P$1:P9)+1,"")</f>
        <v>9</v>
      </c>
      <c r="Q10" t="str">
        <f t="shared" si="5"/>
        <v>Others</v>
      </c>
      <c r="R10" t="str">
        <f ca="1"/>
        <v>Others</v>
      </c>
      <c r="S10">
        <f>IF(ISNUMBER(SEARCH(Checksheet!$BA$23,AY10)),MAX($S$1:S9)+1,"")</f>
        <v>9</v>
      </c>
      <c r="T10" t="str">
        <f t="shared" si="6"/>
        <v>Others</v>
      </c>
      <c r="U10" t="str">
        <f ca="1"/>
        <v>Others</v>
      </c>
      <c r="V10">
        <f>IF(ISNUMBER(SEARCH(Checksheet!$BA$24,AY10)),MAX($V$1:V9)+1,"")</f>
        <v>9</v>
      </c>
      <c r="W10" t="str">
        <f t="shared" si="7"/>
        <v>Others</v>
      </c>
      <c r="X10" t="str">
        <f ca="1"/>
        <v>Others</v>
      </c>
      <c r="Y10">
        <f>IF(ISNUMBER(SEARCH(Checksheet!$BA$25,AY10)),MAX($Y$1:Y9)+1,"")</f>
        <v>9</v>
      </c>
      <c r="Z10" t="str">
        <f t="shared" si="8"/>
        <v>Others</v>
      </c>
      <c r="AA10" t="str">
        <f ca="1"/>
        <v>Others</v>
      </c>
      <c r="AB10">
        <f>IF(ISNUMBER(SEARCH(Checksheet!$BA$26,AY10)),MAX($AB$1:AB9)+1,"")</f>
        <v>9</v>
      </c>
      <c r="AC10" t="str">
        <f t="shared" si="9"/>
        <v>Others</v>
      </c>
      <c r="AD10" t="str">
        <f ca="1"/>
        <v>Others</v>
      </c>
      <c r="AE10">
        <f>IF(ISNUMBER(SEARCH(Checksheet!$BA$27,AY10)),MAX($AE$1:AE9)+1,"")</f>
        <v>9</v>
      </c>
      <c r="AF10" t="str">
        <f t="shared" si="10"/>
        <v>Others</v>
      </c>
      <c r="AG10" t="str">
        <f ca="1"/>
        <v>Others</v>
      </c>
      <c r="AH10">
        <f>IF(ISNUMBER(SEARCH(Checksheet!$BA$28,AY10)),MAX($AH$1:AH9)+1,"")</f>
        <v>9</v>
      </c>
      <c r="AI10" t="str">
        <f t="shared" si="11"/>
        <v>Others</v>
      </c>
      <c r="AJ10" t="str">
        <f ca="1"/>
        <v>Others</v>
      </c>
      <c r="AK10">
        <f>IF(ISNUMBER(SEARCH(Checksheet!$BA$29,AY10)),MAX($AK$1:AK9)+1,"")</f>
        <v>9</v>
      </c>
      <c r="AL10" t="str">
        <f t="shared" si="12"/>
        <v>Others</v>
      </c>
      <c r="AM10" t="str">
        <f ca="1"/>
        <v>Others</v>
      </c>
      <c r="AN10">
        <f>IF(ISNUMBER(SEARCH(Checksheet!$BA$30,AY10)),MAX($AN$1:AN9)+1,"")</f>
        <v>9</v>
      </c>
      <c r="AO10" t="str">
        <f t="shared" si="13"/>
        <v>Others</v>
      </c>
      <c r="AP10" t="str">
        <f ca="1"/>
        <v>Others</v>
      </c>
      <c r="AQ10">
        <f>IF(ISNUMBER(SEARCH(Checksheet!$BA$31,AY10)),MAX($AQ$1:AQ9)+1,"")</f>
        <v>9</v>
      </c>
      <c r="AR10" t="str">
        <f t="shared" si="14"/>
        <v>Others</v>
      </c>
      <c r="AS10" t="str">
        <f ca="1"/>
        <v>Others</v>
      </c>
      <c r="AT10" s="156" t="s">
        <v>1246</v>
      </c>
      <c r="AU10" s="157" t="s">
        <v>1219</v>
      </c>
      <c r="AV10" s="157" t="s">
        <v>1219</v>
      </c>
      <c r="AW10" s="157"/>
      <c r="AX10" s="157"/>
      <c r="AY10" s="157" t="s">
        <v>1498</v>
      </c>
      <c r="AZ10" s="158"/>
    </row>
    <row r="11" spans="1:52">
      <c r="A11">
        <f>IF(ISNUMBER(SEARCH(Checksheet!$BA$17,AY11)),MAX($A$1:A10)+1,"")</f>
        <v>10</v>
      </c>
      <c r="B11" t="str">
        <f t="shared" si="0"/>
        <v>Sai phối màu 誤配色</v>
      </c>
      <c r="C11" t="str">
        <f ca="1"/>
        <v>Sai phối màu 誤配色</v>
      </c>
      <c r="D11">
        <f>IF(ISNUMBER(SEARCH(Checksheet!$BA$18,AY11)),MAX($D$1:D10)+1,"")</f>
        <v>10</v>
      </c>
      <c r="E11" t="str">
        <f t="shared" si="1"/>
        <v>Sai phối màu 誤配色</v>
      </c>
      <c r="F11" t="str">
        <f ca="1"/>
        <v>Sai phối màu 誤配色</v>
      </c>
      <c r="G11">
        <f>IF(ISNUMBER(SEARCH(Checksheet!$BA$19,AY11)),MAX($G$1:G10)+1,"")</f>
        <v>10</v>
      </c>
      <c r="H11" t="str">
        <f t="shared" si="2"/>
        <v>Sai phối màu 誤配色</v>
      </c>
      <c r="I11" t="str">
        <f ca="1"/>
        <v>Sai phối màu 誤配色</v>
      </c>
      <c r="J11">
        <f>IF(ISNUMBER(SEARCH(Checksheet!$BA$20,AY11)),MAX($J$1:J10)+1,"")</f>
        <v>10</v>
      </c>
      <c r="K11" t="str">
        <f t="shared" si="3"/>
        <v>Sai phối màu 誤配色</v>
      </c>
      <c r="L11" t="str">
        <f ca="1"/>
        <v>Sai phối màu 誤配色</v>
      </c>
      <c r="M11">
        <f>IF(ISNUMBER(SEARCH(Checksheet!$BA$21,AY11)),MAX($M$1:M10)+1,"")</f>
        <v>10</v>
      </c>
      <c r="N11" t="str">
        <f t="shared" si="4"/>
        <v>Sai phối màu 誤配色</v>
      </c>
      <c r="O11" t="str">
        <f ca="1"/>
        <v>Sai phối màu 誤配色</v>
      </c>
      <c r="P11">
        <f>IF(ISNUMBER(SEARCH(Checksheet!$BA$22,AY11)),MAX($P$1:P10)+1,"")</f>
        <v>10</v>
      </c>
      <c r="Q11" t="str">
        <f t="shared" si="5"/>
        <v>Sai phối màu 誤配色</v>
      </c>
      <c r="R11" t="str">
        <f ca="1"/>
        <v>Sai phối màu 誤配色</v>
      </c>
      <c r="S11">
        <f>IF(ISNUMBER(SEARCH(Checksheet!$BA$23,AY11)),MAX($S$1:S10)+1,"")</f>
        <v>10</v>
      </c>
      <c r="T11" t="str">
        <f t="shared" si="6"/>
        <v>Sai phối màu 誤配色</v>
      </c>
      <c r="U11" t="str">
        <f ca="1"/>
        <v>Sai phối màu 誤配色</v>
      </c>
      <c r="V11">
        <f>IF(ISNUMBER(SEARCH(Checksheet!$BA$24,AY11)),MAX($V$1:V10)+1,"")</f>
        <v>10</v>
      </c>
      <c r="W11" t="str">
        <f t="shared" si="7"/>
        <v>Sai phối màu 誤配色</v>
      </c>
      <c r="X11" t="str">
        <f ca="1"/>
        <v>Sai phối màu 誤配色</v>
      </c>
      <c r="Y11">
        <f>IF(ISNUMBER(SEARCH(Checksheet!$BA$25,AY11)),MAX($Y$1:Y10)+1,"")</f>
        <v>10</v>
      </c>
      <c r="Z11" t="str">
        <f t="shared" si="8"/>
        <v>Sai phối màu 誤配色</v>
      </c>
      <c r="AA11" t="str">
        <f ca="1"/>
        <v>Sai phối màu 誤配色</v>
      </c>
      <c r="AB11">
        <f>IF(ISNUMBER(SEARCH(Checksheet!$BA$26,AY11)),MAX($AB$1:AB10)+1,"")</f>
        <v>10</v>
      </c>
      <c r="AC11" t="str">
        <f t="shared" si="9"/>
        <v>Sai phối màu 誤配色</v>
      </c>
      <c r="AD11" t="str">
        <f ca="1"/>
        <v>Sai phối màu 誤配色</v>
      </c>
      <c r="AE11">
        <f>IF(ISNUMBER(SEARCH(Checksheet!$BA$27,AY11)),MAX($AE$1:AE10)+1,"")</f>
        <v>10</v>
      </c>
      <c r="AF11" t="str">
        <f t="shared" si="10"/>
        <v>Sai phối màu 誤配色</v>
      </c>
      <c r="AG11" t="str">
        <f ca="1"/>
        <v>Sai phối màu 誤配色</v>
      </c>
      <c r="AH11">
        <f>IF(ISNUMBER(SEARCH(Checksheet!$BA$28,AY11)),MAX($AH$1:AH10)+1,"")</f>
        <v>10</v>
      </c>
      <c r="AI11" t="str">
        <f t="shared" si="11"/>
        <v>Sai phối màu 誤配色</v>
      </c>
      <c r="AJ11" t="str">
        <f ca="1"/>
        <v>Sai phối màu 誤配色</v>
      </c>
      <c r="AK11">
        <f>IF(ISNUMBER(SEARCH(Checksheet!$BA$29,AY11)),MAX($AK$1:AK10)+1,"")</f>
        <v>10</v>
      </c>
      <c r="AL11" t="str">
        <f t="shared" si="12"/>
        <v>Sai phối màu 誤配色</v>
      </c>
      <c r="AM11" t="str">
        <f ca="1"/>
        <v>Sai phối màu 誤配色</v>
      </c>
      <c r="AN11">
        <f>IF(ISNUMBER(SEARCH(Checksheet!$BA$30,AY11)),MAX($AN$1:AN10)+1,"")</f>
        <v>10</v>
      </c>
      <c r="AO11" t="str">
        <f t="shared" si="13"/>
        <v>Sai phối màu 誤配色</v>
      </c>
      <c r="AP11" t="str">
        <f ca="1"/>
        <v>Sai phối màu 誤配色</v>
      </c>
      <c r="AQ11">
        <f>IF(ISNUMBER(SEARCH(Checksheet!$BA$31,AY11)),MAX($AQ$1:AQ10)+1,"")</f>
        <v>10</v>
      </c>
      <c r="AR11" t="str">
        <f t="shared" si="14"/>
        <v>Sai phối màu 誤配色</v>
      </c>
      <c r="AS11" t="str">
        <f ca="1"/>
        <v>Sai phối màu 誤配色</v>
      </c>
      <c r="AT11" s="156" t="s">
        <v>1361</v>
      </c>
      <c r="AU11" s="157" t="s">
        <v>1362</v>
      </c>
      <c r="AV11" s="157" t="s">
        <v>1231</v>
      </c>
      <c r="AW11" s="157"/>
      <c r="AX11" s="157"/>
      <c r="AY11" s="157" t="s">
        <v>1497</v>
      </c>
      <c r="AZ11" s="158"/>
    </row>
    <row r="12" spans="1:52">
      <c r="A12">
        <f>IF(ISNUMBER(SEARCH(Checksheet!$BA$17,AY12)),MAX($A$1:A11)+1,"")</f>
        <v>11</v>
      </c>
      <c r="B12" t="str">
        <f t="shared" si="0"/>
        <v>Thông dòng NG</v>
      </c>
      <c r="C12" t="str">
        <f ca="1"/>
        <v>Thông dòng NG</v>
      </c>
      <c r="D12">
        <f>IF(ISNUMBER(SEARCH(Checksheet!$BA$18,AY12)),MAX($D$1:D11)+1,"")</f>
        <v>11</v>
      </c>
      <c r="E12" t="str">
        <f t="shared" si="1"/>
        <v>Thông dòng NG</v>
      </c>
      <c r="F12" t="str">
        <f ca="1"/>
        <v>Thông dòng NG</v>
      </c>
      <c r="G12">
        <f>IF(ISNUMBER(SEARCH(Checksheet!$BA$19,AY12)),MAX($G$1:G11)+1,"")</f>
        <v>11</v>
      </c>
      <c r="H12" t="str">
        <f t="shared" si="2"/>
        <v>Thông dòng NG</v>
      </c>
      <c r="I12" t="str">
        <f ca="1"/>
        <v>Thông dòng NG</v>
      </c>
      <c r="J12">
        <f>IF(ISNUMBER(SEARCH(Checksheet!$BA$20,AY12)),MAX($J$1:J11)+1,"")</f>
        <v>11</v>
      </c>
      <c r="K12" t="str">
        <f t="shared" si="3"/>
        <v>Thông dòng NG</v>
      </c>
      <c r="L12" t="str">
        <f ca="1"/>
        <v>Thông dòng NG</v>
      </c>
      <c r="M12">
        <f>IF(ISNUMBER(SEARCH(Checksheet!$BA$21,AY12)),MAX($M$1:M11)+1,"")</f>
        <v>11</v>
      </c>
      <c r="N12" t="str">
        <f t="shared" si="4"/>
        <v>Thông dòng NG</v>
      </c>
      <c r="O12" t="str">
        <f ca="1"/>
        <v>Thông dòng NG</v>
      </c>
      <c r="P12">
        <f>IF(ISNUMBER(SEARCH(Checksheet!$BA$22,AY12)),MAX($P$1:P11)+1,"")</f>
        <v>11</v>
      </c>
      <c r="Q12" t="str">
        <f t="shared" si="5"/>
        <v>Thông dòng NG</v>
      </c>
      <c r="R12" t="str">
        <f ca="1"/>
        <v>Thông dòng NG</v>
      </c>
      <c r="S12">
        <f>IF(ISNUMBER(SEARCH(Checksheet!$BA$23,AY12)),MAX($S$1:S11)+1,"")</f>
        <v>11</v>
      </c>
      <c r="T12" t="str">
        <f t="shared" si="6"/>
        <v>Thông dòng NG</v>
      </c>
      <c r="U12" t="str">
        <f ca="1"/>
        <v>Thông dòng NG</v>
      </c>
      <c r="V12">
        <f>IF(ISNUMBER(SEARCH(Checksheet!$BA$24,AY12)),MAX($V$1:V11)+1,"")</f>
        <v>11</v>
      </c>
      <c r="W12" t="str">
        <f t="shared" si="7"/>
        <v>Thông dòng NG</v>
      </c>
      <c r="X12" t="str">
        <f ca="1"/>
        <v>Thông dòng NG</v>
      </c>
      <c r="Y12">
        <f>IF(ISNUMBER(SEARCH(Checksheet!$BA$25,AY12)),MAX($Y$1:Y11)+1,"")</f>
        <v>11</v>
      </c>
      <c r="Z12" t="str">
        <f t="shared" si="8"/>
        <v>Thông dòng NG</v>
      </c>
      <c r="AA12" t="str">
        <f ca="1"/>
        <v>Thông dòng NG</v>
      </c>
      <c r="AB12">
        <f>IF(ISNUMBER(SEARCH(Checksheet!$BA$26,AY12)),MAX($AB$1:AB11)+1,"")</f>
        <v>11</v>
      </c>
      <c r="AC12" t="str">
        <f t="shared" si="9"/>
        <v>Thông dòng NG</v>
      </c>
      <c r="AD12" t="str">
        <f ca="1"/>
        <v>Thông dòng NG</v>
      </c>
      <c r="AE12">
        <f>IF(ISNUMBER(SEARCH(Checksheet!$BA$27,AY12)),MAX($AE$1:AE11)+1,"")</f>
        <v>11</v>
      </c>
      <c r="AF12" t="str">
        <f t="shared" si="10"/>
        <v>Thông dòng NG</v>
      </c>
      <c r="AG12" t="str">
        <f ca="1"/>
        <v>Thông dòng NG</v>
      </c>
      <c r="AH12">
        <f>IF(ISNUMBER(SEARCH(Checksheet!$BA$28,AY12)),MAX($AH$1:AH11)+1,"")</f>
        <v>11</v>
      </c>
      <c r="AI12" t="str">
        <f t="shared" si="11"/>
        <v>Thông dòng NG</v>
      </c>
      <c r="AJ12" t="str">
        <f ca="1"/>
        <v>Thông dòng NG</v>
      </c>
      <c r="AK12">
        <f>IF(ISNUMBER(SEARCH(Checksheet!$BA$29,AY12)),MAX($AK$1:AK11)+1,"")</f>
        <v>11</v>
      </c>
      <c r="AL12" t="str">
        <f t="shared" si="12"/>
        <v>Thông dòng NG</v>
      </c>
      <c r="AM12" t="str">
        <f ca="1"/>
        <v>Thông dòng NG</v>
      </c>
      <c r="AN12">
        <f>IF(ISNUMBER(SEARCH(Checksheet!$BA$30,AY12)),MAX($AN$1:AN11)+1,"")</f>
        <v>11</v>
      </c>
      <c r="AO12" t="str">
        <f t="shared" si="13"/>
        <v>Thông dòng NG</v>
      </c>
      <c r="AP12" t="str">
        <f ca="1"/>
        <v>Thông dòng NG</v>
      </c>
      <c r="AQ12">
        <f>IF(ISNUMBER(SEARCH(Checksheet!$BA$31,AY12)),MAX($AQ$1:AQ11)+1,"")</f>
        <v>11</v>
      </c>
      <c r="AR12" t="str">
        <f t="shared" si="14"/>
        <v>Thông dòng NG</v>
      </c>
      <c r="AS12" t="str">
        <f ca="1"/>
        <v>Thông dòng NG</v>
      </c>
      <c r="AT12" s="156" t="s">
        <v>1361</v>
      </c>
      <c r="AU12" s="157" t="s">
        <v>1362</v>
      </c>
      <c r="AV12" s="157" t="s">
        <v>1372</v>
      </c>
      <c r="AW12" s="157"/>
      <c r="AX12" s="157"/>
      <c r="AY12" s="157" t="s">
        <v>1497</v>
      </c>
      <c r="AZ12" s="158"/>
    </row>
    <row r="13" spans="1:52">
      <c r="A13">
        <f>IF(ISNUMBER(SEARCH(Checksheet!$BA$17,AY13)),MAX($A$1:A12)+1,"")</f>
        <v>12</v>
      </c>
      <c r="B13" t="str">
        <f t="shared" si="0"/>
        <v>Dập sai</v>
      </c>
      <c r="C13" t="str">
        <f ca="1"/>
        <v>Dập sai</v>
      </c>
      <c r="D13">
        <f>IF(ISNUMBER(SEARCH(Checksheet!$BA$18,AY13)),MAX($D$1:D12)+1,"")</f>
        <v>12</v>
      </c>
      <c r="E13" t="str">
        <f t="shared" si="1"/>
        <v>Dập sai</v>
      </c>
      <c r="F13" t="str">
        <f ca="1"/>
        <v>Dập sai</v>
      </c>
      <c r="G13">
        <f>IF(ISNUMBER(SEARCH(Checksheet!$BA$19,AY13)),MAX($G$1:G12)+1,"")</f>
        <v>12</v>
      </c>
      <c r="H13" t="str">
        <f t="shared" si="2"/>
        <v>Dập sai</v>
      </c>
      <c r="I13" t="str">
        <f ca="1"/>
        <v>Dập sai</v>
      </c>
      <c r="J13">
        <f>IF(ISNUMBER(SEARCH(Checksheet!$BA$20,AY13)),MAX($J$1:J12)+1,"")</f>
        <v>12</v>
      </c>
      <c r="K13" t="str">
        <f t="shared" si="3"/>
        <v>Dập sai</v>
      </c>
      <c r="L13" t="str">
        <f ca="1"/>
        <v>Dập sai</v>
      </c>
      <c r="M13">
        <f>IF(ISNUMBER(SEARCH(Checksheet!$BA$21,AY13)),MAX($M$1:M12)+1,"")</f>
        <v>12</v>
      </c>
      <c r="N13" t="str">
        <f t="shared" si="4"/>
        <v>Dập sai</v>
      </c>
      <c r="O13" t="str">
        <f ca="1"/>
        <v>Dập sai</v>
      </c>
      <c r="P13">
        <f>IF(ISNUMBER(SEARCH(Checksheet!$BA$22,AY13)),MAX($P$1:P12)+1,"")</f>
        <v>12</v>
      </c>
      <c r="Q13" t="str">
        <f t="shared" si="5"/>
        <v>Dập sai</v>
      </c>
      <c r="R13" t="str">
        <f ca="1"/>
        <v>Dập sai</v>
      </c>
      <c r="S13">
        <f>IF(ISNUMBER(SEARCH(Checksheet!$BA$23,AY13)),MAX($S$1:S12)+1,"")</f>
        <v>12</v>
      </c>
      <c r="T13" t="str">
        <f t="shared" si="6"/>
        <v>Dập sai</v>
      </c>
      <c r="U13" t="str">
        <f ca="1"/>
        <v>Dập sai</v>
      </c>
      <c r="V13">
        <f>IF(ISNUMBER(SEARCH(Checksheet!$BA$24,AY13)),MAX($V$1:V12)+1,"")</f>
        <v>12</v>
      </c>
      <c r="W13" t="str">
        <f t="shared" si="7"/>
        <v>Dập sai</v>
      </c>
      <c r="X13" t="str">
        <f ca="1"/>
        <v>Dập sai</v>
      </c>
      <c r="Y13">
        <f>IF(ISNUMBER(SEARCH(Checksheet!$BA$25,AY13)),MAX($Y$1:Y12)+1,"")</f>
        <v>12</v>
      </c>
      <c r="Z13" t="str">
        <f t="shared" si="8"/>
        <v>Dập sai</v>
      </c>
      <c r="AA13" t="str">
        <f ca="1"/>
        <v>Dập sai</v>
      </c>
      <c r="AB13">
        <f>IF(ISNUMBER(SEARCH(Checksheet!$BA$26,AY13)),MAX($AB$1:AB12)+1,"")</f>
        <v>12</v>
      </c>
      <c r="AC13" t="str">
        <f t="shared" si="9"/>
        <v>Dập sai</v>
      </c>
      <c r="AD13" t="str">
        <f ca="1"/>
        <v>Dập sai</v>
      </c>
      <c r="AE13">
        <f>IF(ISNUMBER(SEARCH(Checksheet!$BA$27,AY13)),MAX($AE$1:AE12)+1,"")</f>
        <v>12</v>
      </c>
      <c r="AF13" t="str">
        <f t="shared" si="10"/>
        <v>Dập sai</v>
      </c>
      <c r="AG13" t="str">
        <f ca="1"/>
        <v>Dập sai</v>
      </c>
      <c r="AH13">
        <f>IF(ISNUMBER(SEARCH(Checksheet!$BA$28,AY13)),MAX($AH$1:AH12)+1,"")</f>
        <v>12</v>
      </c>
      <c r="AI13" t="str">
        <f t="shared" si="11"/>
        <v>Dập sai</v>
      </c>
      <c r="AJ13" t="str">
        <f ca="1"/>
        <v>Dập sai</v>
      </c>
      <c r="AK13">
        <f>IF(ISNUMBER(SEARCH(Checksheet!$BA$29,AY13)),MAX($AK$1:AK12)+1,"")</f>
        <v>12</v>
      </c>
      <c r="AL13" t="str">
        <f t="shared" si="12"/>
        <v>Dập sai</v>
      </c>
      <c r="AM13" t="str">
        <f ca="1"/>
        <v>Dập sai</v>
      </c>
      <c r="AN13">
        <f>IF(ISNUMBER(SEARCH(Checksheet!$BA$30,AY13)),MAX($AN$1:AN12)+1,"")</f>
        <v>12</v>
      </c>
      <c r="AO13" t="str">
        <f t="shared" si="13"/>
        <v>Dập sai</v>
      </c>
      <c r="AP13" t="str">
        <f ca="1"/>
        <v>Dập sai</v>
      </c>
      <c r="AQ13">
        <f>IF(ISNUMBER(SEARCH(Checksheet!$BA$31,AY13)),MAX($AQ$1:AQ12)+1,"")</f>
        <v>12</v>
      </c>
      <c r="AR13" t="str">
        <f t="shared" si="14"/>
        <v>Dập sai</v>
      </c>
      <c r="AS13" t="str">
        <f ca="1"/>
        <v>Dập sai</v>
      </c>
      <c r="AT13" s="156" t="s">
        <v>1361</v>
      </c>
      <c r="AU13" s="157" t="s">
        <v>1362</v>
      </c>
      <c r="AV13" s="157" t="s">
        <v>1373</v>
      </c>
      <c r="AW13" s="157"/>
      <c r="AX13" s="157"/>
      <c r="AY13" s="157" t="s">
        <v>1497</v>
      </c>
      <c r="AZ13" s="158"/>
    </row>
    <row r="14" spans="1:52">
      <c r="A14">
        <f>IF(ISNUMBER(SEARCH(Checksheet!$BA$17,AY14)),MAX($A$1:A13)+1,"")</f>
        <v>13</v>
      </c>
      <c r="B14" t="str">
        <f t="shared" si="0"/>
        <v>Thiếu dây</v>
      </c>
      <c r="C14" t="str">
        <f ca="1"/>
        <v>Thiếu dây</v>
      </c>
      <c r="D14">
        <f>IF(ISNUMBER(SEARCH(Checksheet!$BA$18,AY14)),MAX($D$1:D13)+1,"")</f>
        <v>13</v>
      </c>
      <c r="E14" t="str">
        <f t="shared" si="1"/>
        <v>Thiếu dây</v>
      </c>
      <c r="F14" t="str">
        <f ca="1"/>
        <v>Thiếu dây</v>
      </c>
      <c r="G14">
        <f>IF(ISNUMBER(SEARCH(Checksheet!$BA$19,AY14)),MAX($G$1:G13)+1,"")</f>
        <v>13</v>
      </c>
      <c r="H14" t="str">
        <f t="shared" si="2"/>
        <v>Thiếu dây</v>
      </c>
      <c r="I14" t="str">
        <f ca="1"/>
        <v>Thiếu dây</v>
      </c>
      <c r="J14">
        <f>IF(ISNUMBER(SEARCH(Checksheet!$BA$20,AY14)),MAX($J$1:J13)+1,"")</f>
        <v>13</v>
      </c>
      <c r="K14" t="str">
        <f t="shared" si="3"/>
        <v>Thiếu dây</v>
      </c>
      <c r="L14" t="str">
        <f ca="1"/>
        <v>Thiếu dây</v>
      </c>
      <c r="M14">
        <f>IF(ISNUMBER(SEARCH(Checksheet!$BA$21,AY14)),MAX($M$1:M13)+1,"")</f>
        <v>13</v>
      </c>
      <c r="N14" t="str">
        <f t="shared" si="4"/>
        <v>Thiếu dây</v>
      </c>
      <c r="O14" t="str">
        <f ca="1"/>
        <v>Thiếu dây</v>
      </c>
      <c r="P14">
        <f>IF(ISNUMBER(SEARCH(Checksheet!$BA$22,AY14)),MAX($P$1:P13)+1,"")</f>
        <v>13</v>
      </c>
      <c r="Q14" t="str">
        <f t="shared" si="5"/>
        <v>Thiếu dây</v>
      </c>
      <c r="R14" t="str">
        <f ca="1"/>
        <v>Thiếu dây</v>
      </c>
      <c r="S14">
        <f>IF(ISNUMBER(SEARCH(Checksheet!$BA$23,AY14)),MAX($S$1:S13)+1,"")</f>
        <v>13</v>
      </c>
      <c r="T14" t="str">
        <f t="shared" si="6"/>
        <v>Thiếu dây</v>
      </c>
      <c r="U14" t="str">
        <f ca="1"/>
        <v>Thiếu dây</v>
      </c>
      <c r="V14">
        <f>IF(ISNUMBER(SEARCH(Checksheet!$BA$24,AY14)),MAX($V$1:V13)+1,"")</f>
        <v>13</v>
      </c>
      <c r="W14" t="str">
        <f t="shared" si="7"/>
        <v>Thiếu dây</v>
      </c>
      <c r="X14" t="str">
        <f ca="1"/>
        <v>Thiếu dây</v>
      </c>
      <c r="Y14">
        <f>IF(ISNUMBER(SEARCH(Checksheet!$BA$25,AY14)),MAX($Y$1:Y13)+1,"")</f>
        <v>13</v>
      </c>
      <c r="Z14" t="str">
        <f t="shared" si="8"/>
        <v>Thiếu dây</v>
      </c>
      <c r="AA14" t="str">
        <f ca="1"/>
        <v>Thiếu dây</v>
      </c>
      <c r="AB14">
        <f>IF(ISNUMBER(SEARCH(Checksheet!$BA$26,AY14)),MAX($AB$1:AB13)+1,"")</f>
        <v>13</v>
      </c>
      <c r="AC14" t="str">
        <f t="shared" si="9"/>
        <v>Thiếu dây</v>
      </c>
      <c r="AD14" t="str">
        <f ca="1"/>
        <v>Thiếu dây</v>
      </c>
      <c r="AE14">
        <f>IF(ISNUMBER(SEARCH(Checksheet!$BA$27,AY14)),MAX($AE$1:AE13)+1,"")</f>
        <v>13</v>
      </c>
      <c r="AF14" t="str">
        <f t="shared" si="10"/>
        <v>Thiếu dây</v>
      </c>
      <c r="AG14" t="str">
        <f ca="1"/>
        <v>Thiếu dây</v>
      </c>
      <c r="AH14">
        <f>IF(ISNUMBER(SEARCH(Checksheet!$BA$28,AY14)),MAX($AH$1:AH13)+1,"")</f>
        <v>13</v>
      </c>
      <c r="AI14" t="str">
        <f t="shared" si="11"/>
        <v>Thiếu dây</v>
      </c>
      <c r="AJ14" t="str">
        <f ca="1"/>
        <v>Thiếu dây</v>
      </c>
      <c r="AK14">
        <f>IF(ISNUMBER(SEARCH(Checksheet!$BA$29,AY14)),MAX($AK$1:AK13)+1,"")</f>
        <v>13</v>
      </c>
      <c r="AL14" t="str">
        <f t="shared" si="12"/>
        <v>Thiếu dây</v>
      </c>
      <c r="AM14" t="str">
        <f ca="1"/>
        <v>Thiếu dây</v>
      </c>
      <c r="AN14">
        <f>IF(ISNUMBER(SEARCH(Checksheet!$BA$30,AY14)),MAX($AN$1:AN13)+1,"")</f>
        <v>13</v>
      </c>
      <c r="AO14" t="str">
        <f t="shared" si="13"/>
        <v>Thiếu dây</v>
      </c>
      <c r="AP14" t="str">
        <f ca="1"/>
        <v>Thiếu dây</v>
      </c>
      <c r="AQ14">
        <f>IF(ISNUMBER(SEARCH(Checksheet!$BA$31,AY14)),MAX($AQ$1:AQ13)+1,"")</f>
        <v>13</v>
      </c>
      <c r="AR14" t="str">
        <f t="shared" si="14"/>
        <v>Thiếu dây</v>
      </c>
      <c r="AS14" t="str">
        <f ca="1"/>
        <v>Thiếu dây</v>
      </c>
      <c r="AT14" s="156" t="s">
        <v>1361</v>
      </c>
      <c r="AU14" s="157" t="s">
        <v>1362</v>
      </c>
      <c r="AV14" s="157" t="s">
        <v>1450</v>
      </c>
      <c r="AW14" s="157"/>
      <c r="AX14" s="157"/>
      <c r="AY14" s="157" t="s">
        <v>1497</v>
      </c>
      <c r="AZ14" s="158"/>
    </row>
    <row r="15" spans="1:52">
      <c r="A15">
        <f>IF(ISNUMBER(SEARCH(Checksheet!$BA$17,AY15)),MAX($A$1:A14)+1,"")</f>
        <v>14</v>
      </c>
      <c r="B15" t="str">
        <f t="shared" si="0"/>
        <v>Dây ngắn/dài</v>
      </c>
      <c r="C15" t="str">
        <f ca="1"/>
        <v>Dây ngắn/dài</v>
      </c>
      <c r="D15">
        <f>IF(ISNUMBER(SEARCH(Checksheet!$BA$18,AY15)),MAX($D$1:D14)+1,"")</f>
        <v>14</v>
      </c>
      <c r="E15" t="str">
        <f t="shared" si="1"/>
        <v>Dây ngắn/dài</v>
      </c>
      <c r="F15" t="str">
        <f ca="1"/>
        <v>Dây ngắn/dài</v>
      </c>
      <c r="G15">
        <f>IF(ISNUMBER(SEARCH(Checksheet!$BA$19,AY15)),MAX($G$1:G14)+1,"")</f>
        <v>14</v>
      </c>
      <c r="H15" t="str">
        <f t="shared" si="2"/>
        <v>Dây ngắn/dài</v>
      </c>
      <c r="I15" t="str">
        <f ca="1"/>
        <v>Dây ngắn/dài</v>
      </c>
      <c r="J15">
        <f>IF(ISNUMBER(SEARCH(Checksheet!$BA$20,AY15)),MAX($J$1:J14)+1,"")</f>
        <v>14</v>
      </c>
      <c r="K15" t="str">
        <f t="shared" si="3"/>
        <v>Dây ngắn/dài</v>
      </c>
      <c r="L15" t="str">
        <f ca="1"/>
        <v>Dây ngắn/dài</v>
      </c>
      <c r="M15">
        <f>IF(ISNUMBER(SEARCH(Checksheet!$BA$21,AY15)),MAX($M$1:M14)+1,"")</f>
        <v>14</v>
      </c>
      <c r="N15" t="str">
        <f t="shared" si="4"/>
        <v>Dây ngắn/dài</v>
      </c>
      <c r="O15" t="str">
        <f ca="1"/>
        <v>Dây ngắn/dài</v>
      </c>
      <c r="P15">
        <f>IF(ISNUMBER(SEARCH(Checksheet!$BA$22,AY15)),MAX($P$1:P14)+1,"")</f>
        <v>14</v>
      </c>
      <c r="Q15" t="str">
        <f t="shared" si="5"/>
        <v>Dây ngắn/dài</v>
      </c>
      <c r="R15" t="str">
        <f ca="1"/>
        <v>Dây ngắn/dài</v>
      </c>
      <c r="S15">
        <f>IF(ISNUMBER(SEARCH(Checksheet!$BA$23,AY15)),MAX($S$1:S14)+1,"")</f>
        <v>14</v>
      </c>
      <c r="T15" t="str">
        <f t="shared" si="6"/>
        <v>Dây ngắn/dài</v>
      </c>
      <c r="U15" t="str">
        <f ca="1"/>
        <v>Dây ngắn/dài</v>
      </c>
      <c r="V15">
        <f>IF(ISNUMBER(SEARCH(Checksheet!$BA$24,AY15)),MAX($V$1:V14)+1,"")</f>
        <v>14</v>
      </c>
      <c r="W15" t="str">
        <f t="shared" si="7"/>
        <v>Dây ngắn/dài</v>
      </c>
      <c r="X15" t="str">
        <f ca="1"/>
        <v>Dây ngắn/dài</v>
      </c>
      <c r="Y15">
        <f>IF(ISNUMBER(SEARCH(Checksheet!$BA$25,AY15)),MAX($Y$1:Y14)+1,"")</f>
        <v>14</v>
      </c>
      <c r="Z15" t="str">
        <f t="shared" si="8"/>
        <v>Dây ngắn/dài</v>
      </c>
      <c r="AA15" t="str">
        <f ca="1"/>
        <v>Dây ngắn/dài</v>
      </c>
      <c r="AB15">
        <f>IF(ISNUMBER(SEARCH(Checksheet!$BA$26,AY15)),MAX($AB$1:AB14)+1,"")</f>
        <v>14</v>
      </c>
      <c r="AC15" t="str">
        <f t="shared" si="9"/>
        <v>Dây ngắn/dài</v>
      </c>
      <c r="AD15" t="str">
        <f ca="1"/>
        <v>Dây ngắn/dài</v>
      </c>
      <c r="AE15">
        <f>IF(ISNUMBER(SEARCH(Checksheet!$BA$27,AY15)),MAX($AE$1:AE14)+1,"")</f>
        <v>14</v>
      </c>
      <c r="AF15" t="str">
        <f t="shared" si="10"/>
        <v>Dây ngắn/dài</v>
      </c>
      <c r="AG15" t="str">
        <f ca="1"/>
        <v>Dây ngắn/dài</v>
      </c>
      <c r="AH15">
        <f>IF(ISNUMBER(SEARCH(Checksheet!$BA$28,AY15)),MAX($AH$1:AH14)+1,"")</f>
        <v>14</v>
      </c>
      <c r="AI15" t="str">
        <f t="shared" si="11"/>
        <v>Dây ngắn/dài</v>
      </c>
      <c r="AJ15" t="str">
        <f ca="1"/>
        <v>Dây ngắn/dài</v>
      </c>
      <c r="AK15">
        <f>IF(ISNUMBER(SEARCH(Checksheet!$BA$29,AY15)),MAX($AK$1:AK14)+1,"")</f>
        <v>14</v>
      </c>
      <c r="AL15" t="str">
        <f t="shared" si="12"/>
        <v>Dây ngắn/dài</v>
      </c>
      <c r="AM15" t="str">
        <f ca="1"/>
        <v>Dây ngắn/dài</v>
      </c>
      <c r="AN15">
        <f>IF(ISNUMBER(SEARCH(Checksheet!$BA$30,AY15)),MAX($AN$1:AN14)+1,"")</f>
        <v>14</v>
      </c>
      <c r="AO15" t="str">
        <f t="shared" si="13"/>
        <v>Dây ngắn/dài</v>
      </c>
      <c r="AP15" t="str">
        <f ca="1"/>
        <v>Dây ngắn/dài</v>
      </c>
      <c r="AQ15">
        <f>IF(ISNUMBER(SEARCH(Checksheet!$BA$31,AY15)),MAX($AQ$1:AQ14)+1,"")</f>
        <v>14</v>
      </c>
      <c r="AR15" t="str">
        <f t="shared" si="14"/>
        <v>Dây ngắn/dài</v>
      </c>
      <c r="AS15" t="str">
        <f ca="1"/>
        <v>Dây ngắn/dài</v>
      </c>
      <c r="AT15" s="156" t="s">
        <v>1361</v>
      </c>
      <c r="AU15" s="157" t="s">
        <v>1362</v>
      </c>
      <c r="AV15" s="157" t="s">
        <v>1451</v>
      </c>
      <c r="AW15" s="157"/>
      <c r="AX15" s="157"/>
      <c r="AY15" s="157" t="s">
        <v>1497</v>
      </c>
      <c r="AZ15" s="158"/>
    </row>
    <row r="16" spans="1:52">
      <c r="A16">
        <f>IF(ISNUMBER(SEARCH(Checksheet!$BA$17,AY16)),MAX($A$1:A15)+1,"")</f>
        <v>15</v>
      </c>
      <c r="B16" t="str">
        <f t="shared" si="0"/>
        <v>Bẩn, dơ</v>
      </c>
      <c r="C16" t="str">
        <f ca="1"/>
        <v>Bẩn, dơ</v>
      </c>
      <c r="D16">
        <f>IF(ISNUMBER(SEARCH(Checksheet!$BA$18,AY16)),MAX($D$1:D15)+1,"")</f>
        <v>15</v>
      </c>
      <c r="E16" t="str">
        <f t="shared" si="1"/>
        <v>Bẩn, dơ</v>
      </c>
      <c r="F16" t="str">
        <f ca="1"/>
        <v>Bẩn, dơ</v>
      </c>
      <c r="G16">
        <f>IF(ISNUMBER(SEARCH(Checksheet!$BA$19,AY16)),MAX($G$1:G15)+1,"")</f>
        <v>15</v>
      </c>
      <c r="H16" t="str">
        <f t="shared" si="2"/>
        <v>Bẩn, dơ</v>
      </c>
      <c r="I16" t="str">
        <f ca="1"/>
        <v>Bẩn, dơ</v>
      </c>
      <c r="J16">
        <f>IF(ISNUMBER(SEARCH(Checksheet!$BA$20,AY16)),MAX($J$1:J15)+1,"")</f>
        <v>15</v>
      </c>
      <c r="K16" t="str">
        <f t="shared" si="3"/>
        <v>Bẩn, dơ</v>
      </c>
      <c r="L16" t="str">
        <f ca="1"/>
        <v>Bẩn, dơ</v>
      </c>
      <c r="M16">
        <f>IF(ISNUMBER(SEARCH(Checksheet!$BA$21,AY16)),MAX($M$1:M15)+1,"")</f>
        <v>15</v>
      </c>
      <c r="N16" t="str">
        <f t="shared" si="4"/>
        <v>Bẩn, dơ</v>
      </c>
      <c r="O16" t="str">
        <f ca="1"/>
        <v>Bẩn, dơ</v>
      </c>
      <c r="P16">
        <f>IF(ISNUMBER(SEARCH(Checksheet!$BA$22,AY16)),MAX($P$1:P15)+1,"")</f>
        <v>15</v>
      </c>
      <c r="Q16" t="str">
        <f t="shared" si="5"/>
        <v>Bẩn, dơ</v>
      </c>
      <c r="R16" t="str">
        <f ca="1"/>
        <v>Bẩn, dơ</v>
      </c>
      <c r="S16">
        <f>IF(ISNUMBER(SEARCH(Checksheet!$BA$23,AY16)),MAX($S$1:S15)+1,"")</f>
        <v>15</v>
      </c>
      <c r="T16" t="str">
        <f t="shared" si="6"/>
        <v>Bẩn, dơ</v>
      </c>
      <c r="U16" t="str">
        <f ca="1"/>
        <v>Bẩn, dơ</v>
      </c>
      <c r="V16">
        <f>IF(ISNUMBER(SEARCH(Checksheet!$BA$24,AY16)),MAX($V$1:V15)+1,"")</f>
        <v>15</v>
      </c>
      <c r="W16" t="str">
        <f t="shared" si="7"/>
        <v>Bẩn, dơ</v>
      </c>
      <c r="X16" t="str">
        <f ca="1"/>
        <v>Bẩn, dơ</v>
      </c>
      <c r="Y16">
        <f>IF(ISNUMBER(SEARCH(Checksheet!$BA$25,AY16)),MAX($Y$1:Y15)+1,"")</f>
        <v>15</v>
      </c>
      <c r="Z16" t="str">
        <f t="shared" si="8"/>
        <v>Bẩn, dơ</v>
      </c>
      <c r="AA16" t="str">
        <f ca="1"/>
        <v>Bẩn, dơ</v>
      </c>
      <c r="AB16">
        <f>IF(ISNUMBER(SEARCH(Checksheet!$BA$26,AY16)),MAX($AB$1:AB15)+1,"")</f>
        <v>15</v>
      </c>
      <c r="AC16" t="str">
        <f t="shared" si="9"/>
        <v>Bẩn, dơ</v>
      </c>
      <c r="AD16" t="str">
        <f ca="1"/>
        <v>Bẩn, dơ</v>
      </c>
      <c r="AE16">
        <f>IF(ISNUMBER(SEARCH(Checksheet!$BA$27,AY16)),MAX($AE$1:AE15)+1,"")</f>
        <v>15</v>
      </c>
      <c r="AF16" t="str">
        <f t="shared" si="10"/>
        <v>Bẩn, dơ</v>
      </c>
      <c r="AG16" t="str">
        <f ca="1"/>
        <v>Bẩn, dơ</v>
      </c>
      <c r="AH16">
        <f>IF(ISNUMBER(SEARCH(Checksheet!$BA$28,AY16)),MAX($AH$1:AH15)+1,"")</f>
        <v>15</v>
      </c>
      <c r="AI16" t="str">
        <f t="shared" si="11"/>
        <v>Bẩn, dơ</v>
      </c>
      <c r="AJ16" t="str">
        <f ca="1"/>
        <v>Bẩn, dơ</v>
      </c>
      <c r="AK16">
        <f>IF(ISNUMBER(SEARCH(Checksheet!$BA$29,AY16)),MAX($AK$1:AK15)+1,"")</f>
        <v>15</v>
      </c>
      <c r="AL16" t="str">
        <f t="shared" si="12"/>
        <v>Bẩn, dơ</v>
      </c>
      <c r="AM16" t="str">
        <f ca="1"/>
        <v>Bẩn, dơ</v>
      </c>
      <c r="AN16">
        <f>IF(ISNUMBER(SEARCH(Checksheet!$BA$30,AY16)),MAX($AN$1:AN15)+1,"")</f>
        <v>15</v>
      </c>
      <c r="AO16" t="str">
        <f t="shared" si="13"/>
        <v>Bẩn, dơ</v>
      </c>
      <c r="AP16" t="str">
        <f ca="1"/>
        <v>Bẩn, dơ</v>
      </c>
      <c r="AQ16">
        <f>IF(ISNUMBER(SEARCH(Checksheet!$BA$31,AY16)),MAX($AQ$1:AQ15)+1,"")</f>
        <v>15</v>
      </c>
      <c r="AR16" t="str">
        <f t="shared" si="14"/>
        <v>Bẩn, dơ</v>
      </c>
      <c r="AS16" t="str">
        <f ca="1"/>
        <v>Bẩn, dơ</v>
      </c>
      <c r="AT16" s="156" t="s">
        <v>1361</v>
      </c>
      <c r="AU16" s="157" t="s">
        <v>1362</v>
      </c>
      <c r="AV16" s="157" t="s">
        <v>1383</v>
      </c>
      <c r="AW16" s="157"/>
      <c r="AX16" s="157"/>
      <c r="AY16" s="157" t="s">
        <v>1497</v>
      </c>
      <c r="AZ16" s="158"/>
    </row>
    <row r="17" spans="1:52">
      <c r="A17">
        <f>IF(ISNUMBER(SEARCH(Checksheet!$BA$17,AY17)),MAX($A$1:A16)+1,"")</f>
        <v>16</v>
      </c>
      <c r="B17" t="str">
        <f t="shared" si="0"/>
        <v>Cấn, trầy</v>
      </c>
      <c r="C17" t="str">
        <f ca="1"/>
        <v>Cấn, trầy</v>
      </c>
      <c r="D17">
        <f>IF(ISNUMBER(SEARCH(Checksheet!$BA$18,AY17)),MAX($D$1:D16)+1,"")</f>
        <v>16</v>
      </c>
      <c r="E17" t="str">
        <f t="shared" si="1"/>
        <v>Cấn, trầy</v>
      </c>
      <c r="F17" t="str">
        <f ca="1"/>
        <v>Cấn, trầy</v>
      </c>
      <c r="G17">
        <f>IF(ISNUMBER(SEARCH(Checksheet!$BA$19,AY17)),MAX($G$1:G16)+1,"")</f>
        <v>16</v>
      </c>
      <c r="H17" t="str">
        <f t="shared" si="2"/>
        <v>Cấn, trầy</v>
      </c>
      <c r="I17" t="str">
        <f ca="1"/>
        <v>Cấn, trầy</v>
      </c>
      <c r="J17">
        <f>IF(ISNUMBER(SEARCH(Checksheet!$BA$20,AY17)),MAX($J$1:J16)+1,"")</f>
        <v>16</v>
      </c>
      <c r="K17" t="str">
        <f t="shared" si="3"/>
        <v>Cấn, trầy</v>
      </c>
      <c r="L17" t="str">
        <f ca="1"/>
        <v>Cấn, trầy</v>
      </c>
      <c r="M17">
        <f>IF(ISNUMBER(SEARCH(Checksheet!$BA$21,AY17)),MAX($M$1:M16)+1,"")</f>
        <v>16</v>
      </c>
      <c r="N17" t="str">
        <f t="shared" si="4"/>
        <v>Cấn, trầy</v>
      </c>
      <c r="O17" t="str">
        <f ca="1"/>
        <v>Cấn, trầy</v>
      </c>
      <c r="P17">
        <f>IF(ISNUMBER(SEARCH(Checksheet!$BA$22,AY17)),MAX($P$1:P16)+1,"")</f>
        <v>16</v>
      </c>
      <c r="Q17" t="str">
        <f t="shared" si="5"/>
        <v>Cấn, trầy</v>
      </c>
      <c r="R17" t="str">
        <f ca="1"/>
        <v>Cấn, trầy</v>
      </c>
      <c r="S17">
        <f>IF(ISNUMBER(SEARCH(Checksheet!$BA$23,AY17)),MAX($S$1:S16)+1,"")</f>
        <v>16</v>
      </c>
      <c r="T17" t="str">
        <f t="shared" si="6"/>
        <v>Cấn, trầy</v>
      </c>
      <c r="U17" t="str">
        <f ca="1"/>
        <v>Cấn, trầy</v>
      </c>
      <c r="V17">
        <f>IF(ISNUMBER(SEARCH(Checksheet!$BA$24,AY17)),MAX($V$1:V16)+1,"")</f>
        <v>16</v>
      </c>
      <c r="W17" t="str">
        <f t="shared" si="7"/>
        <v>Cấn, trầy</v>
      </c>
      <c r="X17" t="str">
        <f ca="1"/>
        <v>Cấn, trầy</v>
      </c>
      <c r="Y17">
        <f>IF(ISNUMBER(SEARCH(Checksheet!$BA$25,AY17)),MAX($Y$1:Y16)+1,"")</f>
        <v>16</v>
      </c>
      <c r="Z17" t="str">
        <f t="shared" si="8"/>
        <v>Cấn, trầy</v>
      </c>
      <c r="AA17" t="str">
        <f ca="1"/>
        <v>Cấn, trầy</v>
      </c>
      <c r="AB17">
        <f>IF(ISNUMBER(SEARCH(Checksheet!$BA$26,AY17)),MAX($AB$1:AB16)+1,"")</f>
        <v>16</v>
      </c>
      <c r="AC17" t="str">
        <f t="shared" si="9"/>
        <v>Cấn, trầy</v>
      </c>
      <c r="AD17" t="str">
        <f ca="1"/>
        <v>Cấn, trầy</v>
      </c>
      <c r="AE17">
        <f>IF(ISNUMBER(SEARCH(Checksheet!$BA$27,AY17)),MAX($AE$1:AE16)+1,"")</f>
        <v>16</v>
      </c>
      <c r="AF17" t="str">
        <f t="shared" si="10"/>
        <v>Cấn, trầy</v>
      </c>
      <c r="AG17" t="str">
        <f ca="1"/>
        <v>Cấn, trầy</v>
      </c>
      <c r="AH17">
        <f>IF(ISNUMBER(SEARCH(Checksheet!$BA$28,AY17)),MAX($AH$1:AH16)+1,"")</f>
        <v>16</v>
      </c>
      <c r="AI17" t="str">
        <f t="shared" si="11"/>
        <v>Cấn, trầy</v>
      </c>
      <c r="AJ17" t="str">
        <f ca="1"/>
        <v>Cấn, trầy</v>
      </c>
      <c r="AK17">
        <f>IF(ISNUMBER(SEARCH(Checksheet!$BA$29,AY17)),MAX($AK$1:AK16)+1,"")</f>
        <v>16</v>
      </c>
      <c r="AL17" t="str">
        <f t="shared" si="12"/>
        <v>Cấn, trầy</v>
      </c>
      <c r="AM17" t="str">
        <f ca="1"/>
        <v>Cấn, trầy</v>
      </c>
      <c r="AN17">
        <f>IF(ISNUMBER(SEARCH(Checksheet!$BA$30,AY17)),MAX($AN$1:AN16)+1,"")</f>
        <v>16</v>
      </c>
      <c r="AO17" t="str">
        <f t="shared" si="13"/>
        <v>Cấn, trầy</v>
      </c>
      <c r="AP17" t="str">
        <f ca="1"/>
        <v>Cấn, trầy</v>
      </c>
      <c r="AQ17">
        <f>IF(ISNUMBER(SEARCH(Checksheet!$BA$31,AY17)),MAX($AQ$1:AQ16)+1,"")</f>
        <v>16</v>
      </c>
      <c r="AR17" t="str">
        <f t="shared" si="14"/>
        <v>Cấn, trầy</v>
      </c>
      <c r="AS17" t="str">
        <f ca="1"/>
        <v>Cấn, trầy</v>
      </c>
      <c r="AT17" s="156" t="s">
        <v>1361</v>
      </c>
      <c r="AU17" s="157" t="s">
        <v>1362</v>
      </c>
      <c r="AV17" s="157" t="s">
        <v>1453</v>
      </c>
      <c r="AW17" s="157"/>
      <c r="AX17" s="157"/>
      <c r="AY17" s="157" t="s">
        <v>1497</v>
      </c>
      <c r="AZ17" s="158"/>
    </row>
    <row r="18" spans="1:52">
      <c r="A18">
        <f>IF(ISNUMBER(SEARCH(Checksheet!$BA$17,AY18)),MAX($A$1:A17)+1,"")</f>
        <v>17</v>
      </c>
      <c r="B18" t="str">
        <f t="shared" si="0"/>
        <v>Cháy dây</v>
      </c>
      <c r="C18" t="str">
        <f ca="1"/>
        <v>Cháy dây</v>
      </c>
      <c r="D18">
        <f>IF(ISNUMBER(SEARCH(Checksheet!$BA$18,AY18)),MAX($D$1:D17)+1,"")</f>
        <v>17</v>
      </c>
      <c r="E18" t="str">
        <f t="shared" si="1"/>
        <v>Cháy dây</v>
      </c>
      <c r="F18" t="str">
        <f ca="1"/>
        <v>Cháy dây</v>
      </c>
      <c r="G18">
        <f>IF(ISNUMBER(SEARCH(Checksheet!$BA$19,AY18)),MAX($G$1:G17)+1,"")</f>
        <v>17</v>
      </c>
      <c r="H18" t="str">
        <f t="shared" si="2"/>
        <v>Cháy dây</v>
      </c>
      <c r="I18" t="str">
        <f ca="1"/>
        <v>Cháy dây</v>
      </c>
      <c r="J18">
        <f>IF(ISNUMBER(SEARCH(Checksheet!$BA$20,AY18)),MAX($J$1:J17)+1,"")</f>
        <v>17</v>
      </c>
      <c r="K18" t="str">
        <f t="shared" si="3"/>
        <v>Cháy dây</v>
      </c>
      <c r="L18" t="str">
        <f ca="1"/>
        <v>Cháy dây</v>
      </c>
      <c r="M18">
        <f>IF(ISNUMBER(SEARCH(Checksheet!$BA$21,AY18)),MAX($M$1:M17)+1,"")</f>
        <v>17</v>
      </c>
      <c r="N18" t="str">
        <f t="shared" si="4"/>
        <v>Cháy dây</v>
      </c>
      <c r="O18" t="str">
        <f ca="1"/>
        <v>Cháy dây</v>
      </c>
      <c r="P18">
        <f>IF(ISNUMBER(SEARCH(Checksheet!$BA$22,AY18)),MAX($P$1:P17)+1,"")</f>
        <v>17</v>
      </c>
      <c r="Q18" t="str">
        <f t="shared" si="5"/>
        <v>Cháy dây</v>
      </c>
      <c r="R18" t="str">
        <f ca="1"/>
        <v>Cháy dây</v>
      </c>
      <c r="S18">
        <f>IF(ISNUMBER(SEARCH(Checksheet!$BA$23,AY18)),MAX($S$1:S17)+1,"")</f>
        <v>17</v>
      </c>
      <c r="T18" t="str">
        <f t="shared" si="6"/>
        <v>Cháy dây</v>
      </c>
      <c r="U18" t="str">
        <f ca="1"/>
        <v>Cháy dây</v>
      </c>
      <c r="V18">
        <f>IF(ISNUMBER(SEARCH(Checksheet!$BA$24,AY18)),MAX($V$1:V17)+1,"")</f>
        <v>17</v>
      </c>
      <c r="W18" t="str">
        <f t="shared" si="7"/>
        <v>Cháy dây</v>
      </c>
      <c r="X18" t="str">
        <f ca="1"/>
        <v>Cháy dây</v>
      </c>
      <c r="Y18">
        <f>IF(ISNUMBER(SEARCH(Checksheet!$BA$25,AY18)),MAX($Y$1:Y17)+1,"")</f>
        <v>17</v>
      </c>
      <c r="Z18" t="str">
        <f t="shared" si="8"/>
        <v>Cháy dây</v>
      </c>
      <c r="AA18" t="str">
        <f ca="1"/>
        <v>Cháy dây</v>
      </c>
      <c r="AB18">
        <f>IF(ISNUMBER(SEARCH(Checksheet!$BA$26,AY18)),MAX($AB$1:AB17)+1,"")</f>
        <v>17</v>
      </c>
      <c r="AC18" t="str">
        <f t="shared" si="9"/>
        <v>Cháy dây</v>
      </c>
      <c r="AD18" t="str">
        <f ca="1"/>
        <v>Cháy dây</v>
      </c>
      <c r="AE18">
        <f>IF(ISNUMBER(SEARCH(Checksheet!$BA$27,AY18)),MAX($AE$1:AE17)+1,"")</f>
        <v>17</v>
      </c>
      <c r="AF18" t="str">
        <f t="shared" si="10"/>
        <v>Cháy dây</v>
      </c>
      <c r="AG18" t="str">
        <f ca="1"/>
        <v>Cháy dây</v>
      </c>
      <c r="AH18">
        <f>IF(ISNUMBER(SEARCH(Checksheet!$BA$28,AY18)),MAX($AH$1:AH17)+1,"")</f>
        <v>17</v>
      </c>
      <c r="AI18" t="str">
        <f t="shared" si="11"/>
        <v>Cháy dây</v>
      </c>
      <c r="AJ18" t="str">
        <f ca="1"/>
        <v>Cháy dây</v>
      </c>
      <c r="AK18">
        <f>IF(ISNUMBER(SEARCH(Checksheet!$BA$29,AY18)),MAX($AK$1:AK17)+1,"")</f>
        <v>17</v>
      </c>
      <c r="AL18" t="str">
        <f t="shared" si="12"/>
        <v>Cháy dây</v>
      </c>
      <c r="AM18" t="str">
        <f ca="1"/>
        <v>Cháy dây</v>
      </c>
      <c r="AN18">
        <f>IF(ISNUMBER(SEARCH(Checksheet!$BA$30,AY18)),MAX($AN$1:AN17)+1,"")</f>
        <v>17</v>
      </c>
      <c r="AO18" t="str">
        <f t="shared" si="13"/>
        <v>Cháy dây</v>
      </c>
      <c r="AP18" t="str">
        <f ca="1"/>
        <v>Cháy dây</v>
      </c>
      <c r="AQ18">
        <f>IF(ISNUMBER(SEARCH(Checksheet!$BA$31,AY18)),MAX($AQ$1:AQ17)+1,"")</f>
        <v>17</v>
      </c>
      <c r="AR18" t="str">
        <f t="shared" si="14"/>
        <v>Cháy dây</v>
      </c>
      <c r="AS18" t="str">
        <f ca="1"/>
        <v>Cháy dây</v>
      </c>
      <c r="AT18" s="156" t="s">
        <v>1361</v>
      </c>
      <c r="AU18" s="157" t="s">
        <v>1362</v>
      </c>
      <c r="AV18" s="157" t="s">
        <v>1454</v>
      </c>
      <c r="AW18" s="157"/>
      <c r="AX18" s="157"/>
      <c r="AY18" s="157" t="s">
        <v>1497</v>
      </c>
      <c r="AZ18" s="158"/>
    </row>
    <row r="19" spans="1:52">
      <c r="A19">
        <f>IF(ISNUMBER(SEARCH(Checksheet!$BA$17,AY19)),MAX($A$1:A18)+1,"")</f>
        <v>18</v>
      </c>
      <c r="B19" t="str">
        <f t="shared" si="0"/>
        <v>Tưa lõi</v>
      </c>
      <c r="C19" t="str">
        <f ca="1"/>
        <v>Tưa lõi</v>
      </c>
      <c r="D19">
        <f>IF(ISNUMBER(SEARCH(Checksheet!$BA$18,AY19)),MAX($D$1:D18)+1,"")</f>
        <v>18</v>
      </c>
      <c r="E19" t="str">
        <f t="shared" si="1"/>
        <v>Tưa lõi</v>
      </c>
      <c r="F19" t="str">
        <f ca="1"/>
        <v>Tưa lõi</v>
      </c>
      <c r="G19">
        <f>IF(ISNUMBER(SEARCH(Checksheet!$BA$19,AY19)),MAX($G$1:G18)+1,"")</f>
        <v>18</v>
      </c>
      <c r="H19" t="str">
        <f t="shared" si="2"/>
        <v>Tưa lõi</v>
      </c>
      <c r="I19" t="str">
        <f ca="1"/>
        <v>Tưa lõi</v>
      </c>
      <c r="J19">
        <f>IF(ISNUMBER(SEARCH(Checksheet!$BA$20,AY19)),MAX($J$1:J18)+1,"")</f>
        <v>18</v>
      </c>
      <c r="K19" t="str">
        <f t="shared" si="3"/>
        <v>Tưa lõi</v>
      </c>
      <c r="L19" t="str">
        <f ca="1"/>
        <v>Tưa lõi</v>
      </c>
      <c r="M19">
        <f>IF(ISNUMBER(SEARCH(Checksheet!$BA$21,AY19)),MAX($M$1:M18)+1,"")</f>
        <v>18</v>
      </c>
      <c r="N19" t="str">
        <f t="shared" si="4"/>
        <v>Tưa lõi</v>
      </c>
      <c r="O19" t="str">
        <f ca="1"/>
        <v>Tưa lõi</v>
      </c>
      <c r="P19">
        <f>IF(ISNUMBER(SEARCH(Checksheet!$BA$22,AY19)),MAX($P$1:P18)+1,"")</f>
        <v>18</v>
      </c>
      <c r="Q19" t="str">
        <f t="shared" si="5"/>
        <v>Tưa lõi</v>
      </c>
      <c r="R19" t="str">
        <f ca="1"/>
        <v>Tưa lõi</v>
      </c>
      <c r="S19">
        <f>IF(ISNUMBER(SEARCH(Checksheet!$BA$23,AY19)),MAX($S$1:S18)+1,"")</f>
        <v>18</v>
      </c>
      <c r="T19" t="str">
        <f t="shared" si="6"/>
        <v>Tưa lõi</v>
      </c>
      <c r="U19" t="str">
        <f ca="1"/>
        <v>Tưa lõi</v>
      </c>
      <c r="V19">
        <f>IF(ISNUMBER(SEARCH(Checksheet!$BA$24,AY19)),MAX($V$1:V18)+1,"")</f>
        <v>18</v>
      </c>
      <c r="W19" t="str">
        <f t="shared" si="7"/>
        <v>Tưa lõi</v>
      </c>
      <c r="X19" t="str">
        <f ca="1"/>
        <v>Tưa lõi</v>
      </c>
      <c r="Y19">
        <f>IF(ISNUMBER(SEARCH(Checksheet!$BA$25,AY19)),MAX($Y$1:Y18)+1,"")</f>
        <v>18</v>
      </c>
      <c r="Z19" t="str">
        <f t="shared" si="8"/>
        <v>Tưa lõi</v>
      </c>
      <c r="AA19" t="str">
        <f ca="1"/>
        <v>Tưa lõi</v>
      </c>
      <c r="AB19">
        <f>IF(ISNUMBER(SEARCH(Checksheet!$BA$26,AY19)),MAX($AB$1:AB18)+1,"")</f>
        <v>18</v>
      </c>
      <c r="AC19" t="str">
        <f t="shared" si="9"/>
        <v>Tưa lõi</v>
      </c>
      <c r="AD19" t="str">
        <f ca="1"/>
        <v>Tưa lõi</v>
      </c>
      <c r="AE19">
        <f>IF(ISNUMBER(SEARCH(Checksheet!$BA$27,AY19)),MAX($AE$1:AE18)+1,"")</f>
        <v>18</v>
      </c>
      <c r="AF19" t="str">
        <f t="shared" si="10"/>
        <v>Tưa lõi</v>
      </c>
      <c r="AG19" t="str">
        <f ca="1"/>
        <v>Tưa lõi</v>
      </c>
      <c r="AH19">
        <f>IF(ISNUMBER(SEARCH(Checksheet!$BA$28,AY19)),MAX($AH$1:AH18)+1,"")</f>
        <v>18</v>
      </c>
      <c r="AI19" t="str">
        <f t="shared" si="11"/>
        <v>Tưa lõi</v>
      </c>
      <c r="AJ19" t="str">
        <f ca="1"/>
        <v>Tưa lõi</v>
      </c>
      <c r="AK19">
        <f>IF(ISNUMBER(SEARCH(Checksheet!$BA$29,AY19)),MAX($AK$1:AK18)+1,"")</f>
        <v>18</v>
      </c>
      <c r="AL19" t="str">
        <f t="shared" si="12"/>
        <v>Tưa lõi</v>
      </c>
      <c r="AM19" t="str">
        <f ca="1"/>
        <v>Tưa lõi</v>
      </c>
      <c r="AN19">
        <f>IF(ISNUMBER(SEARCH(Checksheet!$BA$30,AY19)),MAX($AN$1:AN18)+1,"")</f>
        <v>18</v>
      </c>
      <c r="AO19" t="str">
        <f t="shared" si="13"/>
        <v>Tưa lõi</v>
      </c>
      <c r="AP19" t="str">
        <f ca="1"/>
        <v>Tưa lõi</v>
      </c>
      <c r="AQ19">
        <f>IF(ISNUMBER(SEARCH(Checksheet!$BA$31,AY19)),MAX($AQ$1:AQ18)+1,"")</f>
        <v>18</v>
      </c>
      <c r="AR19" t="str">
        <f t="shared" si="14"/>
        <v>Tưa lõi</v>
      </c>
      <c r="AS19" t="str">
        <f ca="1"/>
        <v>Tưa lõi</v>
      </c>
      <c r="AT19" s="156" t="s">
        <v>1361</v>
      </c>
      <c r="AU19" s="157" t="s">
        <v>1362</v>
      </c>
      <c r="AV19" s="157" t="s">
        <v>1455</v>
      </c>
      <c r="AW19" s="157"/>
      <c r="AX19" s="157"/>
      <c r="AY19" s="157" t="s">
        <v>1497</v>
      </c>
      <c r="AZ19" s="158"/>
    </row>
    <row r="20" spans="1:52">
      <c r="A20">
        <f>IF(ISNUMBER(SEARCH(Checksheet!$BA$17,AY20)),MAX($A$1:A19)+1,"")</f>
        <v>19</v>
      </c>
      <c r="B20" t="str">
        <f t="shared" si="0"/>
        <v>Đứt Lõi</v>
      </c>
      <c r="C20" t="str">
        <f ca="1"/>
        <v>Đứt Lõi</v>
      </c>
      <c r="D20">
        <f>IF(ISNUMBER(SEARCH(Checksheet!$BA$18,AY20)),MAX($D$1:D19)+1,"")</f>
        <v>19</v>
      </c>
      <c r="E20" t="str">
        <f t="shared" si="1"/>
        <v>Đứt Lõi</v>
      </c>
      <c r="F20" t="str">
        <f ca="1"/>
        <v>Đứt Lõi</v>
      </c>
      <c r="G20">
        <f>IF(ISNUMBER(SEARCH(Checksheet!$BA$19,AY20)),MAX($G$1:G19)+1,"")</f>
        <v>19</v>
      </c>
      <c r="H20" t="str">
        <f t="shared" si="2"/>
        <v>Đứt Lõi</v>
      </c>
      <c r="I20" t="str">
        <f ca="1"/>
        <v>Đứt Lõi</v>
      </c>
      <c r="J20">
        <f>IF(ISNUMBER(SEARCH(Checksheet!$BA$20,AY20)),MAX($J$1:J19)+1,"")</f>
        <v>19</v>
      </c>
      <c r="K20" t="str">
        <f t="shared" si="3"/>
        <v>Đứt Lõi</v>
      </c>
      <c r="L20" t="str">
        <f ca="1"/>
        <v>Đứt Lõi</v>
      </c>
      <c r="M20">
        <f>IF(ISNUMBER(SEARCH(Checksheet!$BA$21,AY20)),MAX($M$1:M19)+1,"")</f>
        <v>19</v>
      </c>
      <c r="N20" t="str">
        <f t="shared" si="4"/>
        <v>Đứt Lõi</v>
      </c>
      <c r="O20" t="str">
        <f ca="1"/>
        <v>Đứt Lõi</v>
      </c>
      <c r="P20">
        <f>IF(ISNUMBER(SEARCH(Checksheet!$BA$22,AY20)),MAX($P$1:P19)+1,"")</f>
        <v>19</v>
      </c>
      <c r="Q20" t="str">
        <f t="shared" si="5"/>
        <v>Đứt Lõi</v>
      </c>
      <c r="R20" t="str">
        <f ca="1"/>
        <v>Đứt Lõi</v>
      </c>
      <c r="S20">
        <f>IF(ISNUMBER(SEARCH(Checksheet!$BA$23,AY20)),MAX($S$1:S19)+1,"")</f>
        <v>19</v>
      </c>
      <c r="T20" t="str">
        <f t="shared" si="6"/>
        <v>Đứt Lõi</v>
      </c>
      <c r="U20" t="str">
        <f ca="1"/>
        <v>Đứt Lõi</v>
      </c>
      <c r="V20">
        <f>IF(ISNUMBER(SEARCH(Checksheet!$BA$24,AY20)),MAX($V$1:V19)+1,"")</f>
        <v>19</v>
      </c>
      <c r="W20" t="str">
        <f t="shared" si="7"/>
        <v>Đứt Lõi</v>
      </c>
      <c r="X20" t="str">
        <f ca="1"/>
        <v>Đứt Lõi</v>
      </c>
      <c r="Y20">
        <f>IF(ISNUMBER(SEARCH(Checksheet!$BA$25,AY20)),MAX($Y$1:Y19)+1,"")</f>
        <v>19</v>
      </c>
      <c r="Z20" t="str">
        <f t="shared" si="8"/>
        <v>Đứt Lõi</v>
      </c>
      <c r="AA20" t="str">
        <f ca="1"/>
        <v>Đứt Lõi</v>
      </c>
      <c r="AB20">
        <f>IF(ISNUMBER(SEARCH(Checksheet!$BA$26,AY20)),MAX($AB$1:AB19)+1,"")</f>
        <v>19</v>
      </c>
      <c r="AC20" t="str">
        <f t="shared" si="9"/>
        <v>Đứt Lõi</v>
      </c>
      <c r="AD20" t="str">
        <f ca="1"/>
        <v>Đứt Lõi</v>
      </c>
      <c r="AE20">
        <f>IF(ISNUMBER(SEARCH(Checksheet!$BA$27,AY20)),MAX($AE$1:AE19)+1,"")</f>
        <v>19</v>
      </c>
      <c r="AF20" t="str">
        <f t="shared" si="10"/>
        <v>Đứt Lõi</v>
      </c>
      <c r="AG20" t="str">
        <f ca="1"/>
        <v>Đứt Lõi</v>
      </c>
      <c r="AH20">
        <f>IF(ISNUMBER(SEARCH(Checksheet!$BA$28,AY20)),MAX($AH$1:AH19)+1,"")</f>
        <v>19</v>
      </c>
      <c r="AI20" t="str">
        <f t="shared" si="11"/>
        <v>Đứt Lõi</v>
      </c>
      <c r="AJ20" t="str">
        <f ca="1"/>
        <v>Đứt Lõi</v>
      </c>
      <c r="AK20">
        <f>IF(ISNUMBER(SEARCH(Checksheet!$BA$29,AY20)),MAX($AK$1:AK19)+1,"")</f>
        <v>19</v>
      </c>
      <c r="AL20" t="str">
        <f t="shared" si="12"/>
        <v>Đứt Lõi</v>
      </c>
      <c r="AM20" t="str">
        <f ca="1"/>
        <v>Đứt Lõi</v>
      </c>
      <c r="AN20">
        <f>IF(ISNUMBER(SEARCH(Checksheet!$BA$30,AY20)),MAX($AN$1:AN19)+1,"")</f>
        <v>19</v>
      </c>
      <c r="AO20" t="str">
        <f t="shared" si="13"/>
        <v>Đứt Lõi</v>
      </c>
      <c r="AP20" t="str">
        <f ca="1"/>
        <v>Đứt Lõi</v>
      </c>
      <c r="AQ20">
        <f>IF(ISNUMBER(SEARCH(Checksheet!$BA$31,AY20)),MAX($AQ$1:AQ19)+1,"")</f>
        <v>19</v>
      </c>
      <c r="AR20" t="str">
        <f t="shared" si="14"/>
        <v>Đứt Lõi</v>
      </c>
      <c r="AS20" t="str">
        <f ca="1"/>
        <v>Đứt Lõi</v>
      </c>
      <c r="AT20" s="156" t="s">
        <v>1361</v>
      </c>
      <c r="AU20" s="157" t="s">
        <v>1362</v>
      </c>
      <c r="AV20" s="157" t="s">
        <v>1456</v>
      </c>
      <c r="AW20" s="157"/>
      <c r="AX20" s="157"/>
      <c r="AY20" s="157" t="s">
        <v>1497</v>
      </c>
      <c r="AZ20" s="158"/>
    </row>
    <row r="21" spans="1:52">
      <c r="A21">
        <f>IF(ISNUMBER(SEARCH(Checksheet!$BA$17,AY21)),MAX($A$1:A20)+1,"")</f>
        <v>20</v>
      </c>
      <c r="B21" t="str">
        <f t="shared" si="0"/>
        <v>Others</v>
      </c>
      <c r="C21" t="str">
        <f ca="1"/>
        <v>Others</v>
      </c>
      <c r="D21">
        <f>IF(ISNUMBER(SEARCH(Checksheet!$BA$18,AY21)),MAX($D$1:D20)+1,"")</f>
        <v>20</v>
      </c>
      <c r="E21" t="str">
        <f t="shared" si="1"/>
        <v>Others</v>
      </c>
      <c r="F21" t="str">
        <f ca="1"/>
        <v>Others</v>
      </c>
      <c r="G21">
        <f>IF(ISNUMBER(SEARCH(Checksheet!$BA$19,AY21)),MAX($G$1:G20)+1,"")</f>
        <v>20</v>
      </c>
      <c r="H21" t="str">
        <f t="shared" si="2"/>
        <v>Others</v>
      </c>
      <c r="I21" t="str">
        <f ca="1"/>
        <v>Others</v>
      </c>
      <c r="J21">
        <f>IF(ISNUMBER(SEARCH(Checksheet!$BA$20,AY21)),MAX($J$1:J20)+1,"")</f>
        <v>20</v>
      </c>
      <c r="K21" t="str">
        <f t="shared" si="3"/>
        <v>Others</v>
      </c>
      <c r="L21" t="str">
        <f ca="1"/>
        <v>Others</v>
      </c>
      <c r="M21">
        <f>IF(ISNUMBER(SEARCH(Checksheet!$BA$21,AY21)),MAX($M$1:M20)+1,"")</f>
        <v>20</v>
      </c>
      <c r="N21" t="str">
        <f t="shared" si="4"/>
        <v>Others</v>
      </c>
      <c r="O21" t="str">
        <f ca="1"/>
        <v>Others</v>
      </c>
      <c r="P21">
        <f>IF(ISNUMBER(SEARCH(Checksheet!$BA$22,AY21)),MAX($P$1:P20)+1,"")</f>
        <v>20</v>
      </c>
      <c r="Q21" t="str">
        <f t="shared" si="5"/>
        <v>Others</v>
      </c>
      <c r="R21" t="str">
        <f ca="1"/>
        <v>Others</v>
      </c>
      <c r="S21">
        <f>IF(ISNUMBER(SEARCH(Checksheet!$BA$23,AY21)),MAX($S$1:S20)+1,"")</f>
        <v>20</v>
      </c>
      <c r="T21" t="str">
        <f t="shared" si="6"/>
        <v>Others</v>
      </c>
      <c r="U21" t="str">
        <f ca="1"/>
        <v>Others</v>
      </c>
      <c r="V21">
        <f>IF(ISNUMBER(SEARCH(Checksheet!$BA$24,AY21)),MAX($V$1:V20)+1,"")</f>
        <v>20</v>
      </c>
      <c r="W21" t="str">
        <f t="shared" si="7"/>
        <v>Others</v>
      </c>
      <c r="X21" t="str">
        <f ca="1"/>
        <v>Others</v>
      </c>
      <c r="Y21">
        <f>IF(ISNUMBER(SEARCH(Checksheet!$BA$25,AY21)),MAX($Y$1:Y20)+1,"")</f>
        <v>20</v>
      </c>
      <c r="Z21" t="str">
        <f t="shared" si="8"/>
        <v>Others</v>
      </c>
      <c r="AA21" t="str">
        <f ca="1"/>
        <v>Others</v>
      </c>
      <c r="AB21">
        <f>IF(ISNUMBER(SEARCH(Checksheet!$BA$26,AY21)),MAX($AB$1:AB20)+1,"")</f>
        <v>20</v>
      </c>
      <c r="AC21" t="str">
        <f t="shared" si="9"/>
        <v>Others</v>
      </c>
      <c r="AD21" t="str">
        <f ca="1"/>
        <v>Others</v>
      </c>
      <c r="AE21">
        <f>IF(ISNUMBER(SEARCH(Checksheet!$BA$27,AY21)),MAX($AE$1:AE20)+1,"")</f>
        <v>20</v>
      </c>
      <c r="AF21" t="str">
        <f t="shared" si="10"/>
        <v>Others</v>
      </c>
      <c r="AG21" t="str">
        <f ca="1"/>
        <v>Others</v>
      </c>
      <c r="AH21">
        <f>IF(ISNUMBER(SEARCH(Checksheet!$BA$28,AY21)),MAX($AH$1:AH20)+1,"")</f>
        <v>20</v>
      </c>
      <c r="AI21" t="str">
        <f t="shared" si="11"/>
        <v>Others</v>
      </c>
      <c r="AJ21" t="str">
        <f ca="1"/>
        <v>Others</v>
      </c>
      <c r="AK21">
        <f>IF(ISNUMBER(SEARCH(Checksheet!$BA$29,AY21)),MAX($AK$1:AK20)+1,"")</f>
        <v>20</v>
      </c>
      <c r="AL21" t="str">
        <f t="shared" si="12"/>
        <v>Others</v>
      </c>
      <c r="AM21" t="str">
        <f ca="1"/>
        <v>Others</v>
      </c>
      <c r="AN21">
        <f>IF(ISNUMBER(SEARCH(Checksheet!$BA$30,AY21)),MAX($AN$1:AN20)+1,"")</f>
        <v>20</v>
      </c>
      <c r="AO21" t="str">
        <f t="shared" si="13"/>
        <v>Others</v>
      </c>
      <c r="AP21" t="str">
        <f ca="1"/>
        <v>Others</v>
      </c>
      <c r="AQ21">
        <f>IF(ISNUMBER(SEARCH(Checksheet!$BA$31,AY21)),MAX($AQ$1:AQ20)+1,"")</f>
        <v>20</v>
      </c>
      <c r="AR21" t="str">
        <f t="shared" si="14"/>
        <v>Others</v>
      </c>
      <c r="AS21" t="str">
        <f ca="1"/>
        <v>Others</v>
      </c>
      <c r="AT21" s="156" t="s">
        <v>1361</v>
      </c>
      <c r="AU21" s="157" t="s">
        <v>1362</v>
      </c>
      <c r="AV21" s="157" t="s">
        <v>1219</v>
      </c>
      <c r="AW21" s="157"/>
      <c r="AX21" s="157"/>
      <c r="AY21" s="157" t="s">
        <v>1497</v>
      </c>
      <c r="AZ21" s="158"/>
    </row>
    <row r="22" spans="1:52">
      <c r="A22">
        <f>IF(ISNUMBER(SEARCH(Checksheet!$BA$17,AY22)),MAX($A$1:A21)+1,"")</f>
        <v>21</v>
      </c>
      <c r="B22" t="str">
        <f t="shared" si="0"/>
        <v>Thiếu dấu marking PS PSマーキング不足</v>
      </c>
      <c r="C22" t="str">
        <f ca="1"/>
        <v>Thiếu dấu marking PS PSマーキング不足</v>
      </c>
      <c r="D22">
        <f>IF(ISNUMBER(SEARCH(Checksheet!$BA$18,AY22)),MAX($D$1:D21)+1,"")</f>
        <v>21</v>
      </c>
      <c r="E22" t="str">
        <f t="shared" si="1"/>
        <v>Thiếu dấu marking PS PSマーキング不足</v>
      </c>
      <c r="F22" t="str">
        <f ca="1"/>
        <v>Thiếu dấu marking PS PSマーキング不足</v>
      </c>
      <c r="G22">
        <f>IF(ISNUMBER(SEARCH(Checksheet!$BA$19,AY22)),MAX($G$1:G21)+1,"")</f>
        <v>21</v>
      </c>
      <c r="H22" t="str">
        <f t="shared" si="2"/>
        <v>Thiếu dấu marking PS PSマーキング不足</v>
      </c>
      <c r="I22" t="str">
        <f ca="1"/>
        <v>Thiếu dấu marking PS PSマーキング不足</v>
      </c>
      <c r="J22">
        <f>IF(ISNUMBER(SEARCH(Checksheet!$BA$20,AY22)),MAX($J$1:J21)+1,"")</f>
        <v>21</v>
      </c>
      <c r="K22" t="str">
        <f t="shared" si="3"/>
        <v>Thiếu dấu marking PS PSマーキング不足</v>
      </c>
      <c r="L22" t="str">
        <f ca="1"/>
        <v>Thiếu dấu marking PS PSマーキング不足</v>
      </c>
      <c r="M22">
        <f>IF(ISNUMBER(SEARCH(Checksheet!$BA$21,AY22)),MAX($M$1:M21)+1,"")</f>
        <v>21</v>
      </c>
      <c r="N22" t="str">
        <f t="shared" si="4"/>
        <v>Thiếu dấu marking PS PSマーキング不足</v>
      </c>
      <c r="O22" t="str">
        <f ca="1"/>
        <v>Thiếu dấu marking PS PSマーキング不足</v>
      </c>
      <c r="P22">
        <f>IF(ISNUMBER(SEARCH(Checksheet!$BA$22,AY22)),MAX($P$1:P21)+1,"")</f>
        <v>21</v>
      </c>
      <c r="Q22" t="str">
        <f t="shared" si="5"/>
        <v>Thiếu dấu marking PS PSマーキング不足</v>
      </c>
      <c r="R22" t="str">
        <f ca="1"/>
        <v>Thiếu dấu marking PS PSマーキング不足</v>
      </c>
      <c r="S22">
        <f>IF(ISNUMBER(SEARCH(Checksheet!$BA$23,AY22)),MAX($S$1:S21)+1,"")</f>
        <v>21</v>
      </c>
      <c r="T22" t="str">
        <f t="shared" si="6"/>
        <v>Thiếu dấu marking PS PSマーキング不足</v>
      </c>
      <c r="U22" t="str">
        <f ca="1"/>
        <v>Thiếu dấu marking PS PSマーキング不足</v>
      </c>
      <c r="V22">
        <f>IF(ISNUMBER(SEARCH(Checksheet!$BA$24,AY22)),MAX($V$1:V21)+1,"")</f>
        <v>21</v>
      </c>
      <c r="W22" t="str">
        <f t="shared" si="7"/>
        <v>Thiếu dấu marking PS PSマーキング不足</v>
      </c>
      <c r="X22" t="str">
        <f ca="1"/>
        <v>Thiếu dấu marking PS PSマーキング不足</v>
      </c>
      <c r="Y22">
        <f>IF(ISNUMBER(SEARCH(Checksheet!$BA$25,AY22)),MAX($Y$1:Y21)+1,"")</f>
        <v>21</v>
      </c>
      <c r="Z22" t="str">
        <f t="shared" si="8"/>
        <v>Thiếu dấu marking PS PSマーキング不足</v>
      </c>
      <c r="AA22" t="str">
        <f ca="1"/>
        <v>Thiếu dấu marking PS PSマーキング不足</v>
      </c>
      <c r="AB22">
        <f>IF(ISNUMBER(SEARCH(Checksheet!$BA$26,AY22)),MAX($AB$1:AB21)+1,"")</f>
        <v>21</v>
      </c>
      <c r="AC22" t="str">
        <f t="shared" si="9"/>
        <v>Thiếu dấu marking PS PSマーキング不足</v>
      </c>
      <c r="AD22" t="str">
        <f ca="1"/>
        <v>Thiếu dấu marking PS PSマーキング不足</v>
      </c>
      <c r="AE22">
        <f>IF(ISNUMBER(SEARCH(Checksheet!$BA$27,AY22)),MAX($AE$1:AE21)+1,"")</f>
        <v>21</v>
      </c>
      <c r="AF22" t="str">
        <f t="shared" si="10"/>
        <v>Thiếu dấu marking PS PSマーキング不足</v>
      </c>
      <c r="AG22" t="str">
        <f ca="1"/>
        <v>Thiếu dấu marking PS PSマーキング不足</v>
      </c>
      <c r="AH22">
        <f>IF(ISNUMBER(SEARCH(Checksheet!$BA$28,AY22)),MAX($AH$1:AH21)+1,"")</f>
        <v>21</v>
      </c>
      <c r="AI22" t="str">
        <f t="shared" si="11"/>
        <v>Thiếu dấu marking PS PSマーキング不足</v>
      </c>
      <c r="AJ22" t="str">
        <f ca="1"/>
        <v>Thiếu dấu marking PS PSマーキング不足</v>
      </c>
      <c r="AK22">
        <f>IF(ISNUMBER(SEARCH(Checksheet!$BA$29,AY22)),MAX($AK$1:AK21)+1,"")</f>
        <v>21</v>
      </c>
      <c r="AL22" t="str">
        <f t="shared" si="12"/>
        <v>Thiếu dấu marking PS PSマーキング不足</v>
      </c>
      <c r="AM22" t="str">
        <f ca="1"/>
        <v>Thiếu dấu marking PS PSマーキング不足</v>
      </c>
      <c r="AN22">
        <f>IF(ISNUMBER(SEARCH(Checksheet!$BA$30,AY22)),MAX($AN$1:AN21)+1,"")</f>
        <v>21</v>
      </c>
      <c r="AO22" t="str">
        <f t="shared" si="13"/>
        <v>Thiếu dấu marking PS PSマーキング不足</v>
      </c>
      <c r="AP22" t="str">
        <f ca="1"/>
        <v>Thiếu dấu marking PS PSマーキング不足</v>
      </c>
      <c r="AQ22">
        <f>IF(ISNUMBER(SEARCH(Checksheet!$BA$31,AY22)),MAX($AQ$1:AQ21)+1,"")</f>
        <v>21</v>
      </c>
      <c r="AR22" t="str">
        <f t="shared" si="14"/>
        <v>Thiếu dấu marking PS PSマーキング不足</v>
      </c>
      <c r="AS22" t="str">
        <f ca="1"/>
        <v>Thiếu dấu marking PS PSマーキング不足</v>
      </c>
      <c r="AT22" s="156" t="s">
        <v>1361</v>
      </c>
      <c r="AU22" s="157" t="s">
        <v>1360</v>
      </c>
      <c r="AV22" s="157" t="s">
        <v>1243</v>
      </c>
      <c r="AW22" s="157"/>
      <c r="AX22" s="157"/>
      <c r="AY22" s="157" t="s">
        <v>1495</v>
      </c>
      <c r="AZ22" s="158"/>
    </row>
    <row r="23" spans="1:52">
      <c r="A23">
        <f>IF(ISNUMBER(SEARCH(Checksheet!$BA$17,AY23)),MAX($A$1:A22)+1,"")</f>
        <v>22</v>
      </c>
      <c r="B23" t="str">
        <f t="shared" si="0"/>
        <v>Bị bể, mẻ, cấn</v>
      </c>
      <c r="C23" t="str">
        <f ca="1"/>
        <v>Bị bể, mẻ, cấn</v>
      </c>
      <c r="D23">
        <f>IF(ISNUMBER(SEARCH(Checksheet!$BA$18,AY23)),MAX($D$1:D22)+1,"")</f>
        <v>22</v>
      </c>
      <c r="E23" t="str">
        <f t="shared" si="1"/>
        <v>Bị bể, mẻ, cấn</v>
      </c>
      <c r="F23" t="str">
        <f ca="1"/>
        <v>Bị bể, mẻ, cấn</v>
      </c>
      <c r="G23">
        <f>IF(ISNUMBER(SEARCH(Checksheet!$BA$19,AY23)),MAX($G$1:G22)+1,"")</f>
        <v>22</v>
      </c>
      <c r="H23" t="str">
        <f t="shared" si="2"/>
        <v>Bị bể, mẻ, cấn</v>
      </c>
      <c r="I23" t="str">
        <f ca="1"/>
        <v>Bị bể, mẻ, cấn</v>
      </c>
      <c r="J23">
        <f>IF(ISNUMBER(SEARCH(Checksheet!$BA$20,AY23)),MAX($J$1:J22)+1,"")</f>
        <v>22</v>
      </c>
      <c r="K23" t="str">
        <f t="shared" si="3"/>
        <v>Bị bể, mẻ, cấn</v>
      </c>
      <c r="L23" t="str">
        <f ca="1"/>
        <v>Bị bể, mẻ, cấn</v>
      </c>
      <c r="M23">
        <f>IF(ISNUMBER(SEARCH(Checksheet!$BA$21,AY23)),MAX($M$1:M22)+1,"")</f>
        <v>22</v>
      </c>
      <c r="N23" t="str">
        <f t="shared" si="4"/>
        <v>Bị bể, mẻ, cấn</v>
      </c>
      <c r="O23" t="str">
        <f ca="1"/>
        <v>Bị bể, mẻ, cấn</v>
      </c>
      <c r="P23">
        <f>IF(ISNUMBER(SEARCH(Checksheet!$BA$22,AY23)),MAX($P$1:P22)+1,"")</f>
        <v>22</v>
      </c>
      <c r="Q23" t="str">
        <f t="shared" si="5"/>
        <v>Bị bể, mẻ, cấn</v>
      </c>
      <c r="R23" t="str">
        <f ca="1"/>
        <v>Bị bể, mẻ, cấn</v>
      </c>
      <c r="S23">
        <f>IF(ISNUMBER(SEARCH(Checksheet!$BA$23,AY23)),MAX($S$1:S22)+1,"")</f>
        <v>22</v>
      </c>
      <c r="T23" t="str">
        <f t="shared" si="6"/>
        <v>Bị bể, mẻ, cấn</v>
      </c>
      <c r="U23" t="str">
        <f ca="1"/>
        <v>Bị bể, mẻ, cấn</v>
      </c>
      <c r="V23">
        <f>IF(ISNUMBER(SEARCH(Checksheet!$BA$24,AY23)),MAX($V$1:V22)+1,"")</f>
        <v>22</v>
      </c>
      <c r="W23" t="str">
        <f t="shared" si="7"/>
        <v>Bị bể, mẻ, cấn</v>
      </c>
      <c r="X23" t="str">
        <f ca="1"/>
        <v>Bị bể, mẻ, cấn</v>
      </c>
      <c r="Y23">
        <f>IF(ISNUMBER(SEARCH(Checksheet!$BA$25,AY23)),MAX($Y$1:Y22)+1,"")</f>
        <v>22</v>
      </c>
      <c r="Z23" t="str">
        <f t="shared" si="8"/>
        <v>Bị bể, mẻ, cấn</v>
      </c>
      <c r="AA23" t="str">
        <f ca="1"/>
        <v>Bị bể, mẻ, cấn</v>
      </c>
      <c r="AB23">
        <f>IF(ISNUMBER(SEARCH(Checksheet!$BA$26,AY23)),MAX($AB$1:AB22)+1,"")</f>
        <v>22</v>
      </c>
      <c r="AC23" t="str">
        <f t="shared" si="9"/>
        <v>Bị bể, mẻ, cấn</v>
      </c>
      <c r="AD23" t="str">
        <f ca="1"/>
        <v>Bị bể, mẻ, cấn</v>
      </c>
      <c r="AE23">
        <f>IF(ISNUMBER(SEARCH(Checksheet!$BA$27,AY23)),MAX($AE$1:AE22)+1,"")</f>
        <v>22</v>
      </c>
      <c r="AF23" t="str">
        <f t="shared" si="10"/>
        <v>Bị bể, mẻ, cấn</v>
      </c>
      <c r="AG23" t="str">
        <f ca="1"/>
        <v>Bị bể, mẻ, cấn</v>
      </c>
      <c r="AH23">
        <f>IF(ISNUMBER(SEARCH(Checksheet!$BA$28,AY23)),MAX($AH$1:AH22)+1,"")</f>
        <v>22</v>
      </c>
      <c r="AI23" t="str">
        <f t="shared" si="11"/>
        <v>Bị bể, mẻ, cấn</v>
      </c>
      <c r="AJ23" t="str">
        <f ca="1"/>
        <v>Bị bể, mẻ, cấn</v>
      </c>
      <c r="AK23">
        <f>IF(ISNUMBER(SEARCH(Checksheet!$BA$29,AY23)),MAX($AK$1:AK22)+1,"")</f>
        <v>22</v>
      </c>
      <c r="AL23" t="str">
        <f t="shared" si="12"/>
        <v>Bị bể, mẻ, cấn</v>
      </c>
      <c r="AM23" t="str">
        <f ca="1"/>
        <v>Bị bể, mẻ, cấn</v>
      </c>
      <c r="AN23">
        <f>IF(ISNUMBER(SEARCH(Checksheet!$BA$30,AY23)),MAX($AN$1:AN22)+1,"")</f>
        <v>22</v>
      </c>
      <c r="AO23" t="str">
        <f t="shared" si="13"/>
        <v>Bị bể, mẻ, cấn</v>
      </c>
      <c r="AP23" t="str">
        <f ca="1"/>
        <v>Bị bể, mẻ, cấn</v>
      </c>
      <c r="AQ23">
        <f>IF(ISNUMBER(SEARCH(Checksheet!$BA$31,AY23)),MAX($AQ$1:AQ22)+1,"")</f>
        <v>22</v>
      </c>
      <c r="AR23" t="str">
        <f t="shared" si="14"/>
        <v>Bị bể, mẻ, cấn</v>
      </c>
      <c r="AS23" t="str">
        <f ca="1"/>
        <v>Bị bể, mẻ, cấn</v>
      </c>
      <c r="AT23" s="156" t="s">
        <v>1361</v>
      </c>
      <c r="AU23" s="157" t="s">
        <v>1360</v>
      </c>
      <c r="AV23" s="157" t="s">
        <v>1385</v>
      </c>
      <c r="AW23" s="157"/>
      <c r="AX23" s="157"/>
      <c r="AY23" s="157" t="s">
        <v>1495</v>
      </c>
      <c r="AZ23" s="158"/>
    </row>
    <row r="24" spans="1:52">
      <c r="A24">
        <f>IF(ISNUMBER(SEARCH(Checksheet!$BA$17,AY24)),MAX($A$1:A23)+1,"")</f>
        <v>23</v>
      </c>
      <c r="B24" t="str">
        <f t="shared" si="0"/>
        <v>Xỏ ngược đầu</v>
      </c>
      <c r="C24" t="str">
        <f ca="1"/>
        <v>Xỏ ngược đầu</v>
      </c>
      <c r="D24">
        <f>IF(ISNUMBER(SEARCH(Checksheet!$BA$18,AY24)),MAX($D$1:D23)+1,"")</f>
        <v>23</v>
      </c>
      <c r="E24" t="str">
        <f t="shared" si="1"/>
        <v>Xỏ ngược đầu</v>
      </c>
      <c r="F24" t="str">
        <f ca="1"/>
        <v>Xỏ ngược đầu</v>
      </c>
      <c r="G24">
        <f>IF(ISNUMBER(SEARCH(Checksheet!$BA$19,AY24)),MAX($G$1:G23)+1,"")</f>
        <v>23</v>
      </c>
      <c r="H24" t="str">
        <f t="shared" si="2"/>
        <v>Xỏ ngược đầu</v>
      </c>
      <c r="I24" t="str">
        <f ca="1"/>
        <v>Xỏ ngược đầu</v>
      </c>
      <c r="J24">
        <f>IF(ISNUMBER(SEARCH(Checksheet!$BA$20,AY24)),MAX($J$1:J23)+1,"")</f>
        <v>23</v>
      </c>
      <c r="K24" t="str">
        <f t="shared" si="3"/>
        <v>Xỏ ngược đầu</v>
      </c>
      <c r="L24" t="str">
        <f ca="1"/>
        <v>Xỏ ngược đầu</v>
      </c>
      <c r="M24">
        <f>IF(ISNUMBER(SEARCH(Checksheet!$BA$21,AY24)),MAX($M$1:M23)+1,"")</f>
        <v>23</v>
      </c>
      <c r="N24" t="str">
        <f t="shared" si="4"/>
        <v>Xỏ ngược đầu</v>
      </c>
      <c r="O24" t="str">
        <f ca="1"/>
        <v>Xỏ ngược đầu</v>
      </c>
      <c r="P24">
        <f>IF(ISNUMBER(SEARCH(Checksheet!$BA$22,AY24)),MAX($P$1:P23)+1,"")</f>
        <v>23</v>
      </c>
      <c r="Q24" t="str">
        <f t="shared" si="5"/>
        <v>Xỏ ngược đầu</v>
      </c>
      <c r="R24" t="str">
        <f ca="1"/>
        <v>Xỏ ngược đầu</v>
      </c>
      <c r="S24">
        <f>IF(ISNUMBER(SEARCH(Checksheet!$BA$23,AY24)),MAX($S$1:S23)+1,"")</f>
        <v>23</v>
      </c>
      <c r="T24" t="str">
        <f t="shared" si="6"/>
        <v>Xỏ ngược đầu</v>
      </c>
      <c r="U24" t="str">
        <f ca="1"/>
        <v>Xỏ ngược đầu</v>
      </c>
      <c r="V24">
        <f>IF(ISNUMBER(SEARCH(Checksheet!$BA$24,AY24)),MAX($V$1:V23)+1,"")</f>
        <v>23</v>
      </c>
      <c r="W24" t="str">
        <f t="shared" si="7"/>
        <v>Xỏ ngược đầu</v>
      </c>
      <c r="X24" t="str">
        <f ca="1"/>
        <v>Xỏ ngược đầu</v>
      </c>
      <c r="Y24">
        <f>IF(ISNUMBER(SEARCH(Checksheet!$BA$25,AY24)),MAX($Y$1:Y23)+1,"")</f>
        <v>23</v>
      </c>
      <c r="Z24" t="str">
        <f t="shared" si="8"/>
        <v>Xỏ ngược đầu</v>
      </c>
      <c r="AA24" t="str">
        <f ca="1"/>
        <v>Xỏ ngược đầu</v>
      </c>
      <c r="AB24">
        <f>IF(ISNUMBER(SEARCH(Checksheet!$BA$26,AY24)),MAX($AB$1:AB23)+1,"")</f>
        <v>23</v>
      </c>
      <c r="AC24" t="str">
        <f t="shared" si="9"/>
        <v>Xỏ ngược đầu</v>
      </c>
      <c r="AD24" t="str">
        <f ca="1"/>
        <v>Xỏ ngược đầu</v>
      </c>
      <c r="AE24">
        <f>IF(ISNUMBER(SEARCH(Checksheet!$BA$27,AY24)),MAX($AE$1:AE23)+1,"")</f>
        <v>23</v>
      </c>
      <c r="AF24" t="str">
        <f t="shared" si="10"/>
        <v>Xỏ ngược đầu</v>
      </c>
      <c r="AG24" t="str">
        <f ca="1"/>
        <v>Xỏ ngược đầu</v>
      </c>
      <c r="AH24">
        <f>IF(ISNUMBER(SEARCH(Checksheet!$BA$28,AY24)),MAX($AH$1:AH23)+1,"")</f>
        <v>23</v>
      </c>
      <c r="AI24" t="str">
        <f t="shared" si="11"/>
        <v>Xỏ ngược đầu</v>
      </c>
      <c r="AJ24" t="str">
        <f ca="1"/>
        <v>Xỏ ngược đầu</v>
      </c>
      <c r="AK24">
        <f>IF(ISNUMBER(SEARCH(Checksheet!$BA$29,AY24)),MAX($AK$1:AK23)+1,"")</f>
        <v>23</v>
      </c>
      <c r="AL24" t="str">
        <f t="shared" si="12"/>
        <v>Xỏ ngược đầu</v>
      </c>
      <c r="AM24" t="str">
        <f ca="1"/>
        <v>Xỏ ngược đầu</v>
      </c>
      <c r="AN24">
        <f>IF(ISNUMBER(SEARCH(Checksheet!$BA$30,AY24)),MAX($AN$1:AN23)+1,"")</f>
        <v>23</v>
      </c>
      <c r="AO24" t="str">
        <f t="shared" si="13"/>
        <v>Xỏ ngược đầu</v>
      </c>
      <c r="AP24" t="str">
        <f ca="1"/>
        <v>Xỏ ngược đầu</v>
      </c>
      <c r="AQ24">
        <f>IF(ISNUMBER(SEARCH(Checksheet!$BA$31,AY24)),MAX($AQ$1:AQ23)+1,"")</f>
        <v>23</v>
      </c>
      <c r="AR24" t="str">
        <f t="shared" si="14"/>
        <v>Xỏ ngược đầu</v>
      </c>
      <c r="AS24" t="str">
        <f ca="1"/>
        <v>Xỏ ngược đầu</v>
      </c>
      <c r="AT24" s="156" t="s">
        <v>1361</v>
      </c>
      <c r="AU24" s="157" t="s">
        <v>1360</v>
      </c>
      <c r="AV24" s="157" t="s">
        <v>1386</v>
      </c>
      <c r="AW24" s="157"/>
      <c r="AX24" s="157"/>
      <c r="AY24" s="157" t="s">
        <v>1495</v>
      </c>
      <c r="AZ24" s="158"/>
    </row>
    <row r="25" spans="1:52">
      <c r="A25">
        <f>IF(ISNUMBER(SEARCH(Checksheet!$BA$17,AY25)),MAX($A$1:A24)+1,"")</f>
        <v>24</v>
      </c>
      <c r="B25" t="str">
        <f t="shared" si="0"/>
        <v>Bị trầy xước</v>
      </c>
      <c r="C25" t="str">
        <f ca="1"/>
        <v>Bị trầy xước</v>
      </c>
      <c r="D25">
        <f>IF(ISNUMBER(SEARCH(Checksheet!$BA$18,AY25)),MAX($D$1:D24)+1,"")</f>
        <v>24</v>
      </c>
      <c r="E25" t="str">
        <f t="shared" si="1"/>
        <v>Bị trầy xước</v>
      </c>
      <c r="F25" t="str">
        <f ca="1"/>
        <v>Bị trầy xước</v>
      </c>
      <c r="G25">
        <f>IF(ISNUMBER(SEARCH(Checksheet!$BA$19,AY25)),MAX($G$1:G24)+1,"")</f>
        <v>24</v>
      </c>
      <c r="H25" t="str">
        <f t="shared" si="2"/>
        <v>Bị trầy xước</v>
      </c>
      <c r="I25" t="str">
        <f ca="1"/>
        <v>Bị trầy xước</v>
      </c>
      <c r="J25">
        <f>IF(ISNUMBER(SEARCH(Checksheet!$BA$20,AY25)),MAX($J$1:J24)+1,"")</f>
        <v>24</v>
      </c>
      <c r="K25" t="str">
        <f t="shared" si="3"/>
        <v>Bị trầy xước</v>
      </c>
      <c r="L25" t="str">
        <f ca="1"/>
        <v>Bị trầy xước</v>
      </c>
      <c r="M25">
        <f>IF(ISNUMBER(SEARCH(Checksheet!$BA$21,AY25)),MAX($M$1:M24)+1,"")</f>
        <v>24</v>
      </c>
      <c r="N25" t="str">
        <f t="shared" si="4"/>
        <v>Bị trầy xước</v>
      </c>
      <c r="O25" t="str">
        <f ca="1"/>
        <v>Bị trầy xước</v>
      </c>
      <c r="P25">
        <f>IF(ISNUMBER(SEARCH(Checksheet!$BA$22,AY25)),MAX($P$1:P24)+1,"")</f>
        <v>24</v>
      </c>
      <c r="Q25" t="str">
        <f t="shared" si="5"/>
        <v>Bị trầy xước</v>
      </c>
      <c r="R25" t="str">
        <f ca="1"/>
        <v>Bị trầy xước</v>
      </c>
      <c r="S25">
        <f>IF(ISNUMBER(SEARCH(Checksheet!$BA$23,AY25)),MAX($S$1:S24)+1,"")</f>
        <v>24</v>
      </c>
      <c r="T25" t="str">
        <f t="shared" si="6"/>
        <v>Bị trầy xước</v>
      </c>
      <c r="U25" t="str">
        <f ca="1"/>
        <v>Bị trầy xước</v>
      </c>
      <c r="V25">
        <f>IF(ISNUMBER(SEARCH(Checksheet!$BA$24,AY25)),MAX($V$1:V24)+1,"")</f>
        <v>24</v>
      </c>
      <c r="W25" t="str">
        <f t="shared" si="7"/>
        <v>Bị trầy xước</v>
      </c>
      <c r="X25" t="str">
        <f ca="1"/>
        <v>Bị trầy xước</v>
      </c>
      <c r="Y25">
        <f>IF(ISNUMBER(SEARCH(Checksheet!$BA$25,AY25)),MAX($Y$1:Y24)+1,"")</f>
        <v>24</v>
      </c>
      <c r="Z25" t="str">
        <f t="shared" si="8"/>
        <v>Bị trầy xước</v>
      </c>
      <c r="AA25" t="str">
        <f ca="1"/>
        <v>Bị trầy xước</v>
      </c>
      <c r="AB25">
        <f>IF(ISNUMBER(SEARCH(Checksheet!$BA$26,AY25)),MAX($AB$1:AB24)+1,"")</f>
        <v>24</v>
      </c>
      <c r="AC25" t="str">
        <f t="shared" si="9"/>
        <v>Bị trầy xước</v>
      </c>
      <c r="AD25" t="str">
        <f ca="1"/>
        <v>Bị trầy xước</v>
      </c>
      <c r="AE25">
        <f>IF(ISNUMBER(SEARCH(Checksheet!$BA$27,AY25)),MAX($AE$1:AE24)+1,"")</f>
        <v>24</v>
      </c>
      <c r="AF25" t="str">
        <f t="shared" si="10"/>
        <v>Bị trầy xước</v>
      </c>
      <c r="AG25" t="str">
        <f ca="1"/>
        <v>Bị trầy xước</v>
      </c>
      <c r="AH25">
        <f>IF(ISNUMBER(SEARCH(Checksheet!$BA$28,AY25)),MAX($AH$1:AH24)+1,"")</f>
        <v>24</v>
      </c>
      <c r="AI25" t="str">
        <f t="shared" si="11"/>
        <v>Bị trầy xước</v>
      </c>
      <c r="AJ25" t="str">
        <f ca="1"/>
        <v>Bị trầy xước</v>
      </c>
      <c r="AK25">
        <f>IF(ISNUMBER(SEARCH(Checksheet!$BA$29,AY25)),MAX($AK$1:AK24)+1,"")</f>
        <v>24</v>
      </c>
      <c r="AL25" t="str">
        <f t="shared" si="12"/>
        <v>Bị trầy xước</v>
      </c>
      <c r="AM25" t="str">
        <f ca="1"/>
        <v>Bị trầy xước</v>
      </c>
      <c r="AN25">
        <f>IF(ISNUMBER(SEARCH(Checksheet!$BA$30,AY25)),MAX($AN$1:AN24)+1,"")</f>
        <v>24</v>
      </c>
      <c r="AO25" t="str">
        <f t="shared" si="13"/>
        <v>Bị trầy xước</v>
      </c>
      <c r="AP25" t="str">
        <f ca="1"/>
        <v>Bị trầy xước</v>
      </c>
      <c r="AQ25">
        <f>IF(ISNUMBER(SEARCH(Checksheet!$BA$31,AY25)),MAX($AQ$1:AQ24)+1,"")</f>
        <v>24</v>
      </c>
      <c r="AR25" t="str">
        <f t="shared" si="14"/>
        <v>Bị trầy xước</v>
      </c>
      <c r="AS25" t="str">
        <f ca="1"/>
        <v>Bị trầy xước</v>
      </c>
      <c r="AT25" s="156" t="s">
        <v>1361</v>
      </c>
      <c r="AU25" s="157" t="s">
        <v>1360</v>
      </c>
      <c r="AV25" s="157" t="s">
        <v>1394</v>
      </c>
      <c r="AW25" s="157"/>
      <c r="AX25" s="157"/>
      <c r="AY25" s="157" t="s">
        <v>1495</v>
      </c>
      <c r="AZ25" s="158"/>
    </row>
    <row r="26" spans="1:52">
      <c r="A26">
        <f>IF(ISNUMBER(SEARCH(Checksheet!$BA$17,AY26)),MAX($A$1:A25)+1,"")</f>
        <v>25</v>
      </c>
      <c r="B26" t="str">
        <f t="shared" si="0"/>
        <v>Bị gãy khóa</v>
      </c>
      <c r="C26" t="str">
        <f ca="1"/>
        <v>Bị gãy khóa</v>
      </c>
      <c r="D26">
        <f>IF(ISNUMBER(SEARCH(Checksheet!$BA$18,AY26)),MAX($D$1:D25)+1,"")</f>
        <v>25</v>
      </c>
      <c r="E26" t="str">
        <f t="shared" si="1"/>
        <v>Bị gãy khóa</v>
      </c>
      <c r="F26" t="str">
        <f ca="1"/>
        <v>Bị gãy khóa</v>
      </c>
      <c r="G26">
        <f>IF(ISNUMBER(SEARCH(Checksheet!$BA$19,AY26)),MAX($G$1:G25)+1,"")</f>
        <v>25</v>
      </c>
      <c r="H26" t="str">
        <f t="shared" si="2"/>
        <v>Bị gãy khóa</v>
      </c>
      <c r="I26" t="str">
        <f ca="1"/>
        <v>Bị gãy khóa</v>
      </c>
      <c r="J26">
        <f>IF(ISNUMBER(SEARCH(Checksheet!$BA$20,AY26)),MAX($J$1:J25)+1,"")</f>
        <v>25</v>
      </c>
      <c r="K26" t="str">
        <f t="shared" si="3"/>
        <v>Bị gãy khóa</v>
      </c>
      <c r="L26" t="str">
        <f ca="1"/>
        <v>Bị gãy khóa</v>
      </c>
      <c r="M26">
        <f>IF(ISNUMBER(SEARCH(Checksheet!$BA$21,AY26)),MAX($M$1:M25)+1,"")</f>
        <v>25</v>
      </c>
      <c r="N26" t="str">
        <f t="shared" si="4"/>
        <v>Bị gãy khóa</v>
      </c>
      <c r="O26" t="str">
        <f ca="1"/>
        <v>Bị gãy khóa</v>
      </c>
      <c r="P26">
        <f>IF(ISNUMBER(SEARCH(Checksheet!$BA$22,AY26)),MAX($P$1:P25)+1,"")</f>
        <v>25</v>
      </c>
      <c r="Q26" t="str">
        <f t="shared" si="5"/>
        <v>Bị gãy khóa</v>
      </c>
      <c r="R26" t="str">
        <f ca="1"/>
        <v>Bị gãy khóa</v>
      </c>
      <c r="S26">
        <f>IF(ISNUMBER(SEARCH(Checksheet!$BA$23,AY26)),MAX($S$1:S25)+1,"")</f>
        <v>25</v>
      </c>
      <c r="T26" t="str">
        <f t="shared" si="6"/>
        <v>Bị gãy khóa</v>
      </c>
      <c r="U26" t="str">
        <f ca="1"/>
        <v>Bị gãy khóa</v>
      </c>
      <c r="V26">
        <f>IF(ISNUMBER(SEARCH(Checksheet!$BA$24,AY26)),MAX($V$1:V25)+1,"")</f>
        <v>25</v>
      </c>
      <c r="W26" t="str">
        <f t="shared" si="7"/>
        <v>Bị gãy khóa</v>
      </c>
      <c r="X26" t="str">
        <f ca="1"/>
        <v>Bị gãy khóa</v>
      </c>
      <c r="Y26">
        <f>IF(ISNUMBER(SEARCH(Checksheet!$BA$25,AY26)),MAX($Y$1:Y25)+1,"")</f>
        <v>25</v>
      </c>
      <c r="Z26" t="str">
        <f t="shared" si="8"/>
        <v>Bị gãy khóa</v>
      </c>
      <c r="AA26" t="str">
        <f ca="1"/>
        <v>Bị gãy khóa</v>
      </c>
      <c r="AB26">
        <f>IF(ISNUMBER(SEARCH(Checksheet!$BA$26,AY26)),MAX($AB$1:AB25)+1,"")</f>
        <v>25</v>
      </c>
      <c r="AC26" t="str">
        <f t="shared" si="9"/>
        <v>Bị gãy khóa</v>
      </c>
      <c r="AD26" t="str">
        <f ca="1"/>
        <v>Bị gãy khóa</v>
      </c>
      <c r="AE26">
        <f>IF(ISNUMBER(SEARCH(Checksheet!$BA$27,AY26)),MAX($AE$1:AE25)+1,"")</f>
        <v>25</v>
      </c>
      <c r="AF26" t="str">
        <f t="shared" si="10"/>
        <v>Bị gãy khóa</v>
      </c>
      <c r="AG26" t="str">
        <f ca="1"/>
        <v>Bị gãy khóa</v>
      </c>
      <c r="AH26">
        <f>IF(ISNUMBER(SEARCH(Checksheet!$BA$28,AY26)),MAX($AH$1:AH25)+1,"")</f>
        <v>25</v>
      </c>
      <c r="AI26" t="str">
        <f t="shared" si="11"/>
        <v>Bị gãy khóa</v>
      </c>
      <c r="AJ26" t="str">
        <f ca="1"/>
        <v>Bị gãy khóa</v>
      </c>
      <c r="AK26">
        <f>IF(ISNUMBER(SEARCH(Checksheet!$BA$29,AY26)),MAX($AK$1:AK25)+1,"")</f>
        <v>25</v>
      </c>
      <c r="AL26" t="str">
        <f t="shared" si="12"/>
        <v>Bị gãy khóa</v>
      </c>
      <c r="AM26" t="str">
        <f ca="1"/>
        <v>Bị gãy khóa</v>
      </c>
      <c r="AN26">
        <f>IF(ISNUMBER(SEARCH(Checksheet!$BA$30,AY26)),MAX($AN$1:AN25)+1,"")</f>
        <v>25</v>
      </c>
      <c r="AO26" t="str">
        <f t="shared" si="13"/>
        <v>Bị gãy khóa</v>
      </c>
      <c r="AP26" t="str">
        <f ca="1"/>
        <v>Bị gãy khóa</v>
      </c>
      <c r="AQ26">
        <f>IF(ISNUMBER(SEARCH(Checksheet!$BA$31,AY26)),MAX($AQ$1:AQ25)+1,"")</f>
        <v>25</v>
      </c>
      <c r="AR26" t="str">
        <f t="shared" si="14"/>
        <v>Bị gãy khóa</v>
      </c>
      <c r="AS26" t="str">
        <f ca="1"/>
        <v>Bị gãy khóa</v>
      </c>
      <c r="AT26" s="156" t="s">
        <v>1361</v>
      </c>
      <c r="AU26" s="157" t="s">
        <v>1360</v>
      </c>
      <c r="AV26" s="157" t="s">
        <v>1387</v>
      </c>
      <c r="AW26" s="157"/>
      <c r="AX26" s="157"/>
      <c r="AY26" s="157" t="s">
        <v>1495</v>
      </c>
      <c r="AZ26" s="158"/>
    </row>
    <row r="27" spans="1:52">
      <c r="A27">
        <f>IF(ISNUMBER(SEARCH(Checksheet!$BA$17,AY27)),MAX($A$1:A26)+1,"")</f>
        <v>26</v>
      </c>
      <c r="B27" t="str">
        <f t="shared" si="0"/>
        <v>Đội gờ HS</v>
      </c>
      <c r="C27" t="str">
        <f ca="1"/>
        <v>Đội gờ HS</v>
      </c>
      <c r="D27">
        <f>IF(ISNUMBER(SEARCH(Checksheet!$BA$18,AY27)),MAX($D$1:D26)+1,"")</f>
        <v>26</v>
      </c>
      <c r="E27" t="str">
        <f t="shared" si="1"/>
        <v>Đội gờ HS</v>
      </c>
      <c r="F27" t="str">
        <f ca="1"/>
        <v>Đội gờ HS</v>
      </c>
      <c r="G27">
        <f>IF(ISNUMBER(SEARCH(Checksheet!$BA$19,AY27)),MAX($G$1:G26)+1,"")</f>
        <v>26</v>
      </c>
      <c r="H27" t="str">
        <f t="shared" si="2"/>
        <v>Đội gờ HS</v>
      </c>
      <c r="I27" t="str">
        <f ca="1"/>
        <v>Đội gờ HS</v>
      </c>
      <c r="J27">
        <f>IF(ISNUMBER(SEARCH(Checksheet!$BA$20,AY27)),MAX($J$1:J26)+1,"")</f>
        <v>26</v>
      </c>
      <c r="K27" t="str">
        <f t="shared" si="3"/>
        <v>Đội gờ HS</v>
      </c>
      <c r="L27" t="str">
        <f ca="1"/>
        <v>Đội gờ HS</v>
      </c>
      <c r="M27">
        <f>IF(ISNUMBER(SEARCH(Checksheet!$BA$21,AY27)),MAX($M$1:M26)+1,"")</f>
        <v>26</v>
      </c>
      <c r="N27" t="str">
        <f t="shared" si="4"/>
        <v>Đội gờ HS</v>
      </c>
      <c r="O27" t="str">
        <f ca="1"/>
        <v>Đội gờ HS</v>
      </c>
      <c r="P27">
        <f>IF(ISNUMBER(SEARCH(Checksheet!$BA$22,AY27)),MAX($P$1:P26)+1,"")</f>
        <v>26</v>
      </c>
      <c r="Q27" t="str">
        <f t="shared" si="5"/>
        <v>Đội gờ HS</v>
      </c>
      <c r="R27" t="str">
        <f ca="1"/>
        <v>Đội gờ HS</v>
      </c>
      <c r="S27">
        <f>IF(ISNUMBER(SEARCH(Checksheet!$BA$23,AY27)),MAX($S$1:S26)+1,"")</f>
        <v>26</v>
      </c>
      <c r="T27" t="str">
        <f t="shared" si="6"/>
        <v>Đội gờ HS</v>
      </c>
      <c r="U27" t="str">
        <f ca="1"/>
        <v>Đội gờ HS</v>
      </c>
      <c r="V27">
        <f>IF(ISNUMBER(SEARCH(Checksheet!$BA$24,AY27)),MAX($V$1:V26)+1,"")</f>
        <v>26</v>
      </c>
      <c r="W27" t="str">
        <f t="shared" si="7"/>
        <v>Đội gờ HS</v>
      </c>
      <c r="X27" t="str">
        <f ca="1"/>
        <v>Đội gờ HS</v>
      </c>
      <c r="Y27">
        <f>IF(ISNUMBER(SEARCH(Checksheet!$BA$25,AY27)),MAX($Y$1:Y26)+1,"")</f>
        <v>26</v>
      </c>
      <c r="Z27" t="str">
        <f t="shared" si="8"/>
        <v>Đội gờ HS</v>
      </c>
      <c r="AA27" t="str">
        <f ca="1"/>
        <v>Đội gờ HS</v>
      </c>
      <c r="AB27">
        <f>IF(ISNUMBER(SEARCH(Checksheet!$BA$26,AY27)),MAX($AB$1:AB26)+1,"")</f>
        <v>26</v>
      </c>
      <c r="AC27" t="str">
        <f t="shared" si="9"/>
        <v>Đội gờ HS</v>
      </c>
      <c r="AD27" t="str">
        <f ca="1"/>
        <v>Đội gờ HS</v>
      </c>
      <c r="AE27">
        <f>IF(ISNUMBER(SEARCH(Checksheet!$BA$27,AY27)),MAX($AE$1:AE26)+1,"")</f>
        <v>26</v>
      </c>
      <c r="AF27" t="str">
        <f t="shared" si="10"/>
        <v>Đội gờ HS</v>
      </c>
      <c r="AG27" t="str">
        <f ca="1"/>
        <v>Đội gờ HS</v>
      </c>
      <c r="AH27">
        <f>IF(ISNUMBER(SEARCH(Checksheet!$BA$28,AY27)),MAX($AH$1:AH26)+1,"")</f>
        <v>26</v>
      </c>
      <c r="AI27" t="str">
        <f t="shared" si="11"/>
        <v>Đội gờ HS</v>
      </c>
      <c r="AJ27" t="str">
        <f ca="1"/>
        <v>Đội gờ HS</v>
      </c>
      <c r="AK27">
        <f>IF(ISNUMBER(SEARCH(Checksheet!$BA$29,AY27)),MAX($AK$1:AK26)+1,"")</f>
        <v>26</v>
      </c>
      <c r="AL27" t="str">
        <f t="shared" si="12"/>
        <v>Đội gờ HS</v>
      </c>
      <c r="AM27" t="str">
        <f ca="1"/>
        <v>Đội gờ HS</v>
      </c>
      <c r="AN27">
        <f>IF(ISNUMBER(SEARCH(Checksheet!$BA$30,AY27)),MAX($AN$1:AN26)+1,"")</f>
        <v>26</v>
      </c>
      <c r="AO27" t="str">
        <f t="shared" si="13"/>
        <v>Đội gờ HS</v>
      </c>
      <c r="AP27" t="str">
        <f ca="1"/>
        <v>Đội gờ HS</v>
      </c>
      <c r="AQ27">
        <f>IF(ISNUMBER(SEARCH(Checksheet!$BA$31,AY27)),MAX($AQ$1:AQ26)+1,"")</f>
        <v>26</v>
      </c>
      <c r="AR27" t="str">
        <f t="shared" si="14"/>
        <v>Đội gờ HS</v>
      </c>
      <c r="AS27" t="str">
        <f ca="1"/>
        <v>Đội gờ HS</v>
      </c>
      <c r="AT27" s="156" t="s">
        <v>1246</v>
      </c>
      <c r="AU27" s="157" t="s">
        <v>1360</v>
      </c>
      <c r="AV27" s="157" t="s">
        <v>1458</v>
      </c>
      <c r="AW27" s="157"/>
      <c r="AX27" s="157"/>
      <c r="AY27" s="157" t="s">
        <v>1496</v>
      </c>
      <c r="AZ27" s="158"/>
    </row>
    <row r="28" spans="1:52">
      <c r="A28">
        <f>IF(ISNUMBER(SEARCH(Checksheet!$BA$17,AY28)),MAX($A$1:A27)+1,"")</f>
        <v>27</v>
      </c>
      <c r="B28" t="str">
        <f t="shared" si="0"/>
        <v>Hở hộp nối 端子勘合部(接点）が開いている</v>
      </c>
      <c r="C28" t="str">
        <f ca="1"/>
        <v>Hở hộp nối 端子勘合部(接点）が開いている</v>
      </c>
      <c r="D28">
        <f>IF(ISNUMBER(SEARCH(Checksheet!$BA$18,AY28)),MAX($D$1:D27)+1,"")</f>
        <v>27</v>
      </c>
      <c r="E28" t="str">
        <f t="shared" si="1"/>
        <v>Hở hộp nối 端子勘合部(接点）が開いている</v>
      </c>
      <c r="F28" t="str">
        <f ca="1"/>
        <v>Hở hộp nối 端子勘合部(接点）が開いている</v>
      </c>
      <c r="G28">
        <f>IF(ISNUMBER(SEARCH(Checksheet!$BA$19,AY28)),MAX($G$1:G27)+1,"")</f>
        <v>27</v>
      </c>
      <c r="H28" t="str">
        <f t="shared" si="2"/>
        <v>Hở hộp nối 端子勘合部(接点）が開いている</v>
      </c>
      <c r="I28" t="str">
        <f ca="1"/>
        <v>Hở hộp nối 端子勘合部(接点）が開いている</v>
      </c>
      <c r="J28">
        <f>IF(ISNUMBER(SEARCH(Checksheet!$BA$20,AY28)),MAX($J$1:J27)+1,"")</f>
        <v>27</v>
      </c>
      <c r="K28" t="str">
        <f t="shared" si="3"/>
        <v>Hở hộp nối 端子勘合部(接点）が開いている</v>
      </c>
      <c r="L28" t="str">
        <f ca="1"/>
        <v>Hở hộp nối 端子勘合部(接点）が開いている</v>
      </c>
      <c r="M28">
        <f>IF(ISNUMBER(SEARCH(Checksheet!$BA$21,AY28)),MAX($M$1:M27)+1,"")</f>
        <v>27</v>
      </c>
      <c r="N28" t="str">
        <f t="shared" si="4"/>
        <v>Hở hộp nối 端子勘合部(接点）が開いている</v>
      </c>
      <c r="O28" t="str">
        <f ca="1"/>
        <v>Hở hộp nối 端子勘合部(接点）が開いている</v>
      </c>
      <c r="P28">
        <f>IF(ISNUMBER(SEARCH(Checksheet!$BA$22,AY28)),MAX($P$1:P27)+1,"")</f>
        <v>27</v>
      </c>
      <c r="Q28" t="str">
        <f t="shared" si="5"/>
        <v>Hở hộp nối 端子勘合部(接点）が開いている</v>
      </c>
      <c r="R28" t="str">
        <f ca="1"/>
        <v>Hở hộp nối 端子勘合部(接点）が開いている</v>
      </c>
      <c r="S28">
        <f>IF(ISNUMBER(SEARCH(Checksheet!$BA$23,AY28)),MAX($S$1:S27)+1,"")</f>
        <v>27</v>
      </c>
      <c r="T28" t="str">
        <f t="shared" si="6"/>
        <v>Hở hộp nối 端子勘合部(接点）が開いている</v>
      </c>
      <c r="U28" t="str">
        <f ca="1"/>
        <v>Hở hộp nối 端子勘合部(接点）が開いている</v>
      </c>
      <c r="V28">
        <f>IF(ISNUMBER(SEARCH(Checksheet!$BA$24,AY28)),MAX($V$1:V27)+1,"")</f>
        <v>27</v>
      </c>
      <c r="W28" t="str">
        <f t="shared" si="7"/>
        <v>Hở hộp nối 端子勘合部(接点）が開いている</v>
      </c>
      <c r="X28" t="str">
        <f ca="1"/>
        <v>Hở hộp nối 端子勘合部(接点）が開いている</v>
      </c>
      <c r="Y28">
        <f>IF(ISNUMBER(SEARCH(Checksheet!$BA$25,AY28)),MAX($Y$1:Y27)+1,"")</f>
        <v>27</v>
      </c>
      <c r="Z28" t="str">
        <f t="shared" si="8"/>
        <v>Hở hộp nối 端子勘合部(接点）が開いている</v>
      </c>
      <c r="AA28" t="str">
        <f ca="1"/>
        <v>Hở hộp nối 端子勘合部(接点）が開いている</v>
      </c>
      <c r="AB28">
        <f>IF(ISNUMBER(SEARCH(Checksheet!$BA$26,AY28)),MAX($AB$1:AB27)+1,"")</f>
        <v>27</v>
      </c>
      <c r="AC28" t="str">
        <f t="shared" si="9"/>
        <v>Hở hộp nối 端子勘合部(接点）が開いている</v>
      </c>
      <c r="AD28" t="str">
        <f ca="1"/>
        <v>Hở hộp nối 端子勘合部(接点）が開いている</v>
      </c>
      <c r="AE28">
        <f>IF(ISNUMBER(SEARCH(Checksheet!$BA$27,AY28)),MAX($AE$1:AE27)+1,"")</f>
        <v>27</v>
      </c>
      <c r="AF28" t="str">
        <f t="shared" si="10"/>
        <v>Hở hộp nối 端子勘合部(接点）が開いている</v>
      </c>
      <c r="AG28" t="str">
        <f ca="1"/>
        <v>Hở hộp nối 端子勘合部(接点）が開いている</v>
      </c>
      <c r="AH28">
        <f>IF(ISNUMBER(SEARCH(Checksheet!$BA$28,AY28)),MAX($AH$1:AH27)+1,"")</f>
        <v>27</v>
      </c>
      <c r="AI28" t="str">
        <f t="shared" si="11"/>
        <v>Hở hộp nối 端子勘合部(接点）が開いている</v>
      </c>
      <c r="AJ28" t="str">
        <f ca="1"/>
        <v>Hở hộp nối 端子勘合部(接点）が開いている</v>
      </c>
      <c r="AK28">
        <f>IF(ISNUMBER(SEARCH(Checksheet!$BA$29,AY28)),MAX($AK$1:AK27)+1,"")</f>
        <v>27</v>
      </c>
      <c r="AL28" t="str">
        <f t="shared" si="12"/>
        <v>Hở hộp nối 端子勘合部(接点）が開いている</v>
      </c>
      <c r="AM28" t="str">
        <f ca="1"/>
        <v>Hở hộp nối 端子勘合部(接点）が開いている</v>
      </c>
      <c r="AN28">
        <f>IF(ISNUMBER(SEARCH(Checksheet!$BA$30,AY28)),MAX($AN$1:AN27)+1,"")</f>
        <v>27</v>
      </c>
      <c r="AO28" t="str">
        <f t="shared" si="13"/>
        <v>Hở hộp nối 端子勘合部(接点）が開いている</v>
      </c>
      <c r="AP28" t="str">
        <f ca="1"/>
        <v>Hở hộp nối 端子勘合部(接点）が開いている</v>
      </c>
      <c r="AQ28">
        <f>IF(ISNUMBER(SEARCH(Checksheet!$BA$31,AY28)),MAX($AQ$1:AQ27)+1,"")</f>
        <v>27</v>
      </c>
      <c r="AR28" t="str">
        <f t="shared" si="14"/>
        <v>Hở hộp nối 端子勘合部(接点）が開いている</v>
      </c>
      <c r="AS28" t="str">
        <f ca="1"/>
        <v>Hở hộp nối 端子勘合部(接点）が開いている</v>
      </c>
      <c r="AT28" s="156" t="s">
        <v>1361</v>
      </c>
      <c r="AU28" s="157" t="s">
        <v>1360</v>
      </c>
      <c r="AV28" s="157" t="s">
        <v>1241</v>
      </c>
      <c r="AW28" s="157"/>
      <c r="AX28" s="157"/>
      <c r="AY28" s="157" t="s">
        <v>1495</v>
      </c>
      <c r="AZ28" s="158"/>
    </row>
    <row r="29" spans="1:52">
      <c r="A29">
        <f>IF(ISNUMBER(SEARCH(Checksheet!$BA$17,AY29)),MAX($A$1:A28)+1,"")</f>
        <v>28</v>
      </c>
      <c r="B29" t="str">
        <f t="shared" si="0"/>
        <v>Others</v>
      </c>
      <c r="C29" t="str">
        <f ca="1"/>
        <v>Others</v>
      </c>
      <c r="D29">
        <f>IF(ISNUMBER(SEARCH(Checksheet!$BA$18,AY29)),MAX($D$1:D28)+1,"")</f>
        <v>28</v>
      </c>
      <c r="E29" t="str">
        <f t="shared" si="1"/>
        <v>Others</v>
      </c>
      <c r="F29" t="str">
        <f ca="1"/>
        <v>Others</v>
      </c>
      <c r="G29">
        <f>IF(ISNUMBER(SEARCH(Checksheet!$BA$19,AY29)),MAX($G$1:G28)+1,"")</f>
        <v>28</v>
      </c>
      <c r="H29" t="str">
        <f t="shared" si="2"/>
        <v>Others</v>
      </c>
      <c r="I29" t="str">
        <f ca="1"/>
        <v>Others</v>
      </c>
      <c r="J29">
        <f>IF(ISNUMBER(SEARCH(Checksheet!$BA$20,AY29)),MAX($J$1:J28)+1,"")</f>
        <v>28</v>
      </c>
      <c r="K29" t="str">
        <f t="shared" si="3"/>
        <v>Others</v>
      </c>
      <c r="L29" t="str">
        <f ca="1"/>
        <v>Others</v>
      </c>
      <c r="M29">
        <f>IF(ISNUMBER(SEARCH(Checksheet!$BA$21,AY29)),MAX($M$1:M28)+1,"")</f>
        <v>28</v>
      </c>
      <c r="N29" t="str">
        <f t="shared" si="4"/>
        <v>Others</v>
      </c>
      <c r="O29" t="str">
        <f ca="1"/>
        <v>Others</v>
      </c>
      <c r="P29">
        <f>IF(ISNUMBER(SEARCH(Checksheet!$BA$22,AY29)),MAX($P$1:P28)+1,"")</f>
        <v>28</v>
      </c>
      <c r="Q29" t="str">
        <f t="shared" si="5"/>
        <v>Others</v>
      </c>
      <c r="R29" t="str">
        <f ca="1"/>
        <v>Others</v>
      </c>
      <c r="S29">
        <f>IF(ISNUMBER(SEARCH(Checksheet!$BA$23,AY29)),MAX($S$1:S28)+1,"")</f>
        <v>28</v>
      </c>
      <c r="T29" t="str">
        <f t="shared" si="6"/>
        <v>Others</v>
      </c>
      <c r="U29" t="str">
        <f ca="1"/>
        <v>Others</v>
      </c>
      <c r="V29">
        <f>IF(ISNUMBER(SEARCH(Checksheet!$BA$24,AY29)),MAX($V$1:V28)+1,"")</f>
        <v>28</v>
      </c>
      <c r="W29" t="str">
        <f t="shared" si="7"/>
        <v>Others</v>
      </c>
      <c r="X29" t="str">
        <f ca="1"/>
        <v>Others</v>
      </c>
      <c r="Y29">
        <f>IF(ISNUMBER(SEARCH(Checksheet!$BA$25,AY29)),MAX($Y$1:Y28)+1,"")</f>
        <v>28</v>
      </c>
      <c r="Z29" t="str">
        <f t="shared" si="8"/>
        <v>Others</v>
      </c>
      <c r="AA29" t="str">
        <f ca="1"/>
        <v>Others</v>
      </c>
      <c r="AB29">
        <f>IF(ISNUMBER(SEARCH(Checksheet!$BA$26,AY29)),MAX($AB$1:AB28)+1,"")</f>
        <v>28</v>
      </c>
      <c r="AC29" t="str">
        <f t="shared" si="9"/>
        <v>Others</v>
      </c>
      <c r="AD29" t="str">
        <f ca="1"/>
        <v>Others</v>
      </c>
      <c r="AE29">
        <f>IF(ISNUMBER(SEARCH(Checksheet!$BA$27,AY29)),MAX($AE$1:AE28)+1,"")</f>
        <v>28</v>
      </c>
      <c r="AF29" t="str">
        <f t="shared" si="10"/>
        <v>Others</v>
      </c>
      <c r="AG29" t="str">
        <f ca="1"/>
        <v>Others</v>
      </c>
      <c r="AH29">
        <f>IF(ISNUMBER(SEARCH(Checksheet!$BA$28,AY29)),MAX($AH$1:AH28)+1,"")</f>
        <v>28</v>
      </c>
      <c r="AI29" t="str">
        <f t="shared" si="11"/>
        <v>Others</v>
      </c>
      <c r="AJ29" t="str">
        <f ca="1"/>
        <v>Others</v>
      </c>
      <c r="AK29">
        <f>IF(ISNUMBER(SEARCH(Checksheet!$BA$29,AY29)),MAX($AK$1:AK28)+1,"")</f>
        <v>28</v>
      </c>
      <c r="AL29" t="str">
        <f t="shared" si="12"/>
        <v>Others</v>
      </c>
      <c r="AM29" t="str">
        <f ca="1"/>
        <v>Others</v>
      </c>
      <c r="AN29">
        <f>IF(ISNUMBER(SEARCH(Checksheet!$BA$30,AY29)),MAX($AN$1:AN28)+1,"")</f>
        <v>28</v>
      </c>
      <c r="AO29" t="str">
        <f t="shared" si="13"/>
        <v>Others</v>
      </c>
      <c r="AP29" t="str">
        <f ca="1"/>
        <v>Others</v>
      </c>
      <c r="AQ29">
        <f>IF(ISNUMBER(SEARCH(Checksheet!$BA$31,AY29)),MAX($AQ$1:AQ28)+1,"")</f>
        <v>28</v>
      </c>
      <c r="AR29" t="str">
        <f t="shared" si="14"/>
        <v>Others</v>
      </c>
      <c r="AS29" t="str">
        <f ca="1"/>
        <v>Others</v>
      </c>
      <c r="AT29" s="156" t="s">
        <v>1361</v>
      </c>
      <c r="AU29" s="157" t="s">
        <v>1360</v>
      </c>
      <c r="AV29" s="157" t="s">
        <v>1219</v>
      </c>
      <c r="AW29" s="157"/>
      <c r="AX29" s="157"/>
      <c r="AY29" s="157" t="s">
        <v>1495</v>
      </c>
      <c r="AZ29" s="158"/>
    </row>
    <row r="30" spans="1:52">
      <c r="A30">
        <f>IF(ISNUMBER(SEARCH(Checksheet!$BA$17,AY30)),MAX($A$1:A29)+1,"")</f>
        <v>29</v>
      </c>
      <c r="B30" t="str">
        <f t="shared" si="0"/>
        <v>Sai ống チューブ間違い</v>
      </c>
      <c r="C30" t="str">
        <f ca="1"/>
        <v>Sai ống チューブ間違い</v>
      </c>
      <c r="D30">
        <f>IF(ISNUMBER(SEARCH(Checksheet!$BA$18,AY30)),MAX($D$1:D29)+1,"")</f>
        <v>29</v>
      </c>
      <c r="E30" t="str">
        <f t="shared" si="1"/>
        <v>Sai ống チューブ間違い</v>
      </c>
      <c r="F30" t="str">
        <f ca="1"/>
        <v>Sai ống チューブ間違い</v>
      </c>
      <c r="G30">
        <f>IF(ISNUMBER(SEARCH(Checksheet!$BA$19,AY30)),MAX($G$1:G29)+1,"")</f>
        <v>29</v>
      </c>
      <c r="H30" t="str">
        <f t="shared" si="2"/>
        <v>Sai ống チューブ間違い</v>
      </c>
      <c r="I30" t="str">
        <f ca="1"/>
        <v>Sai ống チューブ間違い</v>
      </c>
      <c r="J30">
        <f>IF(ISNUMBER(SEARCH(Checksheet!$BA$20,AY30)),MAX($J$1:J29)+1,"")</f>
        <v>29</v>
      </c>
      <c r="K30" t="str">
        <f t="shared" si="3"/>
        <v>Sai ống チューブ間違い</v>
      </c>
      <c r="L30" t="str">
        <f ca="1"/>
        <v>Sai ống チューブ間違い</v>
      </c>
      <c r="M30">
        <f>IF(ISNUMBER(SEARCH(Checksheet!$BA$21,AY30)),MAX($M$1:M29)+1,"")</f>
        <v>29</v>
      </c>
      <c r="N30" t="str">
        <f t="shared" si="4"/>
        <v>Sai ống チューブ間違い</v>
      </c>
      <c r="O30" t="str">
        <f ca="1"/>
        <v>Sai ống チューブ間違い</v>
      </c>
      <c r="P30">
        <f>IF(ISNUMBER(SEARCH(Checksheet!$BA$22,AY30)),MAX($P$1:P29)+1,"")</f>
        <v>29</v>
      </c>
      <c r="Q30" t="str">
        <f t="shared" si="5"/>
        <v>Sai ống チューブ間違い</v>
      </c>
      <c r="R30" t="str">
        <f ca="1"/>
        <v>Sai ống チューブ間違い</v>
      </c>
      <c r="S30">
        <f>IF(ISNUMBER(SEARCH(Checksheet!$BA$23,AY30)),MAX($S$1:S29)+1,"")</f>
        <v>29</v>
      </c>
      <c r="T30" t="str">
        <f t="shared" si="6"/>
        <v>Sai ống チューブ間違い</v>
      </c>
      <c r="U30" t="str">
        <f ca="1"/>
        <v>Sai ống チューブ間違い</v>
      </c>
      <c r="V30">
        <f>IF(ISNUMBER(SEARCH(Checksheet!$BA$24,AY30)),MAX($V$1:V29)+1,"")</f>
        <v>29</v>
      </c>
      <c r="W30" t="str">
        <f t="shared" si="7"/>
        <v>Sai ống チューブ間違い</v>
      </c>
      <c r="X30" t="str">
        <f ca="1"/>
        <v>Sai ống チューブ間違い</v>
      </c>
      <c r="Y30">
        <f>IF(ISNUMBER(SEARCH(Checksheet!$BA$25,AY30)),MAX($Y$1:Y29)+1,"")</f>
        <v>29</v>
      </c>
      <c r="Z30" t="str">
        <f t="shared" si="8"/>
        <v>Sai ống チューブ間違い</v>
      </c>
      <c r="AA30" t="str">
        <f ca="1"/>
        <v>Sai ống チューブ間違い</v>
      </c>
      <c r="AB30">
        <f>IF(ISNUMBER(SEARCH(Checksheet!$BA$26,AY30)),MAX($AB$1:AB29)+1,"")</f>
        <v>29</v>
      </c>
      <c r="AC30" t="str">
        <f t="shared" si="9"/>
        <v>Sai ống チューブ間違い</v>
      </c>
      <c r="AD30" t="str">
        <f ca="1"/>
        <v>Sai ống チューブ間違い</v>
      </c>
      <c r="AE30">
        <f>IF(ISNUMBER(SEARCH(Checksheet!$BA$27,AY30)),MAX($AE$1:AE29)+1,"")</f>
        <v>29</v>
      </c>
      <c r="AF30" t="str">
        <f t="shared" si="10"/>
        <v>Sai ống チューブ間違い</v>
      </c>
      <c r="AG30" t="str">
        <f ca="1"/>
        <v>Sai ống チューブ間違い</v>
      </c>
      <c r="AH30">
        <f>IF(ISNUMBER(SEARCH(Checksheet!$BA$28,AY30)),MAX($AH$1:AH29)+1,"")</f>
        <v>29</v>
      </c>
      <c r="AI30" t="str">
        <f t="shared" si="11"/>
        <v>Sai ống チューブ間違い</v>
      </c>
      <c r="AJ30" t="str">
        <f ca="1"/>
        <v>Sai ống チューブ間違い</v>
      </c>
      <c r="AK30">
        <f>IF(ISNUMBER(SEARCH(Checksheet!$BA$29,AY30)),MAX($AK$1:AK29)+1,"")</f>
        <v>29</v>
      </c>
      <c r="AL30" t="str">
        <f t="shared" si="12"/>
        <v>Sai ống チューブ間違い</v>
      </c>
      <c r="AM30" t="str">
        <f ca="1"/>
        <v>Sai ống チューブ間違い</v>
      </c>
      <c r="AN30">
        <f>IF(ISNUMBER(SEARCH(Checksheet!$BA$30,AY30)),MAX($AN$1:AN29)+1,"")</f>
        <v>29</v>
      </c>
      <c r="AO30" t="str">
        <f t="shared" si="13"/>
        <v>Sai ống チューブ間違い</v>
      </c>
      <c r="AP30" t="str">
        <f ca="1"/>
        <v>Sai ống チューブ間違い</v>
      </c>
      <c r="AQ30">
        <f>IF(ISNUMBER(SEARCH(Checksheet!$BA$31,AY30)),MAX($AQ$1:AQ29)+1,"")</f>
        <v>29</v>
      </c>
      <c r="AR30" t="str">
        <f t="shared" si="14"/>
        <v>Sai ống チューブ間違い</v>
      </c>
      <c r="AS30" t="str">
        <f ca="1"/>
        <v>Sai ống チューブ間違い</v>
      </c>
      <c r="AT30" s="156" t="s">
        <v>1361</v>
      </c>
      <c r="AU30" s="157" t="s">
        <v>1376</v>
      </c>
      <c r="AV30" s="157" t="s">
        <v>1245</v>
      </c>
      <c r="AW30" s="157"/>
      <c r="AX30" s="157"/>
      <c r="AY30" s="157" t="s">
        <v>1494</v>
      </c>
      <c r="AZ30" s="158"/>
    </row>
    <row r="31" spans="1:52">
      <c r="A31">
        <f>IF(ISNUMBER(SEARCH(Checksheet!$BA$17,AY31)),MAX($A$1:A30)+1,"")</f>
        <v>30</v>
      </c>
      <c r="B31" t="str">
        <f t="shared" si="0"/>
        <v>Sai kích thước</v>
      </c>
      <c r="C31" t="str">
        <f ca="1"/>
        <v>Sai kích thước</v>
      </c>
      <c r="D31">
        <f>IF(ISNUMBER(SEARCH(Checksheet!$BA$18,AY31)),MAX($D$1:D30)+1,"")</f>
        <v>30</v>
      </c>
      <c r="E31" t="str">
        <f t="shared" si="1"/>
        <v>Sai kích thước</v>
      </c>
      <c r="F31" t="str">
        <f ca="1"/>
        <v>Sai kích thước</v>
      </c>
      <c r="G31">
        <f>IF(ISNUMBER(SEARCH(Checksheet!$BA$19,AY31)),MAX($G$1:G30)+1,"")</f>
        <v>30</v>
      </c>
      <c r="H31" t="str">
        <f t="shared" si="2"/>
        <v>Sai kích thước</v>
      </c>
      <c r="I31" t="str">
        <f ca="1"/>
        <v>Sai kích thước</v>
      </c>
      <c r="J31">
        <f>IF(ISNUMBER(SEARCH(Checksheet!$BA$20,AY31)),MAX($J$1:J30)+1,"")</f>
        <v>30</v>
      </c>
      <c r="K31" t="str">
        <f t="shared" si="3"/>
        <v>Sai kích thước</v>
      </c>
      <c r="L31" t="str">
        <f ca="1"/>
        <v>Sai kích thước</v>
      </c>
      <c r="M31">
        <f>IF(ISNUMBER(SEARCH(Checksheet!$BA$21,AY31)),MAX($M$1:M30)+1,"")</f>
        <v>30</v>
      </c>
      <c r="N31" t="str">
        <f t="shared" si="4"/>
        <v>Sai kích thước</v>
      </c>
      <c r="O31" t="str">
        <f ca="1"/>
        <v>Sai kích thước</v>
      </c>
      <c r="P31">
        <f>IF(ISNUMBER(SEARCH(Checksheet!$BA$22,AY31)),MAX($P$1:P30)+1,"")</f>
        <v>30</v>
      </c>
      <c r="Q31" t="str">
        <f t="shared" si="5"/>
        <v>Sai kích thước</v>
      </c>
      <c r="R31" t="str">
        <f ca="1"/>
        <v>Sai kích thước</v>
      </c>
      <c r="S31">
        <f>IF(ISNUMBER(SEARCH(Checksheet!$BA$23,AY31)),MAX($S$1:S30)+1,"")</f>
        <v>30</v>
      </c>
      <c r="T31" t="str">
        <f t="shared" si="6"/>
        <v>Sai kích thước</v>
      </c>
      <c r="U31" t="str">
        <f ca="1"/>
        <v>Sai kích thước</v>
      </c>
      <c r="V31">
        <f>IF(ISNUMBER(SEARCH(Checksheet!$BA$24,AY31)),MAX($V$1:V30)+1,"")</f>
        <v>30</v>
      </c>
      <c r="W31" t="str">
        <f t="shared" si="7"/>
        <v>Sai kích thước</v>
      </c>
      <c r="X31" t="str">
        <f ca="1"/>
        <v>Sai kích thước</v>
      </c>
      <c r="Y31">
        <f>IF(ISNUMBER(SEARCH(Checksheet!$BA$25,AY31)),MAX($Y$1:Y30)+1,"")</f>
        <v>30</v>
      </c>
      <c r="Z31" t="str">
        <f t="shared" si="8"/>
        <v>Sai kích thước</v>
      </c>
      <c r="AA31" t="str">
        <f ca="1"/>
        <v>Sai kích thước</v>
      </c>
      <c r="AB31">
        <f>IF(ISNUMBER(SEARCH(Checksheet!$BA$26,AY31)),MAX($AB$1:AB30)+1,"")</f>
        <v>30</v>
      </c>
      <c r="AC31" t="str">
        <f t="shared" si="9"/>
        <v>Sai kích thước</v>
      </c>
      <c r="AD31" t="str">
        <f ca="1"/>
        <v>Sai kích thước</v>
      </c>
      <c r="AE31">
        <f>IF(ISNUMBER(SEARCH(Checksheet!$BA$27,AY31)),MAX($AE$1:AE30)+1,"")</f>
        <v>30</v>
      </c>
      <c r="AF31" t="str">
        <f t="shared" si="10"/>
        <v>Sai kích thước</v>
      </c>
      <c r="AG31" t="str">
        <f ca="1"/>
        <v>Sai kích thước</v>
      </c>
      <c r="AH31">
        <f>IF(ISNUMBER(SEARCH(Checksheet!$BA$28,AY31)),MAX($AH$1:AH30)+1,"")</f>
        <v>30</v>
      </c>
      <c r="AI31" t="str">
        <f t="shared" si="11"/>
        <v>Sai kích thước</v>
      </c>
      <c r="AJ31" t="str">
        <f ca="1"/>
        <v>Sai kích thước</v>
      </c>
      <c r="AK31">
        <f>IF(ISNUMBER(SEARCH(Checksheet!$BA$29,AY31)),MAX($AK$1:AK30)+1,"")</f>
        <v>30</v>
      </c>
      <c r="AL31" t="str">
        <f t="shared" si="12"/>
        <v>Sai kích thước</v>
      </c>
      <c r="AM31" t="str">
        <f ca="1"/>
        <v>Sai kích thước</v>
      </c>
      <c r="AN31">
        <f>IF(ISNUMBER(SEARCH(Checksheet!$BA$30,AY31)),MAX($AN$1:AN30)+1,"")</f>
        <v>30</v>
      </c>
      <c r="AO31" t="str">
        <f t="shared" si="13"/>
        <v>Sai kích thước</v>
      </c>
      <c r="AP31" t="str">
        <f ca="1"/>
        <v>Sai kích thước</v>
      </c>
      <c r="AQ31">
        <f>IF(ISNUMBER(SEARCH(Checksheet!$BA$31,AY31)),MAX($AQ$1:AQ30)+1,"")</f>
        <v>30</v>
      </c>
      <c r="AR31" t="str">
        <f t="shared" si="14"/>
        <v>Sai kích thước</v>
      </c>
      <c r="AS31" t="str">
        <f ca="1"/>
        <v>Sai kích thước</v>
      </c>
      <c r="AT31" s="156" t="s">
        <v>1361</v>
      </c>
      <c r="AU31" s="157" t="s">
        <v>1376</v>
      </c>
      <c r="AV31" s="157" t="s">
        <v>1392</v>
      </c>
      <c r="AW31" s="157"/>
      <c r="AX31" s="157"/>
      <c r="AY31" s="157" t="s">
        <v>1494</v>
      </c>
      <c r="AZ31" s="158"/>
    </row>
    <row r="32" spans="1:52">
      <c r="A32">
        <f>IF(ISNUMBER(SEARCH(Checksheet!$BA$17,AY32)),MAX($A$1:A31)+1,"")</f>
        <v>31</v>
      </c>
      <c r="B32" t="str">
        <f t="shared" si="0"/>
        <v>Ngắn, dài</v>
      </c>
      <c r="C32" t="str">
        <f ca="1"/>
        <v>Ngắn, dài</v>
      </c>
      <c r="D32">
        <f>IF(ISNUMBER(SEARCH(Checksheet!$BA$18,AY32)),MAX($D$1:D31)+1,"")</f>
        <v>31</v>
      </c>
      <c r="E32" t="str">
        <f t="shared" si="1"/>
        <v>Ngắn, dài</v>
      </c>
      <c r="F32" t="str">
        <f ca="1"/>
        <v>Ngắn, dài</v>
      </c>
      <c r="G32">
        <f>IF(ISNUMBER(SEARCH(Checksheet!$BA$19,AY32)),MAX($G$1:G31)+1,"")</f>
        <v>31</v>
      </c>
      <c r="H32" t="str">
        <f t="shared" si="2"/>
        <v>Ngắn, dài</v>
      </c>
      <c r="I32" t="str">
        <f ca="1"/>
        <v>Ngắn, dài</v>
      </c>
      <c r="J32">
        <f>IF(ISNUMBER(SEARCH(Checksheet!$BA$20,AY32)),MAX($J$1:J31)+1,"")</f>
        <v>31</v>
      </c>
      <c r="K32" t="str">
        <f t="shared" si="3"/>
        <v>Ngắn, dài</v>
      </c>
      <c r="L32" t="str">
        <f ca="1"/>
        <v>Ngắn, dài</v>
      </c>
      <c r="M32">
        <f>IF(ISNUMBER(SEARCH(Checksheet!$BA$21,AY32)),MAX($M$1:M31)+1,"")</f>
        <v>31</v>
      </c>
      <c r="N32" t="str">
        <f t="shared" si="4"/>
        <v>Ngắn, dài</v>
      </c>
      <c r="O32" t="str">
        <f ca="1"/>
        <v>Ngắn, dài</v>
      </c>
      <c r="P32">
        <f>IF(ISNUMBER(SEARCH(Checksheet!$BA$22,AY32)),MAX($P$1:P31)+1,"")</f>
        <v>31</v>
      </c>
      <c r="Q32" t="str">
        <f t="shared" si="5"/>
        <v>Ngắn, dài</v>
      </c>
      <c r="R32" t="str">
        <f ca="1"/>
        <v>Ngắn, dài</v>
      </c>
      <c r="S32">
        <f>IF(ISNUMBER(SEARCH(Checksheet!$BA$23,AY32)),MAX($S$1:S31)+1,"")</f>
        <v>31</v>
      </c>
      <c r="T32" t="str">
        <f t="shared" si="6"/>
        <v>Ngắn, dài</v>
      </c>
      <c r="U32" t="str">
        <f ca="1"/>
        <v>Ngắn, dài</v>
      </c>
      <c r="V32">
        <f>IF(ISNUMBER(SEARCH(Checksheet!$BA$24,AY32)),MAX($V$1:V31)+1,"")</f>
        <v>31</v>
      </c>
      <c r="W32" t="str">
        <f t="shared" si="7"/>
        <v>Ngắn, dài</v>
      </c>
      <c r="X32" t="str">
        <f ca="1"/>
        <v>Ngắn, dài</v>
      </c>
      <c r="Y32">
        <f>IF(ISNUMBER(SEARCH(Checksheet!$BA$25,AY32)),MAX($Y$1:Y31)+1,"")</f>
        <v>31</v>
      </c>
      <c r="Z32" t="str">
        <f t="shared" si="8"/>
        <v>Ngắn, dài</v>
      </c>
      <c r="AA32" t="str">
        <f ca="1"/>
        <v>Ngắn, dài</v>
      </c>
      <c r="AB32">
        <f>IF(ISNUMBER(SEARCH(Checksheet!$BA$26,AY32)),MAX($AB$1:AB31)+1,"")</f>
        <v>31</v>
      </c>
      <c r="AC32" t="str">
        <f t="shared" si="9"/>
        <v>Ngắn, dài</v>
      </c>
      <c r="AD32" t="str">
        <f ca="1"/>
        <v>Ngắn, dài</v>
      </c>
      <c r="AE32">
        <f>IF(ISNUMBER(SEARCH(Checksheet!$BA$27,AY32)),MAX($AE$1:AE31)+1,"")</f>
        <v>31</v>
      </c>
      <c r="AF32" t="str">
        <f t="shared" si="10"/>
        <v>Ngắn, dài</v>
      </c>
      <c r="AG32" t="str">
        <f ca="1"/>
        <v>Ngắn, dài</v>
      </c>
      <c r="AH32">
        <f>IF(ISNUMBER(SEARCH(Checksheet!$BA$28,AY32)),MAX($AH$1:AH31)+1,"")</f>
        <v>31</v>
      </c>
      <c r="AI32" t="str">
        <f t="shared" si="11"/>
        <v>Ngắn, dài</v>
      </c>
      <c r="AJ32" t="str">
        <f ca="1"/>
        <v>Ngắn, dài</v>
      </c>
      <c r="AK32">
        <f>IF(ISNUMBER(SEARCH(Checksheet!$BA$29,AY32)),MAX($AK$1:AK31)+1,"")</f>
        <v>31</v>
      </c>
      <c r="AL32" t="str">
        <f t="shared" si="12"/>
        <v>Ngắn, dài</v>
      </c>
      <c r="AM32" t="str">
        <f ca="1"/>
        <v>Ngắn, dài</v>
      </c>
      <c r="AN32">
        <f>IF(ISNUMBER(SEARCH(Checksheet!$BA$30,AY32)),MAX($AN$1:AN31)+1,"")</f>
        <v>31</v>
      </c>
      <c r="AO32" t="str">
        <f t="shared" si="13"/>
        <v>Ngắn, dài</v>
      </c>
      <c r="AP32" t="str">
        <f ca="1"/>
        <v>Ngắn, dài</v>
      </c>
      <c r="AQ32">
        <f>IF(ISNUMBER(SEARCH(Checksheet!$BA$31,AY32)),MAX($AQ$1:AQ31)+1,"")</f>
        <v>31</v>
      </c>
      <c r="AR32" t="str">
        <f t="shared" si="14"/>
        <v>Ngắn, dài</v>
      </c>
      <c r="AS32" t="str">
        <f ca="1"/>
        <v>Ngắn, dài</v>
      </c>
      <c r="AT32" s="156" t="s">
        <v>1361</v>
      </c>
      <c r="AU32" s="157" t="s">
        <v>1376</v>
      </c>
      <c r="AV32" s="157" t="s">
        <v>1377</v>
      </c>
      <c r="AW32" s="157"/>
      <c r="AX32" s="157"/>
      <c r="AY32" s="157" t="s">
        <v>1494</v>
      </c>
      <c r="AZ32" s="158"/>
    </row>
    <row r="33" spans="1:52">
      <c r="A33">
        <f>IF(ISNUMBER(SEARCH(Checksheet!$BA$17,AY33)),MAX($A$1:A32)+1,"")</f>
        <v>32</v>
      </c>
      <c r="B33" t="str">
        <f t="shared" si="0"/>
        <v>Thiếu ống</v>
      </c>
      <c r="C33" t="str">
        <f ca="1"/>
        <v>Thiếu ống</v>
      </c>
      <c r="D33">
        <f>IF(ISNUMBER(SEARCH(Checksheet!$BA$18,AY33)),MAX($D$1:D32)+1,"")</f>
        <v>32</v>
      </c>
      <c r="E33" t="str">
        <f t="shared" si="1"/>
        <v>Thiếu ống</v>
      </c>
      <c r="F33" t="str">
        <f ca="1"/>
        <v>Thiếu ống</v>
      </c>
      <c r="G33">
        <f>IF(ISNUMBER(SEARCH(Checksheet!$BA$19,AY33)),MAX($G$1:G32)+1,"")</f>
        <v>32</v>
      </c>
      <c r="H33" t="str">
        <f t="shared" si="2"/>
        <v>Thiếu ống</v>
      </c>
      <c r="I33" t="str">
        <f ca="1"/>
        <v>Thiếu ống</v>
      </c>
      <c r="J33">
        <f>IF(ISNUMBER(SEARCH(Checksheet!$BA$20,AY33)),MAX($J$1:J32)+1,"")</f>
        <v>32</v>
      </c>
      <c r="K33" t="str">
        <f t="shared" si="3"/>
        <v>Thiếu ống</v>
      </c>
      <c r="L33" t="str">
        <f ca="1"/>
        <v>Thiếu ống</v>
      </c>
      <c r="M33">
        <f>IF(ISNUMBER(SEARCH(Checksheet!$BA$21,AY33)),MAX($M$1:M32)+1,"")</f>
        <v>32</v>
      </c>
      <c r="N33" t="str">
        <f t="shared" si="4"/>
        <v>Thiếu ống</v>
      </c>
      <c r="O33" t="str">
        <f ca="1"/>
        <v>Thiếu ống</v>
      </c>
      <c r="P33">
        <f>IF(ISNUMBER(SEARCH(Checksheet!$BA$22,AY33)),MAX($P$1:P32)+1,"")</f>
        <v>32</v>
      </c>
      <c r="Q33" t="str">
        <f t="shared" si="5"/>
        <v>Thiếu ống</v>
      </c>
      <c r="R33" t="str">
        <f ca="1"/>
        <v>Thiếu ống</v>
      </c>
      <c r="S33">
        <f>IF(ISNUMBER(SEARCH(Checksheet!$BA$23,AY33)),MAX($S$1:S32)+1,"")</f>
        <v>32</v>
      </c>
      <c r="T33" t="str">
        <f t="shared" si="6"/>
        <v>Thiếu ống</v>
      </c>
      <c r="U33" t="str">
        <f ca="1"/>
        <v>Thiếu ống</v>
      </c>
      <c r="V33">
        <f>IF(ISNUMBER(SEARCH(Checksheet!$BA$24,AY33)),MAX($V$1:V32)+1,"")</f>
        <v>32</v>
      </c>
      <c r="W33" t="str">
        <f t="shared" si="7"/>
        <v>Thiếu ống</v>
      </c>
      <c r="X33" t="str">
        <f ca="1"/>
        <v>Thiếu ống</v>
      </c>
      <c r="Y33">
        <f>IF(ISNUMBER(SEARCH(Checksheet!$BA$25,AY33)),MAX($Y$1:Y32)+1,"")</f>
        <v>32</v>
      </c>
      <c r="Z33" t="str">
        <f t="shared" si="8"/>
        <v>Thiếu ống</v>
      </c>
      <c r="AA33" t="str">
        <f ca="1"/>
        <v>Thiếu ống</v>
      </c>
      <c r="AB33">
        <f>IF(ISNUMBER(SEARCH(Checksheet!$BA$26,AY33)),MAX($AB$1:AB32)+1,"")</f>
        <v>32</v>
      </c>
      <c r="AC33" t="str">
        <f t="shared" si="9"/>
        <v>Thiếu ống</v>
      </c>
      <c r="AD33" t="str">
        <f ca="1"/>
        <v>Thiếu ống</v>
      </c>
      <c r="AE33">
        <f>IF(ISNUMBER(SEARCH(Checksheet!$BA$27,AY33)),MAX($AE$1:AE32)+1,"")</f>
        <v>32</v>
      </c>
      <c r="AF33" t="str">
        <f t="shared" si="10"/>
        <v>Thiếu ống</v>
      </c>
      <c r="AG33" t="str">
        <f ca="1"/>
        <v>Thiếu ống</v>
      </c>
      <c r="AH33">
        <f>IF(ISNUMBER(SEARCH(Checksheet!$BA$28,AY33)),MAX($AH$1:AH32)+1,"")</f>
        <v>32</v>
      </c>
      <c r="AI33" t="str">
        <f t="shared" si="11"/>
        <v>Thiếu ống</v>
      </c>
      <c r="AJ33" t="str">
        <f ca="1"/>
        <v>Thiếu ống</v>
      </c>
      <c r="AK33">
        <f>IF(ISNUMBER(SEARCH(Checksheet!$BA$29,AY33)),MAX($AK$1:AK32)+1,"")</f>
        <v>32</v>
      </c>
      <c r="AL33" t="str">
        <f t="shared" si="12"/>
        <v>Thiếu ống</v>
      </c>
      <c r="AM33" t="str">
        <f ca="1"/>
        <v>Thiếu ống</v>
      </c>
      <c r="AN33">
        <f>IF(ISNUMBER(SEARCH(Checksheet!$BA$30,AY33)),MAX($AN$1:AN32)+1,"")</f>
        <v>32</v>
      </c>
      <c r="AO33" t="str">
        <f t="shared" si="13"/>
        <v>Thiếu ống</v>
      </c>
      <c r="AP33" t="str">
        <f ca="1"/>
        <v>Thiếu ống</v>
      </c>
      <c r="AQ33">
        <f>IF(ISNUMBER(SEARCH(Checksheet!$BA$31,AY33)),MAX($AQ$1:AQ32)+1,"")</f>
        <v>32</v>
      </c>
      <c r="AR33" t="str">
        <f t="shared" si="14"/>
        <v>Thiếu ống</v>
      </c>
      <c r="AS33" t="str">
        <f ca="1"/>
        <v>Thiếu ống</v>
      </c>
      <c r="AT33" s="156" t="s">
        <v>1361</v>
      </c>
      <c r="AU33" s="157" t="s">
        <v>1376</v>
      </c>
      <c r="AV33" s="157" t="s">
        <v>1452</v>
      </c>
      <c r="AW33" s="157"/>
      <c r="AX33" s="157"/>
      <c r="AY33" s="157" t="s">
        <v>1494</v>
      </c>
      <c r="AZ33" s="158"/>
    </row>
    <row r="34" spans="1:52">
      <c r="A34">
        <f>IF(ISNUMBER(SEARCH(Checksheet!$BA$17,AY34)),MAX($A$1:A33)+1,"")</f>
        <v>33</v>
      </c>
      <c r="B34" t="str">
        <f t="shared" si="0"/>
        <v>Rách</v>
      </c>
      <c r="C34" t="str">
        <f ca="1"/>
        <v>Rách</v>
      </c>
      <c r="D34">
        <f>IF(ISNUMBER(SEARCH(Checksheet!$BA$18,AY34)),MAX($D$1:D33)+1,"")</f>
        <v>33</v>
      </c>
      <c r="E34" t="str">
        <f t="shared" si="1"/>
        <v>Rách</v>
      </c>
      <c r="F34" t="str">
        <f ca="1"/>
        <v>Rách</v>
      </c>
      <c r="G34">
        <f>IF(ISNUMBER(SEARCH(Checksheet!$BA$19,AY34)),MAX($G$1:G33)+1,"")</f>
        <v>33</v>
      </c>
      <c r="H34" t="str">
        <f t="shared" si="2"/>
        <v>Rách</v>
      </c>
      <c r="I34" t="str">
        <f ca="1"/>
        <v>Rách</v>
      </c>
      <c r="J34">
        <f>IF(ISNUMBER(SEARCH(Checksheet!$BA$20,AY34)),MAX($J$1:J33)+1,"")</f>
        <v>33</v>
      </c>
      <c r="K34" t="str">
        <f t="shared" si="3"/>
        <v>Rách</v>
      </c>
      <c r="L34" t="str">
        <f ca="1"/>
        <v>Rách</v>
      </c>
      <c r="M34">
        <f>IF(ISNUMBER(SEARCH(Checksheet!$BA$21,AY34)),MAX($M$1:M33)+1,"")</f>
        <v>33</v>
      </c>
      <c r="N34" t="str">
        <f t="shared" si="4"/>
        <v>Rách</v>
      </c>
      <c r="O34" t="str">
        <f ca="1"/>
        <v>Rách</v>
      </c>
      <c r="P34">
        <f>IF(ISNUMBER(SEARCH(Checksheet!$BA$22,AY34)),MAX($P$1:P33)+1,"")</f>
        <v>33</v>
      </c>
      <c r="Q34" t="str">
        <f t="shared" si="5"/>
        <v>Rách</v>
      </c>
      <c r="R34" t="str">
        <f ca="1"/>
        <v>Rách</v>
      </c>
      <c r="S34">
        <f>IF(ISNUMBER(SEARCH(Checksheet!$BA$23,AY34)),MAX($S$1:S33)+1,"")</f>
        <v>33</v>
      </c>
      <c r="T34" t="str">
        <f t="shared" si="6"/>
        <v>Rách</v>
      </c>
      <c r="U34" t="str">
        <f ca="1"/>
        <v>Rách</v>
      </c>
      <c r="V34">
        <f>IF(ISNUMBER(SEARCH(Checksheet!$BA$24,AY34)),MAX($V$1:V33)+1,"")</f>
        <v>33</v>
      </c>
      <c r="W34" t="str">
        <f t="shared" si="7"/>
        <v>Rách</v>
      </c>
      <c r="X34" t="str">
        <f ca="1"/>
        <v>Rách</v>
      </c>
      <c r="Y34">
        <f>IF(ISNUMBER(SEARCH(Checksheet!$BA$25,AY34)),MAX($Y$1:Y33)+1,"")</f>
        <v>33</v>
      </c>
      <c r="Z34" t="str">
        <f t="shared" si="8"/>
        <v>Rách</v>
      </c>
      <c r="AA34" t="str">
        <f ca="1"/>
        <v>Rách</v>
      </c>
      <c r="AB34">
        <f>IF(ISNUMBER(SEARCH(Checksheet!$BA$26,AY34)),MAX($AB$1:AB33)+1,"")</f>
        <v>33</v>
      </c>
      <c r="AC34" t="str">
        <f t="shared" si="9"/>
        <v>Rách</v>
      </c>
      <c r="AD34" t="str">
        <f ca="1"/>
        <v>Rách</v>
      </c>
      <c r="AE34">
        <f>IF(ISNUMBER(SEARCH(Checksheet!$BA$27,AY34)),MAX($AE$1:AE33)+1,"")</f>
        <v>33</v>
      </c>
      <c r="AF34" t="str">
        <f t="shared" si="10"/>
        <v>Rách</v>
      </c>
      <c r="AG34" t="str">
        <f ca="1"/>
        <v>Rách</v>
      </c>
      <c r="AH34">
        <f>IF(ISNUMBER(SEARCH(Checksheet!$BA$28,AY34)),MAX($AH$1:AH33)+1,"")</f>
        <v>33</v>
      </c>
      <c r="AI34" t="str">
        <f t="shared" si="11"/>
        <v>Rách</v>
      </c>
      <c r="AJ34" t="str">
        <f ca="1"/>
        <v>Rách</v>
      </c>
      <c r="AK34">
        <f>IF(ISNUMBER(SEARCH(Checksheet!$BA$29,AY34)),MAX($AK$1:AK33)+1,"")</f>
        <v>33</v>
      </c>
      <c r="AL34" t="str">
        <f t="shared" si="12"/>
        <v>Rách</v>
      </c>
      <c r="AM34" t="str">
        <f ca="1"/>
        <v>Rách</v>
      </c>
      <c r="AN34">
        <f>IF(ISNUMBER(SEARCH(Checksheet!$BA$30,AY34)),MAX($AN$1:AN33)+1,"")</f>
        <v>33</v>
      </c>
      <c r="AO34" t="str">
        <f t="shared" si="13"/>
        <v>Rách</v>
      </c>
      <c r="AP34" t="str">
        <f ca="1"/>
        <v>Rách</v>
      </c>
      <c r="AQ34">
        <f>IF(ISNUMBER(SEARCH(Checksheet!$BA$31,AY34)),MAX($AQ$1:AQ33)+1,"")</f>
        <v>33</v>
      </c>
      <c r="AR34" t="str">
        <f t="shared" si="14"/>
        <v>Rách</v>
      </c>
      <c r="AS34" t="str">
        <f ca="1"/>
        <v>Rách</v>
      </c>
      <c r="AT34" s="156" t="s">
        <v>1361</v>
      </c>
      <c r="AU34" s="157" t="s">
        <v>1376</v>
      </c>
      <c r="AV34" s="157" t="s">
        <v>1388</v>
      </c>
      <c r="AW34" s="157"/>
      <c r="AX34" s="157"/>
      <c r="AY34" s="157" t="s">
        <v>1494</v>
      </c>
      <c r="AZ34" s="158"/>
    </row>
    <row r="35" spans="1:52">
      <c r="A35">
        <f>IF(ISNUMBER(SEARCH(Checksheet!$BA$17,AY35)),MAX($A$1:A34)+1,"")</f>
        <v>34</v>
      </c>
      <c r="B35" t="str">
        <f t="shared" si="0"/>
        <v>Others</v>
      </c>
      <c r="C35" t="str">
        <f ca="1"/>
        <v>Others</v>
      </c>
      <c r="D35">
        <f>IF(ISNUMBER(SEARCH(Checksheet!$BA$18,AY35)),MAX($D$1:D34)+1,"")</f>
        <v>34</v>
      </c>
      <c r="E35" t="str">
        <f t="shared" si="1"/>
        <v>Others</v>
      </c>
      <c r="F35" t="str">
        <f ca="1"/>
        <v>Others</v>
      </c>
      <c r="G35">
        <f>IF(ISNUMBER(SEARCH(Checksheet!$BA$19,AY35)),MAX($G$1:G34)+1,"")</f>
        <v>34</v>
      </c>
      <c r="H35" t="str">
        <f t="shared" si="2"/>
        <v>Others</v>
      </c>
      <c r="I35" t="str">
        <f ca="1"/>
        <v>Others</v>
      </c>
      <c r="J35">
        <f>IF(ISNUMBER(SEARCH(Checksheet!$BA$20,AY35)),MAX($J$1:J34)+1,"")</f>
        <v>34</v>
      </c>
      <c r="K35" t="str">
        <f t="shared" si="3"/>
        <v>Others</v>
      </c>
      <c r="L35" t="str">
        <f ca="1"/>
        <v>Others</v>
      </c>
      <c r="M35">
        <f>IF(ISNUMBER(SEARCH(Checksheet!$BA$21,AY35)),MAX($M$1:M34)+1,"")</f>
        <v>34</v>
      </c>
      <c r="N35" t="str">
        <f t="shared" si="4"/>
        <v>Others</v>
      </c>
      <c r="O35" t="str">
        <f ca="1"/>
        <v>Others</v>
      </c>
      <c r="P35">
        <f>IF(ISNUMBER(SEARCH(Checksheet!$BA$22,AY35)),MAX($P$1:P34)+1,"")</f>
        <v>34</v>
      </c>
      <c r="Q35" t="str">
        <f t="shared" si="5"/>
        <v>Others</v>
      </c>
      <c r="R35" t="str">
        <f ca="1"/>
        <v>Others</v>
      </c>
      <c r="S35">
        <f>IF(ISNUMBER(SEARCH(Checksheet!$BA$23,AY35)),MAX($S$1:S34)+1,"")</f>
        <v>34</v>
      </c>
      <c r="T35" t="str">
        <f t="shared" si="6"/>
        <v>Others</v>
      </c>
      <c r="U35" t="str">
        <f ca="1"/>
        <v>Others</v>
      </c>
      <c r="V35">
        <f>IF(ISNUMBER(SEARCH(Checksheet!$BA$24,AY35)),MAX($V$1:V34)+1,"")</f>
        <v>34</v>
      </c>
      <c r="W35" t="str">
        <f t="shared" si="7"/>
        <v>Others</v>
      </c>
      <c r="X35" t="str">
        <f ca="1"/>
        <v>Others</v>
      </c>
      <c r="Y35">
        <f>IF(ISNUMBER(SEARCH(Checksheet!$BA$25,AY35)),MAX($Y$1:Y34)+1,"")</f>
        <v>34</v>
      </c>
      <c r="Z35" t="str">
        <f t="shared" si="8"/>
        <v>Others</v>
      </c>
      <c r="AA35" t="str">
        <f ca="1"/>
        <v>Others</v>
      </c>
      <c r="AB35">
        <f>IF(ISNUMBER(SEARCH(Checksheet!$BA$26,AY35)),MAX($AB$1:AB34)+1,"")</f>
        <v>34</v>
      </c>
      <c r="AC35" t="str">
        <f t="shared" si="9"/>
        <v>Others</v>
      </c>
      <c r="AD35" t="str">
        <f ca="1"/>
        <v>Others</v>
      </c>
      <c r="AE35">
        <f>IF(ISNUMBER(SEARCH(Checksheet!$BA$27,AY35)),MAX($AE$1:AE34)+1,"")</f>
        <v>34</v>
      </c>
      <c r="AF35" t="str">
        <f t="shared" si="10"/>
        <v>Others</v>
      </c>
      <c r="AG35" t="str">
        <f ca="1"/>
        <v>Others</v>
      </c>
      <c r="AH35">
        <f>IF(ISNUMBER(SEARCH(Checksheet!$BA$28,AY35)),MAX($AH$1:AH34)+1,"")</f>
        <v>34</v>
      </c>
      <c r="AI35" t="str">
        <f t="shared" si="11"/>
        <v>Others</v>
      </c>
      <c r="AJ35" t="str">
        <f ca="1"/>
        <v>Others</v>
      </c>
      <c r="AK35">
        <f>IF(ISNUMBER(SEARCH(Checksheet!$BA$29,AY35)),MAX($AK$1:AK34)+1,"")</f>
        <v>34</v>
      </c>
      <c r="AL35" t="str">
        <f t="shared" si="12"/>
        <v>Others</v>
      </c>
      <c r="AM35" t="str">
        <f ca="1"/>
        <v>Others</v>
      </c>
      <c r="AN35">
        <f>IF(ISNUMBER(SEARCH(Checksheet!$BA$30,AY35)),MAX($AN$1:AN34)+1,"")</f>
        <v>34</v>
      </c>
      <c r="AO35" t="str">
        <f t="shared" si="13"/>
        <v>Others</v>
      </c>
      <c r="AP35" t="str">
        <f ca="1"/>
        <v>Others</v>
      </c>
      <c r="AQ35">
        <f>IF(ISNUMBER(SEARCH(Checksheet!$BA$31,AY35)),MAX($AQ$1:AQ34)+1,"")</f>
        <v>34</v>
      </c>
      <c r="AR35" t="str">
        <f t="shared" si="14"/>
        <v>Others</v>
      </c>
      <c r="AS35" t="str">
        <f ca="1"/>
        <v>Others</v>
      </c>
      <c r="AT35" s="156" t="s">
        <v>1361</v>
      </c>
      <c r="AU35" s="157" t="s">
        <v>1376</v>
      </c>
      <c r="AV35" s="157" t="s">
        <v>1219</v>
      </c>
      <c r="AW35" s="157"/>
      <c r="AX35" s="157"/>
      <c r="AY35" s="157" t="s">
        <v>1494</v>
      </c>
      <c r="AZ35" s="158"/>
    </row>
    <row r="36" spans="1:52">
      <c r="A36">
        <f>IF(ISNUMBER(SEARCH(Checksheet!$BA$17,AY36)),MAX($A$1:A35)+1,"")</f>
        <v>35</v>
      </c>
      <c r="B36" t="str">
        <f t="shared" si="0"/>
        <v>Gờ tanshi bám ít vào gờ housing ランスのロックが不十分</v>
      </c>
      <c r="C36" t="str">
        <f ca="1"/>
        <v>Gờ tanshi bám ít vào gờ housing ランスのロックが不十分</v>
      </c>
      <c r="D36">
        <f>IF(ISNUMBER(SEARCH(Checksheet!$BA$18,AY36)),MAX($D$1:D35)+1,"")</f>
        <v>35</v>
      </c>
      <c r="E36" t="str">
        <f t="shared" si="1"/>
        <v>Gờ tanshi bám ít vào gờ housing ランスのロックが不十分</v>
      </c>
      <c r="F36" t="str">
        <f ca="1"/>
        <v>Gờ tanshi bám ít vào gờ housing ランスのロックが不十分</v>
      </c>
      <c r="G36">
        <f>IF(ISNUMBER(SEARCH(Checksheet!$BA$19,AY36)),MAX($G$1:G35)+1,"")</f>
        <v>35</v>
      </c>
      <c r="H36" t="str">
        <f t="shared" si="2"/>
        <v>Gờ tanshi bám ít vào gờ housing ランスのロックが不十分</v>
      </c>
      <c r="I36" t="str">
        <f ca="1"/>
        <v>Gờ tanshi bám ít vào gờ housing ランスのロックが不十分</v>
      </c>
      <c r="J36">
        <f>IF(ISNUMBER(SEARCH(Checksheet!$BA$20,AY36)),MAX($J$1:J35)+1,"")</f>
        <v>35</v>
      </c>
      <c r="K36" t="str">
        <f t="shared" si="3"/>
        <v>Gờ tanshi bám ít vào gờ housing ランスのロックが不十分</v>
      </c>
      <c r="L36" t="str">
        <f ca="1"/>
        <v>Gờ tanshi bám ít vào gờ housing ランスのロックが不十分</v>
      </c>
      <c r="M36">
        <f>IF(ISNUMBER(SEARCH(Checksheet!$BA$21,AY36)),MAX($M$1:M35)+1,"")</f>
        <v>35</v>
      </c>
      <c r="N36" t="str">
        <f t="shared" si="4"/>
        <v>Gờ tanshi bám ít vào gờ housing ランスのロックが不十分</v>
      </c>
      <c r="O36" t="str">
        <f ca="1"/>
        <v>Gờ tanshi bám ít vào gờ housing ランスのロックが不十分</v>
      </c>
      <c r="P36">
        <f>IF(ISNUMBER(SEARCH(Checksheet!$BA$22,AY36)),MAX($P$1:P35)+1,"")</f>
        <v>35</v>
      </c>
      <c r="Q36" t="str">
        <f t="shared" si="5"/>
        <v>Gờ tanshi bám ít vào gờ housing ランスのロックが不十分</v>
      </c>
      <c r="R36" t="str">
        <f ca="1"/>
        <v>Gờ tanshi bám ít vào gờ housing ランスのロックが不十分</v>
      </c>
      <c r="S36">
        <f>IF(ISNUMBER(SEARCH(Checksheet!$BA$23,AY36)),MAX($S$1:S35)+1,"")</f>
        <v>35</v>
      </c>
      <c r="T36" t="str">
        <f t="shared" si="6"/>
        <v>Gờ tanshi bám ít vào gờ housing ランスのロックが不十分</v>
      </c>
      <c r="U36" t="str">
        <f ca="1"/>
        <v>Gờ tanshi bám ít vào gờ housing ランスのロックが不十分</v>
      </c>
      <c r="V36">
        <f>IF(ISNUMBER(SEARCH(Checksheet!$BA$24,AY36)),MAX($V$1:V35)+1,"")</f>
        <v>35</v>
      </c>
      <c r="W36" t="str">
        <f t="shared" si="7"/>
        <v>Gờ tanshi bám ít vào gờ housing ランスのロックが不十分</v>
      </c>
      <c r="X36" t="str">
        <f ca="1"/>
        <v>Gờ tanshi bám ít vào gờ housing ランスのロックが不十分</v>
      </c>
      <c r="Y36">
        <f>IF(ISNUMBER(SEARCH(Checksheet!$BA$25,AY36)),MAX($Y$1:Y35)+1,"")</f>
        <v>35</v>
      </c>
      <c r="Z36" t="str">
        <f t="shared" si="8"/>
        <v>Gờ tanshi bám ít vào gờ housing ランスのロックが不十分</v>
      </c>
      <c r="AA36" t="str">
        <f ca="1"/>
        <v>Gờ tanshi bám ít vào gờ housing ランスのロックが不十分</v>
      </c>
      <c r="AB36">
        <f>IF(ISNUMBER(SEARCH(Checksheet!$BA$26,AY36)),MAX($AB$1:AB35)+1,"")</f>
        <v>35</v>
      </c>
      <c r="AC36" t="str">
        <f t="shared" si="9"/>
        <v>Gờ tanshi bám ít vào gờ housing ランスのロックが不十分</v>
      </c>
      <c r="AD36" t="str">
        <f ca="1"/>
        <v>Gờ tanshi bám ít vào gờ housing ランスのロックが不十分</v>
      </c>
      <c r="AE36">
        <f>IF(ISNUMBER(SEARCH(Checksheet!$BA$27,AY36)),MAX($AE$1:AE35)+1,"")</f>
        <v>35</v>
      </c>
      <c r="AF36" t="str">
        <f t="shared" si="10"/>
        <v>Gờ tanshi bám ít vào gờ housing ランスのロックが不十分</v>
      </c>
      <c r="AG36" t="str">
        <f ca="1"/>
        <v>Gờ tanshi bám ít vào gờ housing ランスのロックが不十分</v>
      </c>
      <c r="AH36">
        <f>IF(ISNUMBER(SEARCH(Checksheet!$BA$28,AY36)),MAX($AH$1:AH35)+1,"")</f>
        <v>35</v>
      </c>
      <c r="AI36" t="str">
        <f t="shared" si="11"/>
        <v>Gờ tanshi bám ít vào gờ housing ランスのロックが不十分</v>
      </c>
      <c r="AJ36" t="str">
        <f ca="1"/>
        <v>Gờ tanshi bám ít vào gờ housing ランスのロックが不十分</v>
      </c>
      <c r="AK36">
        <f>IF(ISNUMBER(SEARCH(Checksheet!$BA$29,AY36)),MAX($AK$1:AK35)+1,"")</f>
        <v>35</v>
      </c>
      <c r="AL36" t="str">
        <f t="shared" si="12"/>
        <v>Gờ tanshi bám ít vào gờ housing ランスのロックが不十分</v>
      </c>
      <c r="AM36" t="str">
        <f ca="1"/>
        <v>Gờ tanshi bám ít vào gờ housing ランスのロックが不十分</v>
      </c>
      <c r="AN36">
        <f>IF(ISNUMBER(SEARCH(Checksheet!$BA$30,AY36)),MAX($AN$1:AN35)+1,"")</f>
        <v>35</v>
      </c>
      <c r="AO36" t="str">
        <f t="shared" si="13"/>
        <v>Gờ tanshi bám ít vào gờ housing ランスのロックが不十分</v>
      </c>
      <c r="AP36" t="str">
        <f ca="1"/>
        <v>Gờ tanshi bám ít vào gờ housing ランスのロックが不十分</v>
      </c>
      <c r="AQ36">
        <f>IF(ISNUMBER(SEARCH(Checksheet!$BA$31,AY36)),MAX($AQ$1:AQ35)+1,"")</f>
        <v>35</v>
      </c>
      <c r="AR36" t="str">
        <f t="shared" si="14"/>
        <v>Gờ tanshi bám ít vào gờ housing ランスのロックが不十分</v>
      </c>
      <c r="AS36" t="str">
        <f ca="1"/>
        <v>Gờ tanshi bám ít vào gờ housing ランスのロックが不十分</v>
      </c>
      <c r="AT36" s="156" t="s">
        <v>1361</v>
      </c>
      <c r="AU36" s="157" t="s">
        <v>1364</v>
      </c>
      <c r="AV36" s="157" t="s">
        <v>1244</v>
      </c>
      <c r="AW36" s="157"/>
      <c r="AX36" s="157"/>
      <c r="AY36" s="157" t="s">
        <v>1493</v>
      </c>
      <c r="AZ36" s="158"/>
    </row>
    <row r="37" spans="1:52">
      <c r="A37">
        <f>IF(ISNUMBER(SEARCH(Checksheet!$BA$17,AY37)),MAX($A$1:A36)+1,"")</f>
        <v>36</v>
      </c>
      <c r="B37" t="str">
        <f t="shared" si="0"/>
        <v>Tuột mấu ôm vỏ do tán cạn 浅打ちで被覆カシメ外れ</v>
      </c>
      <c r="C37" t="str">
        <f ca="1"/>
        <v>Tuột mấu ôm vỏ do tán cạn 浅打ちで被覆カシメ外れ</v>
      </c>
      <c r="D37">
        <f>IF(ISNUMBER(SEARCH(Checksheet!$BA$18,AY37)),MAX($D$1:D36)+1,"")</f>
        <v>36</v>
      </c>
      <c r="E37" t="str">
        <f t="shared" si="1"/>
        <v>Tuột mấu ôm vỏ do tán cạn 浅打ちで被覆カシメ外れ</v>
      </c>
      <c r="F37" t="str">
        <f ca="1"/>
        <v>Tuột mấu ôm vỏ do tán cạn 浅打ちで被覆カシメ外れ</v>
      </c>
      <c r="G37">
        <f>IF(ISNUMBER(SEARCH(Checksheet!$BA$19,AY37)),MAX($G$1:G36)+1,"")</f>
        <v>36</v>
      </c>
      <c r="H37" t="str">
        <f t="shared" si="2"/>
        <v>Tuột mấu ôm vỏ do tán cạn 浅打ちで被覆カシメ外れ</v>
      </c>
      <c r="I37" t="str">
        <f ca="1"/>
        <v>Tuột mấu ôm vỏ do tán cạn 浅打ちで被覆カシメ外れ</v>
      </c>
      <c r="J37">
        <f>IF(ISNUMBER(SEARCH(Checksheet!$BA$20,AY37)),MAX($J$1:J36)+1,"")</f>
        <v>36</v>
      </c>
      <c r="K37" t="str">
        <f t="shared" si="3"/>
        <v>Tuột mấu ôm vỏ do tán cạn 浅打ちで被覆カシメ外れ</v>
      </c>
      <c r="L37" t="str">
        <f ca="1"/>
        <v>Tuột mấu ôm vỏ do tán cạn 浅打ちで被覆カシメ外れ</v>
      </c>
      <c r="M37">
        <f>IF(ISNUMBER(SEARCH(Checksheet!$BA$21,AY37)),MAX($M$1:M36)+1,"")</f>
        <v>36</v>
      </c>
      <c r="N37" t="str">
        <f t="shared" si="4"/>
        <v>Tuột mấu ôm vỏ do tán cạn 浅打ちで被覆カシメ外れ</v>
      </c>
      <c r="O37" t="str">
        <f ca="1"/>
        <v>Tuột mấu ôm vỏ do tán cạn 浅打ちで被覆カシメ外れ</v>
      </c>
      <c r="P37">
        <f>IF(ISNUMBER(SEARCH(Checksheet!$BA$22,AY37)),MAX($P$1:P36)+1,"")</f>
        <v>36</v>
      </c>
      <c r="Q37" t="str">
        <f t="shared" si="5"/>
        <v>Tuột mấu ôm vỏ do tán cạn 浅打ちで被覆カシメ外れ</v>
      </c>
      <c r="R37" t="str">
        <f ca="1"/>
        <v>Tuột mấu ôm vỏ do tán cạn 浅打ちで被覆カシメ外れ</v>
      </c>
      <c r="S37">
        <f>IF(ISNUMBER(SEARCH(Checksheet!$BA$23,AY37)),MAX($S$1:S36)+1,"")</f>
        <v>36</v>
      </c>
      <c r="T37" t="str">
        <f t="shared" si="6"/>
        <v>Tuột mấu ôm vỏ do tán cạn 浅打ちで被覆カシメ外れ</v>
      </c>
      <c r="U37" t="str">
        <f ca="1"/>
        <v>Tuột mấu ôm vỏ do tán cạn 浅打ちで被覆カシメ外れ</v>
      </c>
      <c r="V37">
        <f>IF(ISNUMBER(SEARCH(Checksheet!$BA$24,AY37)),MAX($V$1:V36)+1,"")</f>
        <v>36</v>
      </c>
      <c r="W37" t="str">
        <f t="shared" si="7"/>
        <v>Tuột mấu ôm vỏ do tán cạn 浅打ちで被覆カシメ外れ</v>
      </c>
      <c r="X37" t="str">
        <f ca="1"/>
        <v>Tuột mấu ôm vỏ do tán cạn 浅打ちで被覆カシメ外れ</v>
      </c>
      <c r="Y37">
        <f>IF(ISNUMBER(SEARCH(Checksheet!$BA$25,AY37)),MAX($Y$1:Y36)+1,"")</f>
        <v>36</v>
      </c>
      <c r="Z37" t="str">
        <f t="shared" si="8"/>
        <v>Tuột mấu ôm vỏ do tán cạn 浅打ちで被覆カシメ外れ</v>
      </c>
      <c r="AA37" t="str">
        <f ca="1"/>
        <v>Tuột mấu ôm vỏ do tán cạn 浅打ちで被覆カシメ外れ</v>
      </c>
      <c r="AB37">
        <f>IF(ISNUMBER(SEARCH(Checksheet!$BA$26,AY37)),MAX($AB$1:AB36)+1,"")</f>
        <v>36</v>
      </c>
      <c r="AC37" t="str">
        <f t="shared" si="9"/>
        <v>Tuột mấu ôm vỏ do tán cạn 浅打ちで被覆カシメ外れ</v>
      </c>
      <c r="AD37" t="str">
        <f ca="1"/>
        <v>Tuột mấu ôm vỏ do tán cạn 浅打ちで被覆カシメ外れ</v>
      </c>
      <c r="AE37">
        <f>IF(ISNUMBER(SEARCH(Checksheet!$BA$27,AY37)),MAX($AE$1:AE36)+1,"")</f>
        <v>36</v>
      </c>
      <c r="AF37" t="str">
        <f t="shared" si="10"/>
        <v>Tuột mấu ôm vỏ do tán cạn 浅打ちで被覆カシメ外れ</v>
      </c>
      <c r="AG37" t="str">
        <f ca="1"/>
        <v>Tuột mấu ôm vỏ do tán cạn 浅打ちで被覆カシメ外れ</v>
      </c>
      <c r="AH37">
        <f>IF(ISNUMBER(SEARCH(Checksheet!$BA$28,AY37)),MAX($AH$1:AH36)+1,"")</f>
        <v>36</v>
      </c>
      <c r="AI37" t="str">
        <f t="shared" si="11"/>
        <v>Tuột mấu ôm vỏ do tán cạn 浅打ちで被覆カシメ外れ</v>
      </c>
      <c r="AJ37" t="str">
        <f ca="1"/>
        <v>Tuột mấu ôm vỏ do tán cạn 浅打ちで被覆カシメ外れ</v>
      </c>
      <c r="AK37">
        <f>IF(ISNUMBER(SEARCH(Checksheet!$BA$29,AY37)),MAX($AK$1:AK36)+1,"")</f>
        <v>36</v>
      </c>
      <c r="AL37" t="str">
        <f t="shared" si="12"/>
        <v>Tuột mấu ôm vỏ do tán cạn 浅打ちで被覆カシメ外れ</v>
      </c>
      <c r="AM37" t="str">
        <f ca="1"/>
        <v>Tuột mấu ôm vỏ do tán cạn 浅打ちで被覆カシメ外れ</v>
      </c>
      <c r="AN37">
        <f>IF(ISNUMBER(SEARCH(Checksheet!$BA$30,AY37)),MAX($AN$1:AN36)+1,"")</f>
        <v>36</v>
      </c>
      <c r="AO37" t="str">
        <f t="shared" si="13"/>
        <v>Tuột mấu ôm vỏ do tán cạn 浅打ちで被覆カシメ外れ</v>
      </c>
      <c r="AP37" t="str">
        <f ca="1"/>
        <v>Tuột mấu ôm vỏ do tán cạn 浅打ちで被覆カシメ外れ</v>
      </c>
      <c r="AQ37">
        <f>IF(ISNUMBER(SEARCH(Checksheet!$BA$31,AY37)),MAX($AQ$1:AQ36)+1,"")</f>
        <v>36</v>
      </c>
      <c r="AR37" t="str">
        <f t="shared" si="14"/>
        <v>Tuột mấu ôm vỏ do tán cạn 浅打ちで被覆カシメ外れ</v>
      </c>
      <c r="AS37" t="str">
        <f ca="1"/>
        <v>Tuột mấu ôm vỏ do tán cạn 浅打ちで被覆カシメ外れ</v>
      </c>
      <c r="AT37" s="156" t="s">
        <v>1361</v>
      </c>
      <c r="AU37" s="157" t="s">
        <v>1364</v>
      </c>
      <c r="AV37" s="157" t="s">
        <v>1240</v>
      </c>
      <c r="AW37" s="157"/>
      <c r="AX37" s="157"/>
      <c r="AY37" s="157" t="s">
        <v>1493</v>
      </c>
      <c r="AZ37" s="158"/>
    </row>
    <row r="38" spans="1:52">
      <c r="A38">
        <f>IF(ISNUMBER(SEARCH(Checksheet!$BA$17,AY38)),MAX($A$1:A37)+1,"")</f>
        <v>37</v>
      </c>
      <c r="B38" t="str">
        <f t="shared" si="0"/>
        <v>Dính dị vật 端子が異物付き</v>
      </c>
      <c r="C38" t="str">
        <f ca="1"/>
        <v>Dính dị vật 端子が異物付き</v>
      </c>
      <c r="D38">
        <f>IF(ISNUMBER(SEARCH(Checksheet!$BA$18,AY38)),MAX($D$1:D37)+1,"")</f>
        <v>37</v>
      </c>
      <c r="E38" t="str">
        <f t="shared" si="1"/>
        <v>Dính dị vật 端子が異物付き</v>
      </c>
      <c r="F38" t="str">
        <f ca="1"/>
        <v>Dính dị vật 端子が異物付き</v>
      </c>
      <c r="G38">
        <f>IF(ISNUMBER(SEARCH(Checksheet!$BA$19,AY38)),MAX($G$1:G37)+1,"")</f>
        <v>37</v>
      </c>
      <c r="H38" t="str">
        <f t="shared" si="2"/>
        <v>Dính dị vật 端子が異物付き</v>
      </c>
      <c r="I38" t="str">
        <f ca="1"/>
        <v>Dính dị vật 端子が異物付き</v>
      </c>
      <c r="J38">
        <f>IF(ISNUMBER(SEARCH(Checksheet!$BA$20,AY38)),MAX($J$1:J37)+1,"")</f>
        <v>37</v>
      </c>
      <c r="K38" t="str">
        <f t="shared" si="3"/>
        <v>Dính dị vật 端子が異物付き</v>
      </c>
      <c r="L38" t="str">
        <f ca="1"/>
        <v>Dính dị vật 端子が異物付き</v>
      </c>
      <c r="M38">
        <f>IF(ISNUMBER(SEARCH(Checksheet!$BA$21,AY38)),MAX($M$1:M37)+1,"")</f>
        <v>37</v>
      </c>
      <c r="N38" t="str">
        <f t="shared" si="4"/>
        <v>Dính dị vật 端子が異物付き</v>
      </c>
      <c r="O38" t="str">
        <f ca="1"/>
        <v>Dính dị vật 端子が異物付き</v>
      </c>
      <c r="P38">
        <f>IF(ISNUMBER(SEARCH(Checksheet!$BA$22,AY38)),MAX($P$1:P37)+1,"")</f>
        <v>37</v>
      </c>
      <c r="Q38" t="str">
        <f t="shared" si="5"/>
        <v>Dính dị vật 端子が異物付き</v>
      </c>
      <c r="R38" t="str">
        <f ca="1"/>
        <v>Dính dị vật 端子が異物付き</v>
      </c>
      <c r="S38">
        <f>IF(ISNUMBER(SEARCH(Checksheet!$BA$23,AY38)),MAX($S$1:S37)+1,"")</f>
        <v>37</v>
      </c>
      <c r="T38" t="str">
        <f t="shared" si="6"/>
        <v>Dính dị vật 端子が異物付き</v>
      </c>
      <c r="U38" t="str">
        <f ca="1"/>
        <v>Dính dị vật 端子が異物付き</v>
      </c>
      <c r="V38">
        <f>IF(ISNUMBER(SEARCH(Checksheet!$BA$24,AY38)),MAX($V$1:V37)+1,"")</f>
        <v>37</v>
      </c>
      <c r="W38" t="str">
        <f t="shared" si="7"/>
        <v>Dính dị vật 端子が異物付き</v>
      </c>
      <c r="X38" t="str">
        <f ca="1"/>
        <v>Dính dị vật 端子が異物付き</v>
      </c>
      <c r="Y38">
        <f>IF(ISNUMBER(SEARCH(Checksheet!$BA$25,AY38)),MAX($Y$1:Y37)+1,"")</f>
        <v>37</v>
      </c>
      <c r="Z38" t="str">
        <f t="shared" si="8"/>
        <v>Dính dị vật 端子が異物付き</v>
      </c>
      <c r="AA38" t="str">
        <f ca="1"/>
        <v>Dính dị vật 端子が異物付き</v>
      </c>
      <c r="AB38">
        <f>IF(ISNUMBER(SEARCH(Checksheet!$BA$26,AY38)),MAX($AB$1:AB37)+1,"")</f>
        <v>37</v>
      </c>
      <c r="AC38" t="str">
        <f t="shared" si="9"/>
        <v>Dính dị vật 端子が異物付き</v>
      </c>
      <c r="AD38" t="str">
        <f ca="1"/>
        <v>Dính dị vật 端子が異物付き</v>
      </c>
      <c r="AE38">
        <f>IF(ISNUMBER(SEARCH(Checksheet!$BA$27,AY38)),MAX($AE$1:AE37)+1,"")</f>
        <v>37</v>
      </c>
      <c r="AF38" t="str">
        <f t="shared" si="10"/>
        <v>Dính dị vật 端子が異物付き</v>
      </c>
      <c r="AG38" t="str">
        <f ca="1"/>
        <v>Dính dị vật 端子が異物付き</v>
      </c>
      <c r="AH38">
        <f>IF(ISNUMBER(SEARCH(Checksheet!$BA$28,AY38)),MAX($AH$1:AH37)+1,"")</f>
        <v>37</v>
      </c>
      <c r="AI38" t="str">
        <f t="shared" si="11"/>
        <v>Dính dị vật 端子が異物付き</v>
      </c>
      <c r="AJ38" t="str">
        <f ca="1"/>
        <v>Dính dị vật 端子が異物付き</v>
      </c>
      <c r="AK38">
        <f>IF(ISNUMBER(SEARCH(Checksheet!$BA$29,AY38)),MAX($AK$1:AK37)+1,"")</f>
        <v>37</v>
      </c>
      <c r="AL38" t="str">
        <f t="shared" si="12"/>
        <v>Dính dị vật 端子が異物付き</v>
      </c>
      <c r="AM38" t="str">
        <f ca="1"/>
        <v>Dính dị vật 端子が異物付き</v>
      </c>
      <c r="AN38">
        <f>IF(ISNUMBER(SEARCH(Checksheet!$BA$30,AY38)),MAX($AN$1:AN37)+1,"")</f>
        <v>37</v>
      </c>
      <c r="AO38" t="str">
        <f t="shared" si="13"/>
        <v>Dính dị vật 端子が異物付き</v>
      </c>
      <c r="AP38" t="str">
        <f ca="1"/>
        <v>Dính dị vật 端子が異物付き</v>
      </c>
      <c r="AQ38">
        <f>IF(ISNUMBER(SEARCH(Checksheet!$BA$31,AY38)),MAX($AQ$1:AQ37)+1,"")</f>
        <v>37</v>
      </c>
      <c r="AR38" t="str">
        <f t="shared" si="14"/>
        <v>Dính dị vật 端子が異物付き</v>
      </c>
      <c r="AS38" t="str">
        <f ca="1"/>
        <v>Dính dị vật 端子が異物付き</v>
      </c>
      <c r="AT38" s="156" t="s">
        <v>1361</v>
      </c>
      <c r="AU38" s="157" t="s">
        <v>1364</v>
      </c>
      <c r="AV38" s="157" t="s">
        <v>1393</v>
      </c>
      <c r="AW38" s="157"/>
      <c r="AX38" s="157"/>
      <c r="AY38" s="157" t="s">
        <v>1493</v>
      </c>
      <c r="AZ38" s="158"/>
    </row>
    <row r="39" spans="1:52">
      <c r="A39">
        <f>IF(ISNUMBER(SEARCH(Checksheet!$BA$17,AY39)),MAX($A$1:A38)+1,"")</f>
        <v>38</v>
      </c>
      <c r="B39" t="str">
        <f t="shared" si="0"/>
        <v>Tanshi biến dạng</v>
      </c>
      <c r="C39" t="str">
        <f ca="1"/>
        <v>Tanshi biến dạng</v>
      </c>
      <c r="D39">
        <f>IF(ISNUMBER(SEARCH(Checksheet!$BA$18,AY39)),MAX($D$1:D38)+1,"")</f>
        <v>38</v>
      </c>
      <c r="E39" t="str">
        <f t="shared" si="1"/>
        <v>Tanshi biến dạng</v>
      </c>
      <c r="F39" t="str">
        <f ca="1"/>
        <v>Tanshi biến dạng</v>
      </c>
      <c r="G39">
        <f>IF(ISNUMBER(SEARCH(Checksheet!$BA$19,AY39)),MAX($G$1:G38)+1,"")</f>
        <v>38</v>
      </c>
      <c r="H39" t="str">
        <f t="shared" si="2"/>
        <v>Tanshi biến dạng</v>
      </c>
      <c r="I39" t="str">
        <f ca="1"/>
        <v>Tanshi biến dạng</v>
      </c>
      <c r="J39">
        <f>IF(ISNUMBER(SEARCH(Checksheet!$BA$20,AY39)),MAX($J$1:J38)+1,"")</f>
        <v>38</v>
      </c>
      <c r="K39" t="str">
        <f t="shared" si="3"/>
        <v>Tanshi biến dạng</v>
      </c>
      <c r="L39" t="str">
        <f ca="1"/>
        <v>Tanshi biến dạng</v>
      </c>
      <c r="M39">
        <f>IF(ISNUMBER(SEARCH(Checksheet!$BA$21,AY39)),MAX($M$1:M38)+1,"")</f>
        <v>38</v>
      </c>
      <c r="N39" t="str">
        <f t="shared" si="4"/>
        <v>Tanshi biến dạng</v>
      </c>
      <c r="O39" t="str">
        <f ca="1"/>
        <v>Tanshi biến dạng</v>
      </c>
      <c r="P39">
        <f>IF(ISNUMBER(SEARCH(Checksheet!$BA$22,AY39)),MAX($P$1:P38)+1,"")</f>
        <v>38</v>
      </c>
      <c r="Q39" t="str">
        <f t="shared" si="5"/>
        <v>Tanshi biến dạng</v>
      </c>
      <c r="R39" t="str">
        <f ca="1"/>
        <v>Tanshi biến dạng</v>
      </c>
      <c r="S39">
        <f>IF(ISNUMBER(SEARCH(Checksheet!$BA$23,AY39)),MAX($S$1:S38)+1,"")</f>
        <v>38</v>
      </c>
      <c r="T39" t="str">
        <f t="shared" si="6"/>
        <v>Tanshi biến dạng</v>
      </c>
      <c r="U39" t="str">
        <f ca="1"/>
        <v>Tanshi biến dạng</v>
      </c>
      <c r="V39">
        <f>IF(ISNUMBER(SEARCH(Checksheet!$BA$24,AY39)),MAX($V$1:V38)+1,"")</f>
        <v>38</v>
      </c>
      <c r="W39" t="str">
        <f t="shared" si="7"/>
        <v>Tanshi biến dạng</v>
      </c>
      <c r="X39" t="str">
        <f ca="1"/>
        <v>Tanshi biến dạng</v>
      </c>
      <c r="Y39">
        <f>IF(ISNUMBER(SEARCH(Checksheet!$BA$25,AY39)),MAX($Y$1:Y38)+1,"")</f>
        <v>38</v>
      </c>
      <c r="Z39" t="str">
        <f t="shared" si="8"/>
        <v>Tanshi biến dạng</v>
      </c>
      <c r="AA39" t="str">
        <f ca="1"/>
        <v>Tanshi biến dạng</v>
      </c>
      <c r="AB39">
        <f>IF(ISNUMBER(SEARCH(Checksheet!$BA$26,AY39)),MAX($AB$1:AB38)+1,"")</f>
        <v>38</v>
      </c>
      <c r="AC39" t="str">
        <f t="shared" si="9"/>
        <v>Tanshi biến dạng</v>
      </c>
      <c r="AD39" t="str">
        <f ca="1"/>
        <v>Tanshi biến dạng</v>
      </c>
      <c r="AE39">
        <f>IF(ISNUMBER(SEARCH(Checksheet!$BA$27,AY39)),MAX($AE$1:AE38)+1,"")</f>
        <v>38</v>
      </c>
      <c r="AF39" t="str">
        <f t="shared" si="10"/>
        <v>Tanshi biến dạng</v>
      </c>
      <c r="AG39" t="str">
        <f ca="1"/>
        <v>Tanshi biến dạng</v>
      </c>
      <c r="AH39">
        <f>IF(ISNUMBER(SEARCH(Checksheet!$BA$28,AY39)),MAX($AH$1:AH38)+1,"")</f>
        <v>38</v>
      </c>
      <c r="AI39" t="str">
        <f t="shared" si="11"/>
        <v>Tanshi biến dạng</v>
      </c>
      <c r="AJ39" t="str">
        <f ca="1"/>
        <v>Tanshi biến dạng</v>
      </c>
      <c r="AK39">
        <f>IF(ISNUMBER(SEARCH(Checksheet!$BA$29,AY39)),MAX($AK$1:AK38)+1,"")</f>
        <v>38</v>
      </c>
      <c r="AL39" t="str">
        <f t="shared" si="12"/>
        <v>Tanshi biến dạng</v>
      </c>
      <c r="AM39" t="str">
        <f ca="1"/>
        <v>Tanshi biến dạng</v>
      </c>
      <c r="AN39">
        <f>IF(ISNUMBER(SEARCH(Checksheet!$BA$30,AY39)),MAX($AN$1:AN38)+1,"")</f>
        <v>38</v>
      </c>
      <c r="AO39" t="str">
        <f t="shared" si="13"/>
        <v>Tanshi biến dạng</v>
      </c>
      <c r="AP39" t="str">
        <f ca="1"/>
        <v>Tanshi biến dạng</v>
      </c>
      <c r="AQ39">
        <f>IF(ISNUMBER(SEARCH(Checksheet!$BA$31,AY39)),MAX($AQ$1:AQ38)+1,"")</f>
        <v>38</v>
      </c>
      <c r="AR39" t="str">
        <f t="shared" si="14"/>
        <v>Tanshi biến dạng</v>
      </c>
      <c r="AS39" t="str">
        <f ca="1"/>
        <v>Tanshi biến dạng</v>
      </c>
      <c r="AT39" s="156" t="s">
        <v>1361</v>
      </c>
      <c r="AU39" s="157" t="s">
        <v>1364</v>
      </c>
      <c r="AV39" s="157" t="s">
        <v>1470</v>
      </c>
      <c r="AW39" s="157"/>
      <c r="AX39" s="157"/>
      <c r="AY39" s="157" t="s">
        <v>1493</v>
      </c>
      <c r="AZ39" s="158"/>
    </row>
    <row r="40" spans="1:52">
      <c r="A40">
        <f>IF(ISNUMBER(SEARCH(Checksheet!$BA$17,AY40)),MAX($A$1:A39)+1,"")</f>
        <v>39</v>
      </c>
      <c r="B40" t="str">
        <f t="shared" si="0"/>
        <v>Biến dạng vị trí Soket</v>
      </c>
      <c r="C40" t="str">
        <f ca="1"/>
        <v>Biến dạng vị trí Soket</v>
      </c>
      <c r="D40">
        <f>IF(ISNUMBER(SEARCH(Checksheet!$BA$18,AY40)),MAX($D$1:D39)+1,"")</f>
        <v>39</v>
      </c>
      <c r="E40" t="str">
        <f t="shared" si="1"/>
        <v>Biến dạng vị trí Soket</v>
      </c>
      <c r="F40" t="str">
        <f ca="1"/>
        <v>Biến dạng vị trí Soket</v>
      </c>
      <c r="G40">
        <f>IF(ISNUMBER(SEARCH(Checksheet!$BA$19,AY40)),MAX($G$1:G39)+1,"")</f>
        <v>39</v>
      </c>
      <c r="H40" t="str">
        <f t="shared" si="2"/>
        <v>Biến dạng vị trí Soket</v>
      </c>
      <c r="I40" t="str">
        <f ca="1"/>
        <v>Biến dạng vị trí Soket</v>
      </c>
      <c r="J40">
        <f>IF(ISNUMBER(SEARCH(Checksheet!$BA$20,AY40)),MAX($J$1:J39)+1,"")</f>
        <v>39</v>
      </c>
      <c r="K40" t="str">
        <f t="shared" si="3"/>
        <v>Biến dạng vị trí Soket</v>
      </c>
      <c r="L40" t="str">
        <f ca="1"/>
        <v>Biến dạng vị trí Soket</v>
      </c>
      <c r="M40">
        <f>IF(ISNUMBER(SEARCH(Checksheet!$BA$21,AY40)),MAX($M$1:M39)+1,"")</f>
        <v>39</v>
      </c>
      <c r="N40" t="str">
        <f t="shared" si="4"/>
        <v>Biến dạng vị trí Soket</v>
      </c>
      <c r="O40" t="str">
        <f ca="1"/>
        <v>Biến dạng vị trí Soket</v>
      </c>
      <c r="P40">
        <f>IF(ISNUMBER(SEARCH(Checksheet!$BA$22,AY40)),MAX($P$1:P39)+1,"")</f>
        <v>39</v>
      </c>
      <c r="Q40" t="str">
        <f t="shared" si="5"/>
        <v>Biến dạng vị trí Soket</v>
      </c>
      <c r="R40" t="str">
        <f ca="1"/>
        <v>Biến dạng vị trí Soket</v>
      </c>
      <c r="S40">
        <f>IF(ISNUMBER(SEARCH(Checksheet!$BA$23,AY40)),MAX($S$1:S39)+1,"")</f>
        <v>39</v>
      </c>
      <c r="T40" t="str">
        <f t="shared" si="6"/>
        <v>Biến dạng vị trí Soket</v>
      </c>
      <c r="U40" t="str">
        <f ca="1"/>
        <v>Biến dạng vị trí Soket</v>
      </c>
      <c r="V40">
        <f>IF(ISNUMBER(SEARCH(Checksheet!$BA$24,AY40)),MAX($V$1:V39)+1,"")</f>
        <v>39</v>
      </c>
      <c r="W40" t="str">
        <f t="shared" si="7"/>
        <v>Biến dạng vị trí Soket</v>
      </c>
      <c r="X40" t="str">
        <f ca="1"/>
        <v>Biến dạng vị trí Soket</v>
      </c>
      <c r="Y40">
        <f>IF(ISNUMBER(SEARCH(Checksheet!$BA$25,AY40)),MAX($Y$1:Y39)+1,"")</f>
        <v>39</v>
      </c>
      <c r="Z40" t="str">
        <f t="shared" si="8"/>
        <v>Biến dạng vị trí Soket</v>
      </c>
      <c r="AA40" t="str">
        <f ca="1"/>
        <v>Biến dạng vị trí Soket</v>
      </c>
      <c r="AB40">
        <f>IF(ISNUMBER(SEARCH(Checksheet!$BA$26,AY40)),MAX($AB$1:AB39)+1,"")</f>
        <v>39</v>
      </c>
      <c r="AC40" t="str">
        <f t="shared" si="9"/>
        <v>Biến dạng vị trí Soket</v>
      </c>
      <c r="AD40" t="str">
        <f ca="1"/>
        <v>Biến dạng vị trí Soket</v>
      </c>
      <c r="AE40">
        <f>IF(ISNUMBER(SEARCH(Checksheet!$BA$27,AY40)),MAX($AE$1:AE39)+1,"")</f>
        <v>39</v>
      </c>
      <c r="AF40" t="str">
        <f t="shared" si="10"/>
        <v>Biến dạng vị trí Soket</v>
      </c>
      <c r="AG40" t="str">
        <f ca="1"/>
        <v>Biến dạng vị trí Soket</v>
      </c>
      <c r="AH40">
        <f>IF(ISNUMBER(SEARCH(Checksheet!$BA$28,AY40)),MAX($AH$1:AH39)+1,"")</f>
        <v>39</v>
      </c>
      <c r="AI40" t="str">
        <f t="shared" si="11"/>
        <v>Biến dạng vị trí Soket</v>
      </c>
      <c r="AJ40" t="str">
        <f ca="1"/>
        <v>Biến dạng vị trí Soket</v>
      </c>
      <c r="AK40">
        <f>IF(ISNUMBER(SEARCH(Checksheet!$BA$29,AY40)),MAX($AK$1:AK39)+1,"")</f>
        <v>39</v>
      </c>
      <c r="AL40" t="str">
        <f t="shared" si="12"/>
        <v>Biến dạng vị trí Soket</v>
      </c>
      <c r="AM40" t="str">
        <f ca="1"/>
        <v>Biến dạng vị trí Soket</v>
      </c>
      <c r="AN40">
        <f>IF(ISNUMBER(SEARCH(Checksheet!$BA$30,AY40)),MAX($AN$1:AN39)+1,"")</f>
        <v>39</v>
      </c>
      <c r="AO40" t="str">
        <f t="shared" si="13"/>
        <v>Biến dạng vị trí Soket</v>
      </c>
      <c r="AP40" t="str">
        <f ca="1"/>
        <v>Biến dạng vị trí Soket</v>
      </c>
      <c r="AQ40">
        <f>IF(ISNUMBER(SEARCH(Checksheet!$BA$31,AY40)),MAX($AQ$1:AQ39)+1,"")</f>
        <v>39</v>
      </c>
      <c r="AR40" t="str">
        <f t="shared" si="14"/>
        <v>Biến dạng vị trí Soket</v>
      </c>
      <c r="AS40" t="str">
        <f ca="1"/>
        <v>Biến dạng vị trí Soket</v>
      </c>
      <c r="AT40" s="156" t="s">
        <v>1361</v>
      </c>
      <c r="AU40" s="157" t="s">
        <v>1364</v>
      </c>
      <c r="AV40" s="157" t="s">
        <v>1384</v>
      </c>
      <c r="AW40" s="157"/>
      <c r="AX40" s="157"/>
      <c r="AY40" s="157" t="s">
        <v>1493</v>
      </c>
      <c r="AZ40" s="158"/>
    </row>
    <row r="41" spans="1:52">
      <c r="A41">
        <f>IF(ISNUMBER(SEARCH(Checksheet!$BA$17,AY41)),MAX($A$1:A40)+1,"")</f>
        <v>40</v>
      </c>
      <c r="B41" t="str">
        <f t="shared" si="0"/>
        <v>Tanshi dính HKH はん  着</v>
      </c>
      <c r="C41" t="str">
        <f ca="1"/>
        <v>Tanshi dính HKH はん  着</v>
      </c>
      <c r="D41">
        <f>IF(ISNUMBER(SEARCH(Checksheet!$BA$18,AY41)),MAX($D$1:D40)+1,"")</f>
        <v>40</v>
      </c>
      <c r="E41" t="str">
        <f t="shared" si="1"/>
        <v>Tanshi dính HKH はん  着</v>
      </c>
      <c r="F41" t="str">
        <f ca="1"/>
        <v>Tanshi dính HKH はん  着</v>
      </c>
      <c r="G41">
        <f>IF(ISNUMBER(SEARCH(Checksheet!$BA$19,AY41)),MAX($G$1:G40)+1,"")</f>
        <v>40</v>
      </c>
      <c r="H41" t="str">
        <f t="shared" si="2"/>
        <v>Tanshi dính HKH はん  着</v>
      </c>
      <c r="I41" t="str">
        <f ca="1"/>
        <v>Tanshi dính HKH はん  着</v>
      </c>
      <c r="J41">
        <f>IF(ISNUMBER(SEARCH(Checksheet!$BA$20,AY41)),MAX($J$1:J40)+1,"")</f>
        <v>40</v>
      </c>
      <c r="K41" t="str">
        <f t="shared" si="3"/>
        <v>Tanshi dính HKH はん  着</v>
      </c>
      <c r="L41" t="str">
        <f ca="1"/>
        <v>Tanshi dính HKH はん  着</v>
      </c>
      <c r="M41">
        <f>IF(ISNUMBER(SEARCH(Checksheet!$BA$21,AY41)),MAX($M$1:M40)+1,"")</f>
        <v>40</v>
      </c>
      <c r="N41" t="str">
        <f t="shared" si="4"/>
        <v>Tanshi dính HKH はん  着</v>
      </c>
      <c r="O41" t="str">
        <f ca="1"/>
        <v>Tanshi dính HKH はん  着</v>
      </c>
      <c r="P41">
        <f>IF(ISNUMBER(SEARCH(Checksheet!$BA$22,AY41)),MAX($P$1:P40)+1,"")</f>
        <v>40</v>
      </c>
      <c r="Q41" t="str">
        <f t="shared" si="5"/>
        <v>Tanshi dính HKH はん  着</v>
      </c>
      <c r="R41" t="str">
        <f ca="1"/>
        <v>Tanshi dính HKH はん  着</v>
      </c>
      <c r="S41">
        <f>IF(ISNUMBER(SEARCH(Checksheet!$BA$23,AY41)),MAX($S$1:S40)+1,"")</f>
        <v>40</v>
      </c>
      <c r="T41" t="str">
        <f t="shared" si="6"/>
        <v>Tanshi dính HKH はん  着</v>
      </c>
      <c r="U41" t="str">
        <f ca="1"/>
        <v>Tanshi dính HKH はん  着</v>
      </c>
      <c r="V41">
        <f>IF(ISNUMBER(SEARCH(Checksheet!$BA$24,AY41)),MAX($V$1:V40)+1,"")</f>
        <v>40</v>
      </c>
      <c r="W41" t="str">
        <f t="shared" si="7"/>
        <v>Tanshi dính HKH はん  着</v>
      </c>
      <c r="X41" t="str">
        <f ca="1"/>
        <v>Tanshi dính HKH はん  着</v>
      </c>
      <c r="Y41">
        <f>IF(ISNUMBER(SEARCH(Checksheet!$BA$25,AY41)),MAX($Y$1:Y40)+1,"")</f>
        <v>40</v>
      </c>
      <c r="Z41" t="str">
        <f t="shared" si="8"/>
        <v>Tanshi dính HKH はん  着</v>
      </c>
      <c r="AA41" t="str">
        <f ca="1"/>
        <v>Tanshi dính HKH はん  着</v>
      </c>
      <c r="AB41">
        <f>IF(ISNUMBER(SEARCH(Checksheet!$BA$26,AY41)),MAX($AB$1:AB40)+1,"")</f>
        <v>40</v>
      </c>
      <c r="AC41" t="str">
        <f t="shared" si="9"/>
        <v>Tanshi dính HKH はん  着</v>
      </c>
      <c r="AD41" t="str">
        <f ca="1"/>
        <v>Tanshi dính HKH はん  着</v>
      </c>
      <c r="AE41">
        <f>IF(ISNUMBER(SEARCH(Checksheet!$BA$27,AY41)),MAX($AE$1:AE40)+1,"")</f>
        <v>40</v>
      </c>
      <c r="AF41" t="str">
        <f t="shared" si="10"/>
        <v>Tanshi dính HKH はん  着</v>
      </c>
      <c r="AG41" t="str">
        <f ca="1"/>
        <v>Tanshi dính HKH はん  着</v>
      </c>
      <c r="AH41">
        <f>IF(ISNUMBER(SEARCH(Checksheet!$BA$28,AY41)),MAX($AH$1:AH40)+1,"")</f>
        <v>40</v>
      </c>
      <c r="AI41" t="str">
        <f t="shared" si="11"/>
        <v>Tanshi dính HKH はん  着</v>
      </c>
      <c r="AJ41" t="str">
        <f ca="1"/>
        <v>Tanshi dính HKH はん  着</v>
      </c>
      <c r="AK41">
        <f>IF(ISNUMBER(SEARCH(Checksheet!$BA$29,AY41)),MAX($AK$1:AK40)+1,"")</f>
        <v>40</v>
      </c>
      <c r="AL41" t="str">
        <f t="shared" si="12"/>
        <v>Tanshi dính HKH はん  着</v>
      </c>
      <c r="AM41" t="str">
        <f ca="1"/>
        <v>Tanshi dính HKH はん  着</v>
      </c>
      <c r="AN41">
        <f>IF(ISNUMBER(SEARCH(Checksheet!$BA$30,AY41)),MAX($AN$1:AN40)+1,"")</f>
        <v>40</v>
      </c>
      <c r="AO41" t="str">
        <f t="shared" si="13"/>
        <v>Tanshi dính HKH はん  着</v>
      </c>
      <c r="AP41" t="str">
        <f ca="1"/>
        <v>Tanshi dính HKH はん  着</v>
      </c>
      <c r="AQ41">
        <f>IF(ISNUMBER(SEARCH(Checksheet!$BA$31,AY41)),MAX($AQ$1:AQ40)+1,"")</f>
        <v>40</v>
      </c>
      <c r="AR41" t="str">
        <f t="shared" si="14"/>
        <v>Tanshi dính HKH はん  着</v>
      </c>
      <c r="AS41" t="str">
        <f ca="1"/>
        <v>Tanshi dính HKH はん  着</v>
      </c>
      <c r="AT41" s="156" t="s">
        <v>1361</v>
      </c>
      <c r="AU41" s="157" t="s">
        <v>1364</v>
      </c>
      <c r="AV41" s="157" t="s">
        <v>1357</v>
      </c>
      <c r="AW41" s="157"/>
      <c r="AX41" s="157"/>
      <c r="AY41" s="157" t="s">
        <v>1493</v>
      </c>
      <c r="AZ41" s="158"/>
    </row>
    <row r="42" spans="1:52">
      <c r="A42">
        <f>IF(ISNUMBER(SEARCH(Checksheet!$BA$17,AY42)),MAX($A$1:A41)+1,"")</f>
        <v>41</v>
      </c>
      <c r="B42" t="str">
        <f t="shared" si="0"/>
        <v>Others</v>
      </c>
      <c r="C42" t="str">
        <f ca="1"/>
        <v>Others</v>
      </c>
      <c r="D42">
        <f>IF(ISNUMBER(SEARCH(Checksheet!$BA$18,AY42)),MAX($D$1:D41)+1,"")</f>
        <v>41</v>
      </c>
      <c r="E42" t="str">
        <f t="shared" si="1"/>
        <v>Others</v>
      </c>
      <c r="F42" t="str">
        <f ca="1"/>
        <v>Others</v>
      </c>
      <c r="G42">
        <f>IF(ISNUMBER(SEARCH(Checksheet!$BA$19,AY42)),MAX($G$1:G41)+1,"")</f>
        <v>41</v>
      </c>
      <c r="H42" t="str">
        <f t="shared" si="2"/>
        <v>Others</v>
      </c>
      <c r="I42" t="str">
        <f ca="1"/>
        <v>Others</v>
      </c>
      <c r="J42">
        <f>IF(ISNUMBER(SEARCH(Checksheet!$BA$20,AY42)),MAX($J$1:J41)+1,"")</f>
        <v>41</v>
      </c>
      <c r="K42" t="str">
        <f t="shared" si="3"/>
        <v>Others</v>
      </c>
      <c r="L42" t="str">
        <f ca="1"/>
        <v>Others</v>
      </c>
      <c r="M42">
        <f>IF(ISNUMBER(SEARCH(Checksheet!$BA$21,AY42)),MAX($M$1:M41)+1,"")</f>
        <v>41</v>
      </c>
      <c r="N42" t="str">
        <f t="shared" si="4"/>
        <v>Others</v>
      </c>
      <c r="O42" t="str">
        <f ca="1"/>
        <v>Others</v>
      </c>
      <c r="P42">
        <f>IF(ISNUMBER(SEARCH(Checksheet!$BA$22,AY42)),MAX($P$1:P41)+1,"")</f>
        <v>41</v>
      </c>
      <c r="Q42" t="str">
        <f t="shared" si="5"/>
        <v>Others</v>
      </c>
      <c r="R42" t="str">
        <f ca="1"/>
        <v>Others</v>
      </c>
      <c r="S42">
        <f>IF(ISNUMBER(SEARCH(Checksheet!$BA$23,AY42)),MAX($S$1:S41)+1,"")</f>
        <v>41</v>
      </c>
      <c r="T42" t="str">
        <f t="shared" si="6"/>
        <v>Others</v>
      </c>
      <c r="U42" t="str">
        <f ca="1"/>
        <v>Others</v>
      </c>
      <c r="V42">
        <f>IF(ISNUMBER(SEARCH(Checksheet!$BA$24,AY42)),MAX($V$1:V41)+1,"")</f>
        <v>41</v>
      </c>
      <c r="W42" t="str">
        <f t="shared" si="7"/>
        <v>Others</v>
      </c>
      <c r="X42" t="str">
        <f ca="1"/>
        <v>Others</v>
      </c>
      <c r="Y42">
        <f>IF(ISNUMBER(SEARCH(Checksheet!$BA$25,AY42)),MAX($Y$1:Y41)+1,"")</f>
        <v>41</v>
      </c>
      <c r="Z42" t="str">
        <f t="shared" si="8"/>
        <v>Others</v>
      </c>
      <c r="AA42" t="str">
        <f ca="1"/>
        <v>Others</v>
      </c>
      <c r="AB42">
        <f>IF(ISNUMBER(SEARCH(Checksheet!$BA$26,AY42)),MAX($AB$1:AB41)+1,"")</f>
        <v>41</v>
      </c>
      <c r="AC42" t="str">
        <f t="shared" si="9"/>
        <v>Others</v>
      </c>
      <c r="AD42" t="str">
        <f ca="1"/>
        <v>Others</v>
      </c>
      <c r="AE42">
        <f>IF(ISNUMBER(SEARCH(Checksheet!$BA$27,AY42)),MAX($AE$1:AE41)+1,"")</f>
        <v>41</v>
      </c>
      <c r="AF42" t="str">
        <f t="shared" si="10"/>
        <v>Others</v>
      </c>
      <c r="AG42" t="str">
        <f ca="1"/>
        <v>Others</v>
      </c>
      <c r="AH42">
        <f>IF(ISNUMBER(SEARCH(Checksheet!$BA$28,AY42)),MAX($AH$1:AH41)+1,"")</f>
        <v>41</v>
      </c>
      <c r="AI42" t="str">
        <f t="shared" si="11"/>
        <v>Others</v>
      </c>
      <c r="AJ42" t="str">
        <f ca="1"/>
        <v>Others</v>
      </c>
      <c r="AK42">
        <f>IF(ISNUMBER(SEARCH(Checksheet!$BA$29,AY42)),MAX($AK$1:AK41)+1,"")</f>
        <v>41</v>
      </c>
      <c r="AL42" t="str">
        <f t="shared" si="12"/>
        <v>Others</v>
      </c>
      <c r="AM42" t="str">
        <f ca="1"/>
        <v>Others</v>
      </c>
      <c r="AN42">
        <f>IF(ISNUMBER(SEARCH(Checksheet!$BA$30,AY42)),MAX($AN$1:AN41)+1,"")</f>
        <v>41</v>
      </c>
      <c r="AO42" t="str">
        <f t="shared" si="13"/>
        <v>Others</v>
      </c>
      <c r="AP42" t="str">
        <f ca="1"/>
        <v>Others</v>
      </c>
      <c r="AQ42">
        <f>IF(ISNUMBER(SEARCH(Checksheet!$BA$31,AY42)),MAX($AQ$1:AQ41)+1,"")</f>
        <v>41</v>
      </c>
      <c r="AR42" t="str">
        <f t="shared" si="14"/>
        <v>Others</v>
      </c>
      <c r="AS42" t="str">
        <f ca="1"/>
        <v>Others</v>
      </c>
      <c r="AT42" s="156" t="s">
        <v>1361</v>
      </c>
      <c r="AU42" s="157" t="s">
        <v>1364</v>
      </c>
      <c r="AV42" s="157" t="s">
        <v>1219</v>
      </c>
      <c r="AW42" s="157"/>
      <c r="AX42" s="157"/>
      <c r="AY42" s="157" t="s">
        <v>1493</v>
      </c>
      <c r="AZ42" s="158"/>
    </row>
    <row r="43" spans="1:52">
      <c r="A43">
        <f>IF(ISNUMBER(SEARCH(Checksheet!$BA$17,AY43)),MAX($A$1:A42)+1,"")</f>
        <v>42</v>
      </c>
      <c r="B43" t="str">
        <f t="shared" si="0"/>
        <v>Biến dạng</v>
      </c>
      <c r="C43" t="str">
        <f ca="1"/>
        <v>Biến dạng</v>
      </c>
      <c r="D43">
        <f>IF(ISNUMBER(SEARCH(Checksheet!$BA$18,AY43)),MAX($D$1:D42)+1,"")</f>
        <v>42</v>
      </c>
      <c r="E43" t="str">
        <f t="shared" si="1"/>
        <v>Biến dạng</v>
      </c>
      <c r="F43" t="str">
        <f ca="1"/>
        <v>Biến dạng</v>
      </c>
      <c r="G43">
        <f>IF(ISNUMBER(SEARCH(Checksheet!$BA$19,AY43)),MAX($G$1:G42)+1,"")</f>
        <v>42</v>
      </c>
      <c r="H43" t="str">
        <f t="shared" si="2"/>
        <v>Biến dạng</v>
      </c>
      <c r="I43" t="str">
        <f ca="1"/>
        <v>Biến dạng</v>
      </c>
      <c r="J43">
        <f>IF(ISNUMBER(SEARCH(Checksheet!$BA$20,AY43)),MAX($J$1:J42)+1,"")</f>
        <v>42</v>
      </c>
      <c r="K43" t="str">
        <f t="shared" si="3"/>
        <v>Biến dạng</v>
      </c>
      <c r="L43" t="str">
        <f ca="1"/>
        <v>Biến dạng</v>
      </c>
      <c r="M43">
        <f>IF(ISNUMBER(SEARCH(Checksheet!$BA$21,AY43)),MAX($M$1:M42)+1,"")</f>
        <v>42</v>
      </c>
      <c r="N43" t="str">
        <f t="shared" si="4"/>
        <v>Biến dạng</v>
      </c>
      <c r="O43" t="str">
        <f ca="1"/>
        <v>Biến dạng</v>
      </c>
      <c r="P43">
        <f>IF(ISNUMBER(SEARCH(Checksheet!$BA$22,AY43)),MAX($P$1:P42)+1,"")</f>
        <v>42</v>
      </c>
      <c r="Q43" t="str">
        <f t="shared" si="5"/>
        <v>Biến dạng</v>
      </c>
      <c r="R43" t="str">
        <f ca="1"/>
        <v>Biến dạng</v>
      </c>
      <c r="S43">
        <f>IF(ISNUMBER(SEARCH(Checksheet!$BA$23,AY43)),MAX($S$1:S42)+1,"")</f>
        <v>42</v>
      </c>
      <c r="T43" t="str">
        <f t="shared" si="6"/>
        <v>Biến dạng</v>
      </c>
      <c r="U43" t="str">
        <f ca="1"/>
        <v>Biến dạng</v>
      </c>
      <c r="V43">
        <f>IF(ISNUMBER(SEARCH(Checksheet!$BA$24,AY43)),MAX($V$1:V42)+1,"")</f>
        <v>42</v>
      </c>
      <c r="W43" t="str">
        <f t="shared" si="7"/>
        <v>Biến dạng</v>
      </c>
      <c r="X43" t="str">
        <f ca="1"/>
        <v>Biến dạng</v>
      </c>
      <c r="Y43">
        <f>IF(ISNUMBER(SEARCH(Checksheet!$BA$25,AY43)),MAX($Y$1:Y42)+1,"")</f>
        <v>42</v>
      </c>
      <c r="Z43" t="str">
        <f t="shared" si="8"/>
        <v>Biến dạng</v>
      </c>
      <c r="AA43" t="str">
        <f ca="1"/>
        <v>Biến dạng</v>
      </c>
      <c r="AB43">
        <f>IF(ISNUMBER(SEARCH(Checksheet!$BA$26,AY43)),MAX($AB$1:AB42)+1,"")</f>
        <v>42</v>
      </c>
      <c r="AC43" t="str">
        <f t="shared" si="9"/>
        <v>Biến dạng</v>
      </c>
      <c r="AD43" t="str">
        <f ca="1"/>
        <v>Biến dạng</v>
      </c>
      <c r="AE43">
        <f>IF(ISNUMBER(SEARCH(Checksheet!$BA$27,AY43)),MAX($AE$1:AE42)+1,"")</f>
        <v>42</v>
      </c>
      <c r="AF43" t="str">
        <f t="shared" si="10"/>
        <v>Biến dạng</v>
      </c>
      <c r="AG43" t="str">
        <f ca="1"/>
        <v>Biến dạng</v>
      </c>
      <c r="AH43">
        <f>IF(ISNUMBER(SEARCH(Checksheet!$BA$28,AY43)),MAX($AH$1:AH42)+1,"")</f>
        <v>42</v>
      </c>
      <c r="AI43" t="str">
        <f t="shared" si="11"/>
        <v>Biến dạng</v>
      </c>
      <c r="AJ43" t="str">
        <f ca="1"/>
        <v>Biến dạng</v>
      </c>
      <c r="AK43">
        <f>IF(ISNUMBER(SEARCH(Checksheet!$BA$29,AY43)),MAX($AK$1:AK42)+1,"")</f>
        <v>42</v>
      </c>
      <c r="AL43" t="str">
        <f t="shared" si="12"/>
        <v>Biến dạng</v>
      </c>
      <c r="AM43" t="str">
        <f ca="1"/>
        <v>Biến dạng</v>
      </c>
      <c r="AN43">
        <f>IF(ISNUMBER(SEARCH(Checksheet!$BA$30,AY43)),MAX($AN$1:AN42)+1,"")</f>
        <v>42</v>
      </c>
      <c r="AO43" t="str">
        <f t="shared" si="13"/>
        <v>Biến dạng</v>
      </c>
      <c r="AP43" t="str">
        <f ca="1"/>
        <v>Biến dạng</v>
      </c>
      <c r="AQ43">
        <f>IF(ISNUMBER(SEARCH(Checksheet!$BA$31,AY43)),MAX($AQ$1:AQ42)+1,"")</f>
        <v>42</v>
      </c>
      <c r="AR43" t="str">
        <f t="shared" si="14"/>
        <v>Biến dạng</v>
      </c>
      <c r="AS43" t="str">
        <f ca="1"/>
        <v>Biến dạng</v>
      </c>
      <c r="AT43" s="156" t="s">
        <v>1361</v>
      </c>
      <c r="AU43" s="157" t="s">
        <v>1380</v>
      </c>
      <c r="AV43" s="157" t="s">
        <v>1381</v>
      </c>
      <c r="AW43" s="157"/>
      <c r="AX43" s="157"/>
      <c r="AY43" s="157" t="s">
        <v>1492</v>
      </c>
      <c r="AZ43" s="158"/>
    </row>
    <row r="44" spans="1:52">
      <c r="A44">
        <f>IF(ISNUMBER(SEARCH(Checksheet!$BA$17,AY44)),MAX($A$1:A43)+1,"")</f>
        <v>43</v>
      </c>
      <c r="B44" t="str">
        <f t="shared" si="0"/>
        <v>Hở</v>
      </c>
      <c r="C44" t="str">
        <f ca="1"/>
        <v>Hở</v>
      </c>
      <c r="D44">
        <f>IF(ISNUMBER(SEARCH(Checksheet!$BA$18,AY44)),MAX($D$1:D43)+1,"")</f>
        <v>43</v>
      </c>
      <c r="E44" t="str">
        <f t="shared" si="1"/>
        <v>Hở</v>
      </c>
      <c r="F44" t="str">
        <f ca="1"/>
        <v>Hở</v>
      </c>
      <c r="G44">
        <f>IF(ISNUMBER(SEARCH(Checksheet!$BA$19,AY44)),MAX($G$1:G43)+1,"")</f>
        <v>43</v>
      </c>
      <c r="H44" t="str">
        <f t="shared" si="2"/>
        <v>Hở</v>
      </c>
      <c r="I44" t="str">
        <f ca="1"/>
        <v>Hở</v>
      </c>
      <c r="J44">
        <f>IF(ISNUMBER(SEARCH(Checksheet!$BA$20,AY44)),MAX($J$1:J43)+1,"")</f>
        <v>43</v>
      </c>
      <c r="K44" t="str">
        <f t="shared" si="3"/>
        <v>Hở</v>
      </c>
      <c r="L44" t="str">
        <f ca="1"/>
        <v>Hở</v>
      </c>
      <c r="M44">
        <f>IF(ISNUMBER(SEARCH(Checksheet!$BA$21,AY44)),MAX($M$1:M43)+1,"")</f>
        <v>43</v>
      </c>
      <c r="N44" t="str">
        <f t="shared" si="4"/>
        <v>Hở</v>
      </c>
      <c r="O44" t="str">
        <f ca="1"/>
        <v>Hở</v>
      </c>
      <c r="P44">
        <f>IF(ISNUMBER(SEARCH(Checksheet!$BA$22,AY44)),MAX($P$1:P43)+1,"")</f>
        <v>43</v>
      </c>
      <c r="Q44" t="str">
        <f t="shared" si="5"/>
        <v>Hở</v>
      </c>
      <c r="R44" t="str">
        <f ca="1"/>
        <v>Hở</v>
      </c>
      <c r="S44">
        <f>IF(ISNUMBER(SEARCH(Checksheet!$BA$23,AY44)),MAX($S$1:S43)+1,"")</f>
        <v>43</v>
      </c>
      <c r="T44" t="str">
        <f t="shared" si="6"/>
        <v>Hở</v>
      </c>
      <c r="U44" t="str">
        <f ca="1"/>
        <v>Hở</v>
      </c>
      <c r="V44">
        <f>IF(ISNUMBER(SEARCH(Checksheet!$BA$24,AY44)),MAX($V$1:V43)+1,"")</f>
        <v>43</v>
      </c>
      <c r="W44" t="str">
        <f t="shared" si="7"/>
        <v>Hở</v>
      </c>
      <c r="X44" t="str">
        <f ca="1"/>
        <v>Hở</v>
      </c>
      <c r="Y44">
        <f>IF(ISNUMBER(SEARCH(Checksheet!$BA$25,AY44)),MAX($Y$1:Y43)+1,"")</f>
        <v>43</v>
      </c>
      <c r="Z44" t="str">
        <f t="shared" si="8"/>
        <v>Hở</v>
      </c>
      <c r="AA44" t="str">
        <f ca="1"/>
        <v>Hở</v>
      </c>
      <c r="AB44">
        <f>IF(ISNUMBER(SEARCH(Checksheet!$BA$26,AY44)),MAX($AB$1:AB43)+1,"")</f>
        <v>43</v>
      </c>
      <c r="AC44" t="str">
        <f t="shared" si="9"/>
        <v>Hở</v>
      </c>
      <c r="AD44" t="str">
        <f ca="1"/>
        <v>Hở</v>
      </c>
      <c r="AE44">
        <f>IF(ISNUMBER(SEARCH(Checksheet!$BA$27,AY44)),MAX($AE$1:AE43)+1,"")</f>
        <v>43</v>
      </c>
      <c r="AF44" t="str">
        <f t="shared" si="10"/>
        <v>Hở</v>
      </c>
      <c r="AG44" t="str">
        <f ca="1"/>
        <v>Hở</v>
      </c>
      <c r="AH44">
        <f>IF(ISNUMBER(SEARCH(Checksheet!$BA$28,AY44)),MAX($AH$1:AH43)+1,"")</f>
        <v>43</v>
      </c>
      <c r="AI44" t="str">
        <f t="shared" si="11"/>
        <v>Hở</v>
      </c>
      <c r="AJ44" t="str">
        <f ca="1"/>
        <v>Hở</v>
      </c>
      <c r="AK44">
        <f>IF(ISNUMBER(SEARCH(Checksheet!$BA$29,AY44)),MAX($AK$1:AK43)+1,"")</f>
        <v>43</v>
      </c>
      <c r="AL44" t="str">
        <f t="shared" si="12"/>
        <v>Hở</v>
      </c>
      <c r="AM44" t="str">
        <f ca="1"/>
        <v>Hở</v>
      </c>
      <c r="AN44">
        <f>IF(ISNUMBER(SEARCH(Checksheet!$BA$30,AY44)),MAX($AN$1:AN43)+1,"")</f>
        <v>43</v>
      </c>
      <c r="AO44" t="str">
        <f t="shared" si="13"/>
        <v>Hở</v>
      </c>
      <c r="AP44" t="str">
        <f ca="1"/>
        <v>Hở</v>
      </c>
      <c r="AQ44">
        <f>IF(ISNUMBER(SEARCH(Checksheet!$BA$31,AY44)),MAX($AQ$1:AQ43)+1,"")</f>
        <v>43</v>
      </c>
      <c r="AR44" t="str">
        <f t="shared" si="14"/>
        <v>Hở</v>
      </c>
      <c r="AS44" t="str">
        <f ca="1"/>
        <v>Hở</v>
      </c>
      <c r="AT44" s="156" t="s">
        <v>1361</v>
      </c>
      <c r="AU44" s="157" t="s">
        <v>1380</v>
      </c>
      <c r="AV44" s="157" t="s">
        <v>1382</v>
      </c>
      <c r="AW44" s="157"/>
      <c r="AX44" s="157"/>
      <c r="AY44" s="157" t="s">
        <v>1492</v>
      </c>
      <c r="AZ44" s="158"/>
    </row>
    <row r="45" spans="1:52">
      <c r="A45">
        <f>IF(ISNUMBER(SEARCH(Checksheet!$BA$17,AY45)),MAX($A$1:A44)+1,"")</f>
        <v>44</v>
      </c>
      <c r="B45" t="str">
        <f t="shared" si="0"/>
        <v>Others</v>
      </c>
      <c r="C45" t="str">
        <f ca="1"/>
        <v>Others</v>
      </c>
      <c r="D45">
        <f>IF(ISNUMBER(SEARCH(Checksheet!$BA$18,AY45)),MAX($D$1:D44)+1,"")</f>
        <v>44</v>
      </c>
      <c r="E45" t="str">
        <f t="shared" si="1"/>
        <v>Others</v>
      </c>
      <c r="F45" t="str">
        <f ca="1"/>
        <v>Others</v>
      </c>
      <c r="G45">
        <f>IF(ISNUMBER(SEARCH(Checksheet!$BA$19,AY45)),MAX($G$1:G44)+1,"")</f>
        <v>44</v>
      </c>
      <c r="H45" t="str">
        <f t="shared" si="2"/>
        <v>Others</v>
      </c>
      <c r="I45" t="str">
        <f ca="1"/>
        <v>Others</v>
      </c>
      <c r="J45">
        <f>IF(ISNUMBER(SEARCH(Checksheet!$BA$20,AY45)),MAX($J$1:J44)+1,"")</f>
        <v>44</v>
      </c>
      <c r="K45" t="str">
        <f t="shared" si="3"/>
        <v>Others</v>
      </c>
      <c r="L45" t="str">
        <f ca="1"/>
        <v>Others</v>
      </c>
      <c r="M45">
        <f>IF(ISNUMBER(SEARCH(Checksheet!$BA$21,AY45)),MAX($M$1:M44)+1,"")</f>
        <v>44</v>
      </c>
      <c r="N45" t="str">
        <f t="shared" si="4"/>
        <v>Others</v>
      </c>
      <c r="O45" t="str">
        <f ca="1"/>
        <v>Others</v>
      </c>
      <c r="P45">
        <f>IF(ISNUMBER(SEARCH(Checksheet!$BA$22,AY45)),MAX($P$1:P44)+1,"")</f>
        <v>44</v>
      </c>
      <c r="Q45" t="str">
        <f t="shared" si="5"/>
        <v>Others</v>
      </c>
      <c r="R45" t="str">
        <f ca="1"/>
        <v>Others</v>
      </c>
      <c r="S45">
        <f>IF(ISNUMBER(SEARCH(Checksheet!$BA$23,AY45)),MAX($S$1:S44)+1,"")</f>
        <v>44</v>
      </c>
      <c r="T45" t="str">
        <f t="shared" si="6"/>
        <v>Others</v>
      </c>
      <c r="U45" t="str">
        <f ca="1"/>
        <v>Others</v>
      </c>
      <c r="V45">
        <f>IF(ISNUMBER(SEARCH(Checksheet!$BA$24,AY45)),MAX($V$1:V44)+1,"")</f>
        <v>44</v>
      </c>
      <c r="W45" t="str">
        <f t="shared" si="7"/>
        <v>Others</v>
      </c>
      <c r="X45" t="str">
        <f ca="1"/>
        <v>Others</v>
      </c>
      <c r="Y45">
        <f>IF(ISNUMBER(SEARCH(Checksheet!$BA$25,AY45)),MAX($Y$1:Y44)+1,"")</f>
        <v>44</v>
      </c>
      <c r="Z45" t="str">
        <f t="shared" si="8"/>
        <v>Others</v>
      </c>
      <c r="AA45" t="str">
        <f ca="1"/>
        <v>Others</v>
      </c>
      <c r="AB45">
        <f>IF(ISNUMBER(SEARCH(Checksheet!$BA$26,AY45)),MAX($AB$1:AB44)+1,"")</f>
        <v>44</v>
      </c>
      <c r="AC45" t="str">
        <f t="shared" si="9"/>
        <v>Others</v>
      </c>
      <c r="AD45" t="str">
        <f ca="1"/>
        <v>Others</v>
      </c>
      <c r="AE45">
        <f>IF(ISNUMBER(SEARCH(Checksheet!$BA$27,AY45)),MAX($AE$1:AE44)+1,"")</f>
        <v>44</v>
      </c>
      <c r="AF45" t="str">
        <f t="shared" si="10"/>
        <v>Others</v>
      </c>
      <c r="AG45" t="str">
        <f ca="1"/>
        <v>Others</v>
      </c>
      <c r="AH45">
        <f>IF(ISNUMBER(SEARCH(Checksheet!$BA$28,AY45)),MAX($AH$1:AH44)+1,"")</f>
        <v>44</v>
      </c>
      <c r="AI45" t="str">
        <f t="shared" si="11"/>
        <v>Others</v>
      </c>
      <c r="AJ45" t="str">
        <f ca="1"/>
        <v>Others</v>
      </c>
      <c r="AK45">
        <f>IF(ISNUMBER(SEARCH(Checksheet!$BA$29,AY45)),MAX($AK$1:AK44)+1,"")</f>
        <v>44</v>
      </c>
      <c r="AL45" t="str">
        <f t="shared" si="12"/>
        <v>Others</v>
      </c>
      <c r="AM45" t="str">
        <f ca="1"/>
        <v>Others</v>
      </c>
      <c r="AN45">
        <f>IF(ISNUMBER(SEARCH(Checksheet!$BA$30,AY45)),MAX($AN$1:AN44)+1,"")</f>
        <v>44</v>
      </c>
      <c r="AO45" t="str">
        <f t="shared" si="13"/>
        <v>Others</v>
      </c>
      <c r="AP45" t="str">
        <f ca="1"/>
        <v>Others</v>
      </c>
      <c r="AQ45">
        <f>IF(ISNUMBER(SEARCH(Checksheet!$BA$31,AY45)),MAX($AQ$1:AQ44)+1,"")</f>
        <v>44</v>
      </c>
      <c r="AR45" t="str">
        <f t="shared" si="14"/>
        <v>Others</v>
      </c>
      <c r="AS45" t="str">
        <f ca="1"/>
        <v>Others</v>
      </c>
      <c r="AT45" s="156" t="s">
        <v>1361</v>
      </c>
      <c r="AU45" s="157" t="s">
        <v>1380</v>
      </c>
      <c r="AV45" s="157" t="s">
        <v>1219</v>
      </c>
      <c r="AW45" s="157"/>
      <c r="AX45" s="157"/>
      <c r="AY45" s="157" t="s">
        <v>1492</v>
      </c>
      <c r="AZ45" s="158"/>
    </row>
    <row r="46" spans="1:52">
      <c r="A46">
        <f>IF(ISNUMBER(SEARCH(Checksheet!$BA$17,AY46)),MAX($A$1:A45)+1,"")</f>
        <v>45</v>
      </c>
      <c r="B46" t="str">
        <f t="shared" si="0"/>
        <v>Sai vị trí</v>
      </c>
      <c r="C46" t="str">
        <f ca="1"/>
        <v>Sai vị trí</v>
      </c>
      <c r="D46">
        <f>IF(ISNUMBER(SEARCH(Checksheet!$BA$18,AY46)),MAX($D$1:D45)+1,"")</f>
        <v>45</v>
      </c>
      <c r="E46" t="str">
        <f t="shared" si="1"/>
        <v>Sai vị trí</v>
      </c>
      <c r="F46" t="str">
        <f ca="1"/>
        <v>Sai vị trí</v>
      </c>
      <c r="G46">
        <f>IF(ISNUMBER(SEARCH(Checksheet!$BA$19,AY46)),MAX($G$1:G45)+1,"")</f>
        <v>45</v>
      </c>
      <c r="H46" t="str">
        <f t="shared" si="2"/>
        <v>Sai vị trí</v>
      </c>
      <c r="I46" t="str">
        <f ca="1"/>
        <v>Sai vị trí</v>
      </c>
      <c r="J46">
        <f>IF(ISNUMBER(SEARCH(Checksheet!$BA$20,AY46)),MAX($J$1:J45)+1,"")</f>
        <v>45</v>
      </c>
      <c r="K46" t="str">
        <f t="shared" si="3"/>
        <v>Sai vị trí</v>
      </c>
      <c r="L46" t="str">
        <f ca="1"/>
        <v>Sai vị trí</v>
      </c>
      <c r="M46">
        <f>IF(ISNUMBER(SEARCH(Checksheet!$BA$21,AY46)),MAX($M$1:M45)+1,"")</f>
        <v>45</v>
      </c>
      <c r="N46" t="str">
        <f t="shared" si="4"/>
        <v>Sai vị trí</v>
      </c>
      <c r="O46" t="str">
        <f ca="1"/>
        <v>Sai vị trí</v>
      </c>
      <c r="P46">
        <f>IF(ISNUMBER(SEARCH(Checksheet!$BA$22,AY46)),MAX($P$1:P45)+1,"")</f>
        <v>45</v>
      </c>
      <c r="Q46" t="str">
        <f t="shared" si="5"/>
        <v>Sai vị trí</v>
      </c>
      <c r="R46" t="str">
        <f ca="1"/>
        <v>Sai vị trí</v>
      </c>
      <c r="S46">
        <f>IF(ISNUMBER(SEARCH(Checksheet!$BA$23,AY46)),MAX($S$1:S45)+1,"")</f>
        <v>45</v>
      </c>
      <c r="T46" t="str">
        <f t="shared" si="6"/>
        <v>Sai vị trí</v>
      </c>
      <c r="U46" t="str">
        <f ca="1"/>
        <v>Sai vị trí</v>
      </c>
      <c r="V46">
        <f>IF(ISNUMBER(SEARCH(Checksheet!$BA$24,AY46)),MAX($V$1:V45)+1,"")</f>
        <v>45</v>
      </c>
      <c r="W46" t="str">
        <f t="shared" si="7"/>
        <v>Sai vị trí</v>
      </c>
      <c r="X46" t="str">
        <f ca="1"/>
        <v>Sai vị trí</v>
      </c>
      <c r="Y46">
        <f>IF(ISNUMBER(SEARCH(Checksheet!$BA$25,AY46)),MAX($Y$1:Y45)+1,"")</f>
        <v>45</v>
      </c>
      <c r="Z46" t="str">
        <f t="shared" si="8"/>
        <v>Sai vị trí</v>
      </c>
      <c r="AA46" t="str">
        <f ca="1"/>
        <v>Sai vị trí</v>
      </c>
      <c r="AB46">
        <f>IF(ISNUMBER(SEARCH(Checksheet!$BA$26,AY46)),MAX($AB$1:AB45)+1,"")</f>
        <v>45</v>
      </c>
      <c r="AC46" t="str">
        <f t="shared" si="9"/>
        <v>Sai vị trí</v>
      </c>
      <c r="AD46" t="str">
        <f ca="1"/>
        <v>Sai vị trí</v>
      </c>
      <c r="AE46">
        <f>IF(ISNUMBER(SEARCH(Checksheet!$BA$27,AY46)),MAX($AE$1:AE45)+1,"")</f>
        <v>45</v>
      </c>
      <c r="AF46" t="str">
        <f t="shared" si="10"/>
        <v>Sai vị trí</v>
      </c>
      <c r="AG46" t="str">
        <f ca="1"/>
        <v>Sai vị trí</v>
      </c>
      <c r="AH46">
        <f>IF(ISNUMBER(SEARCH(Checksheet!$BA$28,AY46)),MAX($AH$1:AH45)+1,"")</f>
        <v>45</v>
      </c>
      <c r="AI46" t="str">
        <f t="shared" si="11"/>
        <v>Sai vị trí</v>
      </c>
      <c r="AJ46" t="str">
        <f ca="1"/>
        <v>Sai vị trí</v>
      </c>
      <c r="AK46">
        <f>IF(ISNUMBER(SEARCH(Checksheet!$BA$29,AY46)),MAX($AK$1:AK45)+1,"")</f>
        <v>45</v>
      </c>
      <c r="AL46" t="str">
        <f t="shared" si="12"/>
        <v>Sai vị trí</v>
      </c>
      <c r="AM46" t="str">
        <f ca="1"/>
        <v>Sai vị trí</v>
      </c>
      <c r="AN46">
        <f>IF(ISNUMBER(SEARCH(Checksheet!$BA$30,AY46)),MAX($AN$1:AN45)+1,"")</f>
        <v>45</v>
      </c>
      <c r="AO46" t="str">
        <f t="shared" si="13"/>
        <v>Sai vị trí</v>
      </c>
      <c r="AP46" t="str">
        <f ca="1"/>
        <v>Sai vị trí</v>
      </c>
      <c r="AQ46">
        <f>IF(ISNUMBER(SEARCH(Checksheet!$BA$31,AY46)),MAX($AQ$1:AQ45)+1,"")</f>
        <v>45</v>
      </c>
      <c r="AR46" t="str">
        <f t="shared" si="14"/>
        <v>Sai vị trí</v>
      </c>
      <c r="AS46" t="str">
        <f ca="1"/>
        <v>Sai vị trí</v>
      </c>
      <c r="AT46" s="156" t="s">
        <v>1361</v>
      </c>
      <c r="AU46" s="157" t="s">
        <v>1374</v>
      </c>
      <c r="AV46" s="157" t="s">
        <v>1375</v>
      </c>
      <c r="AW46" s="157"/>
      <c r="AX46" s="157"/>
      <c r="AY46" s="157" t="s">
        <v>1491</v>
      </c>
      <c r="AZ46" s="158"/>
    </row>
    <row r="47" spans="1:52">
      <c r="A47">
        <f>IF(ISNUMBER(SEARCH(Checksheet!$BA$17,AY47)),MAX($A$1:A46)+1,"")</f>
        <v>46</v>
      </c>
      <c r="B47" t="str">
        <f t="shared" si="0"/>
        <v>Others</v>
      </c>
      <c r="C47" t="str">
        <f ca="1"/>
        <v>Others</v>
      </c>
      <c r="D47">
        <f>IF(ISNUMBER(SEARCH(Checksheet!$BA$18,AY47)),MAX($D$1:D46)+1,"")</f>
        <v>46</v>
      </c>
      <c r="E47" t="str">
        <f t="shared" si="1"/>
        <v>Others</v>
      </c>
      <c r="F47" t="str">
        <f ca="1"/>
        <v>Others</v>
      </c>
      <c r="G47">
        <f>IF(ISNUMBER(SEARCH(Checksheet!$BA$19,AY47)),MAX($G$1:G46)+1,"")</f>
        <v>46</v>
      </c>
      <c r="H47" t="str">
        <f t="shared" si="2"/>
        <v>Others</v>
      </c>
      <c r="I47" t="str">
        <f ca="1"/>
        <v>Others</v>
      </c>
      <c r="J47">
        <f>IF(ISNUMBER(SEARCH(Checksheet!$BA$20,AY47)),MAX($J$1:J46)+1,"")</f>
        <v>46</v>
      </c>
      <c r="K47" t="str">
        <f t="shared" si="3"/>
        <v>Others</v>
      </c>
      <c r="L47" t="str">
        <f ca="1"/>
        <v>Others</v>
      </c>
      <c r="M47">
        <f>IF(ISNUMBER(SEARCH(Checksheet!$BA$21,AY47)),MAX($M$1:M46)+1,"")</f>
        <v>46</v>
      </c>
      <c r="N47" t="str">
        <f t="shared" si="4"/>
        <v>Others</v>
      </c>
      <c r="O47" t="str">
        <f ca="1"/>
        <v>Others</v>
      </c>
      <c r="P47">
        <f>IF(ISNUMBER(SEARCH(Checksheet!$BA$22,AY47)),MAX($P$1:P46)+1,"")</f>
        <v>46</v>
      </c>
      <c r="Q47" t="str">
        <f t="shared" si="5"/>
        <v>Others</v>
      </c>
      <c r="R47" t="str">
        <f ca="1"/>
        <v>Others</v>
      </c>
      <c r="S47">
        <f>IF(ISNUMBER(SEARCH(Checksheet!$BA$23,AY47)),MAX($S$1:S46)+1,"")</f>
        <v>46</v>
      </c>
      <c r="T47" t="str">
        <f t="shared" si="6"/>
        <v>Others</v>
      </c>
      <c r="U47" t="str">
        <f ca="1"/>
        <v>Others</v>
      </c>
      <c r="V47">
        <f>IF(ISNUMBER(SEARCH(Checksheet!$BA$24,AY47)),MAX($V$1:V46)+1,"")</f>
        <v>46</v>
      </c>
      <c r="W47" t="str">
        <f t="shared" si="7"/>
        <v>Others</v>
      </c>
      <c r="X47" t="str">
        <f ca="1"/>
        <v>Others</v>
      </c>
      <c r="Y47">
        <f>IF(ISNUMBER(SEARCH(Checksheet!$BA$25,AY47)),MAX($Y$1:Y46)+1,"")</f>
        <v>46</v>
      </c>
      <c r="Z47" t="str">
        <f t="shared" si="8"/>
        <v>Others</v>
      </c>
      <c r="AA47" t="str">
        <f ca="1"/>
        <v>Others</v>
      </c>
      <c r="AB47">
        <f>IF(ISNUMBER(SEARCH(Checksheet!$BA$26,AY47)),MAX($AB$1:AB46)+1,"")</f>
        <v>46</v>
      </c>
      <c r="AC47" t="str">
        <f t="shared" si="9"/>
        <v>Others</v>
      </c>
      <c r="AD47" t="str">
        <f ca="1"/>
        <v>Others</v>
      </c>
      <c r="AE47">
        <f>IF(ISNUMBER(SEARCH(Checksheet!$BA$27,AY47)),MAX($AE$1:AE46)+1,"")</f>
        <v>46</v>
      </c>
      <c r="AF47" t="str">
        <f t="shared" si="10"/>
        <v>Others</v>
      </c>
      <c r="AG47" t="str">
        <f ca="1"/>
        <v>Others</v>
      </c>
      <c r="AH47">
        <f>IF(ISNUMBER(SEARCH(Checksheet!$BA$28,AY47)),MAX($AH$1:AH46)+1,"")</f>
        <v>46</v>
      </c>
      <c r="AI47" t="str">
        <f t="shared" si="11"/>
        <v>Others</v>
      </c>
      <c r="AJ47" t="str">
        <f ca="1"/>
        <v>Others</v>
      </c>
      <c r="AK47">
        <f>IF(ISNUMBER(SEARCH(Checksheet!$BA$29,AY47)),MAX($AK$1:AK46)+1,"")</f>
        <v>46</v>
      </c>
      <c r="AL47" t="str">
        <f t="shared" si="12"/>
        <v>Others</v>
      </c>
      <c r="AM47" t="str">
        <f ca="1"/>
        <v>Others</v>
      </c>
      <c r="AN47">
        <f>IF(ISNUMBER(SEARCH(Checksheet!$BA$30,AY47)),MAX($AN$1:AN46)+1,"")</f>
        <v>46</v>
      </c>
      <c r="AO47" t="str">
        <f t="shared" si="13"/>
        <v>Others</v>
      </c>
      <c r="AP47" t="str">
        <f ca="1"/>
        <v>Others</v>
      </c>
      <c r="AQ47">
        <f>IF(ISNUMBER(SEARCH(Checksheet!$BA$31,AY47)),MAX($AQ$1:AQ46)+1,"")</f>
        <v>46</v>
      </c>
      <c r="AR47" t="str">
        <f t="shared" si="14"/>
        <v>Others</v>
      </c>
      <c r="AS47" t="str">
        <f ca="1"/>
        <v>Others</v>
      </c>
      <c r="AT47" s="156" t="s">
        <v>1361</v>
      </c>
      <c r="AU47" s="157" t="s">
        <v>1374</v>
      </c>
      <c r="AV47" s="157" t="s">
        <v>1219</v>
      </c>
      <c r="AW47" s="157"/>
      <c r="AX47" s="157"/>
      <c r="AY47" s="157" t="s">
        <v>1491</v>
      </c>
      <c r="AZ47" s="158"/>
    </row>
    <row r="48" spans="1:52">
      <c r="A48">
        <f>IF(ISNUMBER(SEARCH(Checksheet!$BA$17,AY48)),MAX($A$1:A47)+1,"")</f>
        <v>47</v>
      </c>
      <c r="B48" t="str">
        <f t="shared" si="0"/>
        <v>Sút</v>
      </c>
      <c r="C48" t="str">
        <f ca="1"/>
        <v>Sút</v>
      </c>
      <c r="D48">
        <f>IF(ISNUMBER(SEARCH(Checksheet!$BA$18,AY48)),MAX($D$1:D47)+1,"")</f>
        <v>47</v>
      </c>
      <c r="E48" t="str">
        <f t="shared" si="1"/>
        <v>Sút</v>
      </c>
      <c r="F48" t="str">
        <f ca="1"/>
        <v>Sút</v>
      </c>
      <c r="G48">
        <f>IF(ISNUMBER(SEARCH(Checksheet!$BA$19,AY48)),MAX($G$1:G47)+1,"")</f>
        <v>47</v>
      </c>
      <c r="H48" t="str">
        <f t="shared" si="2"/>
        <v>Sút</v>
      </c>
      <c r="I48" t="str">
        <f ca="1"/>
        <v>Sút</v>
      </c>
      <c r="J48">
        <f>IF(ISNUMBER(SEARCH(Checksheet!$BA$20,AY48)),MAX($J$1:J47)+1,"")</f>
        <v>47</v>
      </c>
      <c r="K48" t="str">
        <f t="shared" si="3"/>
        <v>Sút</v>
      </c>
      <c r="L48" t="str">
        <f ca="1"/>
        <v>Sút</v>
      </c>
      <c r="M48">
        <f>IF(ISNUMBER(SEARCH(Checksheet!$BA$21,AY48)),MAX($M$1:M47)+1,"")</f>
        <v>47</v>
      </c>
      <c r="N48" t="str">
        <f t="shared" si="4"/>
        <v>Sút</v>
      </c>
      <c r="O48" t="str">
        <f ca="1"/>
        <v>Sút</v>
      </c>
      <c r="P48">
        <f>IF(ISNUMBER(SEARCH(Checksheet!$BA$22,AY48)),MAX($P$1:P47)+1,"")</f>
        <v>47</v>
      </c>
      <c r="Q48" t="str">
        <f t="shared" si="5"/>
        <v>Sút</v>
      </c>
      <c r="R48" t="str">
        <f ca="1"/>
        <v>Sút</v>
      </c>
      <c r="S48">
        <f>IF(ISNUMBER(SEARCH(Checksheet!$BA$23,AY48)),MAX($S$1:S47)+1,"")</f>
        <v>47</v>
      </c>
      <c r="T48" t="str">
        <f t="shared" si="6"/>
        <v>Sút</v>
      </c>
      <c r="U48" t="str">
        <f ca="1"/>
        <v>Sút</v>
      </c>
      <c r="V48">
        <f>IF(ISNUMBER(SEARCH(Checksheet!$BA$24,AY48)),MAX($V$1:V47)+1,"")</f>
        <v>47</v>
      </c>
      <c r="W48" t="str">
        <f t="shared" si="7"/>
        <v>Sút</v>
      </c>
      <c r="X48" t="str">
        <f ca="1"/>
        <v>Sút</v>
      </c>
      <c r="Y48">
        <f>IF(ISNUMBER(SEARCH(Checksheet!$BA$25,AY48)),MAX($Y$1:Y47)+1,"")</f>
        <v>47</v>
      </c>
      <c r="Z48" t="str">
        <f t="shared" si="8"/>
        <v>Sút</v>
      </c>
      <c r="AA48" t="str">
        <f ca="1"/>
        <v>Sút</v>
      </c>
      <c r="AB48">
        <f>IF(ISNUMBER(SEARCH(Checksheet!$BA$26,AY48)),MAX($AB$1:AB47)+1,"")</f>
        <v>47</v>
      </c>
      <c r="AC48" t="str">
        <f t="shared" si="9"/>
        <v>Sút</v>
      </c>
      <c r="AD48" t="str">
        <f ca="1"/>
        <v>Sút</v>
      </c>
      <c r="AE48">
        <f>IF(ISNUMBER(SEARCH(Checksheet!$BA$27,AY48)),MAX($AE$1:AE47)+1,"")</f>
        <v>47</v>
      </c>
      <c r="AF48" t="str">
        <f t="shared" si="10"/>
        <v>Sút</v>
      </c>
      <c r="AG48" t="str">
        <f ca="1"/>
        <v>Sút</v>
      </c>
      <c r="AH48">
        <f>IF(ISNUMBER(SEARCH(Checksheet!$BA$28,AY48)),MAX($AH$1:AH47)+1,"")</f>
        <v>47</v>
      </c>
      <c r="AI48" t="str">
        <f t="shared" si="11"/>
        <v>Sút</v>
      </c>
      <c r="AJ48" t="str">
        <f ca="1"/>
        <v>Sút</v>
      </c>
      <c r="AK48">
        <f>IF(ISNUMBER(SEARCH(Checksheet!$BA$29,AY48)),MAX($AK$1:AK47)+1,"")</f>
        <v>47</v>
      </c>
      <c r="AL48" t="str">
        <f t="shared" si="12"/>
        <v>Sút</v>
      </c>
      <c r="AM48" t="str">
        <f ca="1"/>
        <v>Sút</v>
      </c>
      <c r="AN48">
        <f>IF(ISNUMBER(SEARCH(Checksheet!$BA$30,AY48)),MAX($AN$1:AN47)+1,"")</f>
        <v>47</v>
      </c>
      <c r="AO48" t="str">
        <f t="shared" si="13"/>
        <v>Sút</v>
      </c>
      <c r="AP48" t="str">
        <f ca="1"/>
        <v>Sút</v>
      </c>
      <c r="AQ48">
        <f>IF(ISNUMBER(SEARCH(Checksheet!$BA$31,AY48)),MAX($AQ$1:AQ47)+1,"")</f>
        <v>47</v>
      </c>
      <c r="AR48" t="str">
        <f t="shared" si="14"/>
        <v>Sút</v>
      </c>
      <c r="AS48" t="str">
        <f ca="1"/>
        <v>Sút</v>
      </c>
      <c r="AT48" s="156" t="s">
        <v>1361</v>
      </c>
      <c r="AU48" s="157" t="s">
        <v>1378</v>
      </c>
      <c r="AV48" s="157" t="s">
        <v>1379</v>
      </c>
      <c r="AW48" s="157"/>
      <c r="AX48" s="157"/>
      <c r="AY48" s="157" t="s">
        <v>1490</v>
      </c>
      <c r="AZ48" s="158"/>
    </row>
    <row r="49" spans="1:52">
      <c r="A49">
        <f>IF(ISNUMBER(SEARCH(Checksheet!$BA$17,AY49)),MAX($A$1:A48)+1,"")</f>
        <v>48</v>
      </c>
      <c r="B49" t="str">
        <f t="shared" si="0"/>
        <v>Others</v>
      </c>
      <c r="C49" t="str">
        <f ca="1"/>
        <v>Others</v>
      </c>
      <c r="D49">
        <f>IF(ISNUMBER(SEARCH(Checksheet!$BA$18,AY49)),MAX($D$1:D48)+1,"")</f>
        <v>48</v>
      </c>
      <c r="E49" t="str">
        <f t="shared" si="1"/>
        <v>Others</v>
      </c>
      <c r="F49" t="str">
        <f ca="1"/>
        <v>Others</v>
      </c>
      <c r="G49">
        <f>IF(ISNUMBER(SEARCH(Checksheet!$BA$19,AY49)),MAX($G$1:G48)+1,"")</f>
        <v>48</v>
      </c>
      <c r="H49" t="str">
        <f t="shared" si="2"/>
        <v>Others</v>
      </c>
      <c r="I49" t="str">
        <f ca="1"/>
        <v>Others</v>
      </c>
      <c r="J49">
        <f>IF(ISNUMBER(SEARCH(Checksheet!$BA$20,AY49)),MAX($J$1:J48)+1,"")</f>
        <v>48</v>
      </c>
      <c r="K49" t="str">
        <f t="shared" si="3"/>
        <v>Others</v>
      </c>
      <c r="L49" t="str">
        <f ca="1"/>
        <v>Others</v>
      </c>
      <c r="M49">
        <f>IF(ISNUMBER(SEARCH(Checksheet!$BA$21,AY49)),MAX($M$1:M48)+1,"")</f>
        <v>48</v>
      </c>
      <c r="N49" t="str">
        <f t="shared" si="4"/>
        <v>Others</v>
      </c>
      <c r="O49" t="str">
        <f ca="1"/>
        <v>Others</v>
      </c>
      <c r="P49">
        <f>IF(ISNUMBER(SEARCH(Checksheet!$BA$22,AY49)),MAX($P$1:P48)+1,"")</f>
        <v>48</v>
      </c>
      <c r="Q49" t="str">
        <f t="shared" si="5"/>
        <v>Others</v>
      </c>
      <c r="R49" t="str">
        <f ca="1"/>
        <v>Others</v>
      </c>
      <c r="S49">
        <f>IF(ISNUMBER(SEARCH(Checksheet!$BA$23,AY49)),MAX($S$1:S48)+1,"")</f>
        <v>48</v>
      </c>
      <c r="T49" t="str">
        <f t="shared" si="6"/>
        <v>Others</v>
      </c>
      <c r="U49" t="str">
        <f ca="1"/>
        <v>Others</v>
      </c>
      <c r="V49">
        <f>IF(ISNUMBER(SEARCH(Checksheet!$BA$24,AY49)),MAX($V$1:V48)+1,"")</f>
        <v>48</v>
      </c>
      <c r="W49" t="str">
        <f t="shared" si="7"/>
        <v>Others</v>
      </c>
      <c r="X49" t="str">
        <f ca="1"/>
        <v>Others</v>
      </c>
      <c r="Y49">
        <f>IF(ISNUMBER(SEARCH(Checksheet!$BA$25,AY49)),MAX($Y$1:Y48)+1,"")</f>
        <v>48</v>
      </c>
      <c r="Z49" t="str">
        <f t="shared" si="8"/>
        <v>Others</v>
      </c>
      <c r="AA49" t="str">
        <f ca="1"/>
        <v>Others</v>
      </c>
      <c r="AB49">
        <f>IF(ISNUMBER(SEARCH(Checksheet!$BA$26,AY49)),MAX($AB$1:AB48)+1,"")</f>
        <v>48</v>
      </c>
      <c r="AC49" t="str">
        <f t="shared" si="9"/>
        <v>Others</v>
      </c>
      <c r="AD49" t="str">
        <f ca="1"/>
        <v>Others</v>
      </c>
      <c r="AE49">
        <f>IF(ISNUMBER(SEARCH(Checksheet!$BA$27,AY49)),MAX($AE$1:AE48)+1,"")</f>
        <v>48</v>
      </c>
      <c r="AF49" t="str">
        <f t="shared" si="10"/>
        <v>Others</v>
      </c>
      <c r="AG49" t="str">
        <f ca="1"/>
        <v>Others</v>
      </c>
      <c r="AH49">
        <f>IF(ISNUMBER(SEARCH(Checksheet!$BA$28,AY49)),MAX($AH$1:AH48)+1,"")</f>
        <v>48</v>
      </c>
      <c r="AI49" t="str">
        <f t="shared" si="11"/>
        <v>Others</v>
      </c>
      <c r="AJ49" t="str">
        <f ca="1"/>
        <v>Others</v>
      </c>
      <c r="AK49">
        <f>IF(ISNUMBER(SEARCH(Checksheet!$BA$29,AY49)),MAX($AK$1:AK48)+1,"")</f>
        <v>48</v>
      </c>
      <c r="AL49" t="str">
        <f t="shared" si="12"/>
        <v>Others</v>
      </c>
      <c r="AM49" t="str">
        <f ca="1"/>
        <v>Others</v>
      </c>
      <c r="AN49">
        <f>IF(ISNUMBER(SEARCH(Checksheet!$BA$30,AY49)),MAX($AN$1:AN48)+1,"")</f>
        <v>48</v>
      </c>
      <c r="AO49" t="str">
        <f t="shared" si="13"/>
        <v>Others</v>
      </c>
      <c r="AP49" t="str">
        <f ca="1"/>
        <v>Others</v>
      </c>
      <c r="AQ49">
        <f>IF(ISNUMBER(SEARCH(Checksheet!$BA$31,AY49)),MAX($AQ$1:AQ48)+1,"")</f>
        <v>48</v>
      </c>
      <c r="AR49" t="str">
        <f t="shared" si="14"/>
        <v>Others</v>
      </c>
      <c r="AS49" t="str">
        <f ca="1"/>
        <v>Others</v>
      </c>
      <c r="AT49" s="156" t="s">
        <v>1361</v>
      </c>
      <c r="AU49" s="157" t="s">
        <v>1378</v>
      </c>
      <c r="AV49" s="157" t="s">
        <v>1219</v>
      </c>
      <c r="AW49" s="157"/>
      <c r="AX49" s="157"/>
      <c r="AY49" s="157" t="s">
        <v>1490</v>
      </c>
      <c r="AZ49" s="158"/>
    </row>
    <row r="50" spans="1:52">
      <c r="A50">
        <f>IF(ISNUMBER(SEARCH(Checksheet!$BA$17,AY50)),MAX($A$1:A49)+1,"")</f>
        <v>49</v>
      </c>
      <c r="B50" t="str">
        <f>IFERROR(INDEX($AV:$AV,MATCH(ROW()-1,$A:$A,0),1),"")</f>
        <v>Contact bị cháy コン クト焼け</v>
      </c>
      <c r="C50" t="str">
        <f ca="1"/>
        <v>Contact bị cháy コン クト焼け</v>
      </c>
      <c r="D50">
        <f>IF(ISNUMBER(SEARCH(Checksheet!$BA$18,AY50)),MAX($D$1:D49)+1,"")</f>
        <v>49</v>
      </c>
      <c r="E50" t="str">
        <f t="shared" si="1"/>
        <v>Contact bị cháy コン クト焼け</v>
      </c>
      <c r="F50" t="str">
        <f ca="1"/>
        <v>Contact bị cháy コン クト焼け</v>
      </c>
      <c r="G50">
        <f>IF(ISNUMBER(SEARCH(Checksheet!$BA$19,AY50)),MAX($G$1:G49)+1,"")</f>
        <v>49</v>
      </c>
      <c r="H50" t="str">
        <f>IFERROR(INDEX($AV:$AV,MATCH(ROW()-1,$G:$G,0),1),"")</f>
        <v>Contact bị cháy コン クト焼け</v>
      </c>
      <c r="I50" t="str">
        <f ca="1"/>
        <v>Contact bị cháy コン クト焼け</v>
      </c>
      <c r="J50">
        <f>IF(ISNUMBER(SEARCH(Checksheet!$BA$20,AY50)),MAX($J$1:J49)+1,"")</f>
        <v>49</v>
      </c>
      <c r="K50" t="str">
        <f>IFERROR(INDEX($AV:$AV,MATCH(ROW()-1,$J:$J,0),1),"")</f>
        <v>Contact bị cháy コン クト焼け</v>
      </c>
      <c r="L50" t="str">
        <f ca="1"/>
        <v>Contact bị cháy コン クト焼け</v>
      </c>
      <c r="M50">
        <f>IF(ISNUMBER(SEARCH(Checksheet!$BA$21,AY50)),MAX($M$1:M49)+1,"")</f>
        <v>49</v>
      </c>
      <c r="N50" t="str">
        <f>IFERROR(INDEX($AV:$AV,MATCH(ROW()-1,$M:$M,0),1),"")</f>
        <v>Contact bị cháy コン クト焼け</v>
      </c>
      <c r="O50" t="str">
        <f ca="1"/>
        <v>Contact bị cháy コン クト焼け</v>
      </c>
      <c r="P50">
        <f>IF(ISNUMBER(SEARCH(Checksheet!$BA$22,AY50)),MAX($P$1:P49)+1,"")</f>
        <v>49</v>
      </c>
      <c r="Q50" t="str">
        <f>IFERROR(INDEX($AV:$AV,MATCH(ROW()-1,$P:$P,0),1),"")</f>
        <v>Contact bị cháy コン クト焼け</v>
      </c>
      <c r="R50" t="str">
        <f ca="1"/>
        <v>Contact bị cháy コン クト焼け</v>
      </c>
      <c r="S50">
        <f>IF(ISNUMBER(SEARCH(Checksheet!$BA$23,AY50)),MAX($S$1:S49)+1,"")</f>
        <v>49</v>
      </c>
      <c r="T50" t="str">
        <f>IFERROR(INDEX($AV:$AV,MATCH(ROW()-1,$S:$S,0),1),"")</f>
        <v>Contact bị cháy コン クト焼け</v>
      </c>
      <c r="U50" t="str">
        <f ca="1"/>
        <v>Contact bị cháy コン クト焼け</v>
      </c>
      <c r="V50">
        <f>IF(ISNUMBER(SEARCH(Checksheet!$BA$24,AY50)),MAX($V$1:V49)+1,"")</f>
        <v>49</v>
      </c>
      <c r="W50" t="str">
        <f>IFERROR(INDEX($AV:$AV,MATCH(ROW()-1,$V:$V,0),1),"")</f>
        <v>Contact bị cháy コン クト焼け</v>
      </c>
      <c r="X50" t="str">
        <f ca="1"/>
        <v>Contact bị cháy コン クト焼け</v>
      </c>
      <c r="Y50">
        <f>IF(ISNUMBER(SEARCH(Checksheet!$BA$25,AY50)),MAX($Y$1:Y49)+1,"")</f>
        <v>49</v>
      </c>
      <c r="Z50" t="str">
        <f>IFERROR(INDEX($AV:$AV,MATCH(ROW()-1,$Y:$Y,0),1),"")</f>
        <v>Contact bị cháy コン クト焼け</v>
      </c>
      <c r="AA50" t="str">
        <f ca="1"/>
        <v>Contact bị cháy コン クト焼け</v>
      </c>
      <c r="AB50">
        <f>IF(ISNUMBER(SEARCH(Checksheet!$BA$26,AY50)),MAX($AB$1:AB49)+1,"")</f>
        <v>49</v>
      </c>
      <c r="AC50" t="str">
        <f>IFERROR(INDEX($AV:$AV,MATCH(ROW()-1,$AB:$AB,0),1),"")</f>
        <v>Contact bị cháy コン クト焼け</v>
      </c>
      <c r="AD50" t="str">
        <f ca="1"/>
        <v>Contact bị cháy コン クト焼け</v>
      </c>
      <c r="AE50">
        <f>IF(ISNUMBER(SEARCH(Checksheet!$BA$27,AY50)),MAX($AE$1:AE49)+1,"")</f>
        <v>49</v>
      </c>
      <c r="AF50" t="str">
        <f>IFERROR(INDEX($AV:$AV,MATCH(ROW()-1,$AE:$AE,0),1),"")</f>
        <v>Contact bị cháy コン クト焼け</v>
      </c>
      <c r="AG50" t="str">
        <f ca="1"/>
        <v>Contact bị cháy コン クト焼け</v>
      </c>
      <c r="AH50">
        <f>IF(ISNUMBER(SEARCH(Checksheet!$BA$28,AY50)),MAX($AH$1:AH49)+1,"")</f>
        <v>49</v>
      </c>
      <c r="AI50" t="str">
        <f>IFERROR(INDEX($AV:$AV,MATCH(ROW()-1,$AH:$AH,0),1),"")</f>
        <v>Contact bị cháy コン クト焼け</v>
      </c>
      <c r="AJ50" t="str">
        <f ca="1"/>
        <v>Contact bị cháy コン クト焼け</v>
      </c>
      <c r="AK50">
        <f>IF(ISNUMBER(SEARCH(Checksheet!$BA$29,AY50)),MAX($AK$1:AK49)+1,"")</f>
        <v>49</v>
      </c>
      <c r="AL50" t="str">
        <f t="shared" si="12"/>
        <v>Contact bị cháy コン クト焼け</v>
      </c>
      <c r="AM50" t="str">
        <f ca="1"/>
        <v>Contact bị cháy コン クト焼け</v>
      </c>
      <c r="AN50">
        <f>IF(ISNUMBER(SEARCH(Checksheet!$BA$30,AY50)),MAX($AN$1:AN49)+1,"")</f>
        <v>49</v>
      </c>
      <c r="AO50" t="str">
        <f>IFERROR(INDEX($AV:$AV,MATCH(ROW()-1,$AN:$AN,0),1),"")</f>
        <v>Contact bị cháy コン クト焼け</v>
      </c>
      <c r="AP50" t="str">
        <f ca="1"/>
        <v>Contact bị cháy コン クト焼け</v>
      </c>
      <c r="AQ50">
        <f>IF(ISNUMBER(SEARCH(Checksheet!$BA$31,AY50)),MAX($AQ$1:AQ49)+1,"")</f>
        <v>49</v>
      </c>
      <c r="AR50" t="str">
        <f>IFERROR(INDEX($AV:$AV,MATCH(ROW()-1,$AQ:$AQ,0),1),"")</f>
        <v>Contact bị cháy コン クト焼け</v>
      </c>
      <c r="AS50" t="str">
        <f ca="1"/>
        <v>Contact bị cháy コン クト焼け</v>
      </c>
      <c r="AT50" s="156" t="s">
        <v>1361</v>
      </c>
      <c r="AU50" s="157" t="s">
        <v>1389</v>
      </c>
      <c r="AV50" s="157" t="s">
        <v>1242</v>
      </c>
      <c r="AW50" s="157"/>
      <c r="AX50" s="157"/>
      <c r="AY50" s="157" t="s">
        <v>1489</v>
      </c>
      <c r="AZ50" s="158"/>
    </row>
    <row r="51" spans="1:52">
      <c r="A51">
        <f>IF(ISNUMBER(SEARCH(Checksheet!$BA$17,AY51)),MAX($A$1:A50)+1,"")</f>
        <v>50</v>
      </c>
      <c r="B51" t="str">
        <f t="shared" si="0"/>
        <v>Others</v>
      </c>
      <c r="C51" t="str">
        <f ca="1"/>
        <v>Others</v>
      </c>
      <c r="D51">
        <f>IF(ISNUMBER(SEARCH(Checksheet!$BA$18,AY51)),MAX($D$1:D50)+1,"")</f>
        <v>50</v>
      </c>
      <c r="E51" t="str">
        <f t="shared" si="1"/>
        <v>Others</v>
      </c>
      <c r="F51" t="str">
        <f ca="1"/>
        <v>Others</v>
      </c>
      <c r="G51">
        <f>IF(ISNUMBER(SEARCH(Checksheet!$BA$19,AY51)),MAX($G$1:G50)+1,"")</f>
        <v>50</v>
      </c>
      <c r="H51" t="str">
        <f t="shared" si="2"/>
        <v>Others</v>
      </c>
      <c r="I51" t="str">
        <f ca="1"/>
        <v>Others</v>
      </c>
      <c r="J51">
        <f>IF(ISNUMBER(SEARCH(Checksheet!$BA$20,AY51)),MAX($J$1:J50)+1,"")</f>
        <v>50</v>
      </c>
      <c r="K51" t="str">
        <f t="shared" si="3"/>
        <v>Others</v>
      </c>
      <c r="L51" t="str">
        <f ca="1"/>
        <v>Others</v>
      </c>
      <c r="M51">
        <f>IF(ISNUMBER(SEARCH(Checksheet!$BA$21,AY51)),MAX($M$1:M50)+1,"")</f>
        <v>50</v>
      </c>
      <c r="N51" t="str">
        <f t="shared" si="4"/>
        <v>Others</v>
      </c>
      <c r="O51" t="str">
        <f ca="1"/>
        <v>Others</v>
      </c>
      <c r="P51">
        <f>IF(ISNUMBER(SEARCH(Checksheet!$BA$22,AY51)),MAX($P$1:P50)+1,"")</f>
        <v>50</v>
      </c>
      <c r="Q51" t="str">
        <f t="shared" si="5"/>
        <v>Others</v>
      </c>
      <c r="R51" t="str">
        <f ca="1"/>
        <v>Others</v>
      </c>
      <c r="S51">
        <f>IF(ISNUMBER(SEARCH(Checksheet!$BA$23,AY51)),MAX($S$1:S50)+1,"")</f>
        <v>50</v>
      </c>
      <c r="T51" t="str">
        <f t="shared" si="6"/>
        <v>Others</v>
      </c>
      <c r="U51" t="str">
        <f ca="1"/>
        <v>Others</v>
      </c>
      <c r="V51">
        <f>IF(ISNUMBER(SEARCH(Checksheet!$BA$24,AY51)),MAX($V$1:V50)+1,"")</f>
        <v>50</v>
      </c>
      <c r="W51" t="str">
        <f t="shared" si="7"/>
        <v>Others</v>
      </c>
      <c r="X51" t="str">
        <f ca="1"/>
        <v>Others</v>
      </c>
      <c r="Y51">
        <f>IF(ISNUMBER(SEARCH(Checksheet!$BA$25,AY51)),MAX($Y$1:Y50)+1,"")</f>
        <v>50</v>
      </c>
      <c r="Z51" t="str">
        <f t="shared" si="8"/>
        <v>Others</v>
      </c>
      <c r="AA51" t="str">
        <f ca="1"/>
        <v>Others</v>
      </c>
      <c r="AB51">
        <f>IF(ISNUMBER(SEARCH(Checksheet!$BA$26,AY51)),MAX($AB$1:AB50)+1,"")</f>
        <v>50</v>
      </c>
      <c r="AC51" t="str">
        <f t="shared" si="9"/>
        <v>Others</v>
      </c>
      <c r="AD51" t="str">
        <f ca="1"/>
        <v>Others</v>
      </c>
      <c r="AE51">
        <f>IF(ISNUMBER(SEARCH(Checksheet!$BA$27,AY51)),MAX($AE$1:AE50)+1,"")</f>
        <v>50</v>
      </c>
      <c r="AF51" t="str">
        <f t="shared" si="10"/>
        <v>Others</v>
      </c>
      <c r="AG51" t="str">
        <f ca="1"/>
        <v>Others</v>
      </c>
      <c r="AH51">
        <f>IF(ISNUMBER(SEARCH(Checksheet!$BA$28,AY51)),MAX($AH$1:AH50)+1,"")</f>
        <v>50</v>
      </c>
      <c r="AI51" t="str">
        <f t="shared" si="11"/>
        <v>Others</v>
      </c>
      <c r="AJ51" t="str">
        <f ca="1"/>
        <v>Others</v>
      </c>
      <c r="AK51">
        <f>IF(ISNUMBER(SEARCH(Checksheet!$BA$29,AY51)),MAX($AK$1:AK50)+1,"")</f>
        <v>50</v>
      </c>
      <c r="AL51" t="str">
        <f t="shared" si="12"/>
        <v>Others</v>
      </c>
      <c r="AM51" t="str">
        <f ca="1"/>
        <v>Others</v>
      </c>
      <c r="AN51">
        <f>IF(ISNUMBER(SEARCH(Checksheet!$BA$30,AY51)),MAX($AN$1:AN50)+1,"")</f>
        <v>50</v>
      </c>
      <c r="AO51" t="str">
        <f t="shared" si="13"/>
        <v>Others</v>
      </c>
      <c r="AP51" t="str">
        <f ca="1"/>
        <v>Others</v>
      </c>
      <c r="AQ51">
        <f>IF(ISNUMBER(SEARCH(Checksheet!$BA$31,AY51)),MAX($AQ$1:AQ50)+1,"")</f>
        <v>50</v>
      </c>
      <c r="AR51" t="str">
        <f t="shared" si="14"/>
        <v>Others</v>
      </c>
      <c r="AS51" t="str">
        <f ca="1"/>
        <v>Others</v>
      </c>
      <c r="AT51" s="156" t="s">
        <v>1361</v>
      </c>
      <c r="AU51" s="157" t="s">
        <v>1219</v>
      </c>
      <c r="AV51" s="157" t="s">
        <v>1219</v>
      </c>
      <c r="AW51" s="157"/>
      <c r="AX51" s="157"/>
      <c r="AY51" s="157" t="s">
        <v>1485</v>
      </c>
      <c r="AZ51" s="158"/>
    </row>
    <row r="52" spans="1:52">
      <c r="A52">
        <f>IF(ISNUMBER(SEARCH(Checksheet!$BA$17,AY52)),MAX($A$1:A51)+1,"")</f>
        <v>51</v>
      </c>
      <c r="B52" t="str">
        <f t="shared" si="0"/>
        <v>Ngược nút bọc</v>
      </c>
      <c r="C52" t="str">
        <f ca="1"/>
        <v>Ngược nút bọc</v>
      </c>
      <c r="D52">
        <f>IF(ISNUMBER(SEARCH(Checksheet!$BA$18,AY52)),MAX($D$1:D51)+1,"")</f>
        <v>51</v>
      </c>
      <c r="E52" t="str">
        <f t="shared" si="1"/>
        <v>Ngược nút bọc</v>
      </c>
      <c r="F52" t="str">
        <f ca="1"/>
        <v>Ngược nút bọc</v>
      </c>
      <c r="G52">
        <f>IF(ISNUMBER(SEARCH(Checksheet!$BA$19,AY52)),MAX($G$1:G51)+1,"")</f>
        <v>51</v>
      </c>
      <c r="H52" t="str">
        <f t="shared" si="2"/>
        <v>Ngược nút bọc</v>
      </c>
      <c r="I52" t="str">
        <f ca="1"/>
        <v>Ngược nút bọc</v>
      </c>
      <c r="J52">
        <f>IF(ISNUMBER(SEARCH(Checksheet!$BA$20,AY52)),MAX($J$1:J51)+1,"")</f>
        <v>51</v>
      </c>
      <c r="K52" t="str">
        <f t="shared" si="3"/>
        <v>Ngược nút bọc</v>
      </c>
      <c r="L52" t="str">
        <f ca="1"/>
        <v>Ngược nút bọc</v>
      </c>
      <c r="M52">
        <f>IF(ISNUMBER(SEARCH(Checksheet!$BA$21,AY52)),MAX($M$1:M51)+1,"")</f>
        <v>51</v>
      </c>
      <c r="N52" t="str">
        <f t="shared" si="4"/>
        <v>Ngược nút bọc</v>
      </c>
      <c r="O52" t="str">
        <f ca="1"/>
        <v>Ngược nút bọc</v>
      </c>
      <c r="P52">
        <f>IF(ISNUMBER(SEARCH(Checksheet!$BA$22,AY52)),MAX($P$1:P51)+1,"")</f>
        <v>51</v>
      </c>
      <c r="Q52" t="str">
        <f t="shared" si="5"/>
        <v>Ngược nút bọc</v>
      </c>
      <c r="R52" t="str">
        <f ca="1"/>
        <v>Ngược nút bọc</v>
      </c>
      <c r="S52">
        <f>IF(ISNUMBER(SEARCH(Checksheet!$BA$23,AY52)),MAX($S$1:S51)+1,"")</f>
        <v>51</v>
      </c>
      <c r="T52" t="str">
        <f t="shared" si="6"/>
        <v>Ngược nút bọc</v>
      </c>
      <c r="U52" t="str">
        <f ca="1"/>
        <v>Ngược nút bọc</v>
      </c>
      <c r="V52">
        <f>IF(ISNUMBER(SEARCH(Checksheet!$BA$24,AY52)),MAX($V$1:V51)+1,"")</f>
        <v>51</v>
      </c>
      <c r="W52" t="str">
        <f t="shared" si="7"/>
        <v>Ngược nút bọc</v>
      </c>
      <c r="X52" t="str">
        <f ca="1"/>
        <v>Ngược nút bọc</v>
      </c>
      <c r="Y52">
        <f>IF(ISNUMBER(SEARCH(Checksheet!$BA$25,AY52)),MAX($Y$1:Y51)+1,"")</f>
        <v>51</v>
      </c>
      <c r="Z52" t="str">
        <f t="shared" si="8"/>
        <v>Ngược nút bọc</v>
      </c>
      <c r="AA52" t="str">
        <f ca="1"/>
        <v>Ngược nút bọc</v>
      </c>
      <c r="AB52">
        <f>IF(ISNUMBER(SEARCH(Checksheet!$BA$26,AY52)),MAX($AB$1:AB51)+1,"")</f>
        <v>51</v>
      </c>
      <c r="AC52" t="str">
        <f t="shared" si="9"/>
        <v>Ngược nút bọc</v>
      </c>
      <c r="AD52" t="str">
        <f ca="1"/>
        <v>Ngược nút bọc</v>
      </c>
      <c r="AE52">
        <f>IF(ISNUMBER(SEARCH(Checksheet!$BA$27,AY52)),MAX($AE$1:AE51)+1,"")</f>
        <v>51</v>
      </c>
      <c r="AF52" t="str">
        <f t="shared" si="10"/>
        <v>Ngược nút bọc</v>
      </c>
      <c r="AG52" t="str">
        <f ca="1"/>
        <v>Ngược nút bọc</v>
      </c>
      <c r="AH52">
        <f>IF(ISNUMBER(SEARCH(Checksheet!$BA$28,AY52)),MAX($AH$1:AH51)+1,"")</f>
        <v>51</v>
      </c>
      <c r="AI52" t="str">
        <f t="shared" si="11"/>
        <v>Ngược nút bọc</v>
      </c>
      <c r="AJ52" t="str">
        <f ca="1"/>
        <v>Ngược nút bọc</v>
      </c>
      <c r="AK52">
        <f>IF(ISNUMBER(SEARCH(Checksheet!$BA$29,AY52)),MAX($AK$1:AK51)+1,"")</f>
        <v>51</v>
      </c>
      <c r="AL52" t="str">
        <f t="shared" si="12"/>
        <v>Ngược nút bọc</v>
      </c>
      <c r="AM52" t="str">
        <f ca="1"/>
        <v>Ngược nút bọc</v>
      </c>
      <c r="AN52">
        <f>IF(ISNUMBER(SEARCH(Checksheet!$BA$30,AY52)),MAX($AN$1:AN51)+1,"")</f>
        <v>51</v>
      </c>
      <c r="AO52" t="str">
        <f t="shared" si="13"/>
        <v>Ngược nút bọc</v>
      </c>
      <c r="AP52" t="str">
        <f ca="1"/>
        <v>Ngược nút bọc</v>
      </c>
      <c r="AQ52">
        <f>IF(ISNUMBER(SEARCH(Checksheet!$BA$31,AY52)),MAX($AQ$1:AQ51)+1,"")</f>
        <v>51</v>
      </c>
      <c r="AR52" t="str">
        <f t="shared" si="14"/>
        <v>Ngược nút bọc</v>
      </c>
      <c r="AS52" t="str">
        <f ca="1"/>
        <v>Ngược nút bọc</v>
      </c>
      <c r="AT52" s="156" t="s">
        <v>1361</v>
      </c>
      <c r="AU52" s="157" t="s">
        <v>1371</v>
      </c>
      <c r="AV52" s="157" t="s">
        <v>1448</v>
      </c>
      <c r="AW52" s="157"/>
      <c r="AX52" s="157"/>
      <c r="AY52" s="157" t="s">
        <v>1488</v>
      </c>
      <c r="AZ52" s="158"/>
    </row>
    <row r="53" spans="1:52">
      <c r="A53">
        <f>IF(ISNUMBER(SEARCH(Checksheet!$BA$17,AY53)),MAX($A$1:A52)+1,"")</f>
        <v>52</v>
      </c>
      <c r="B53" t="str">
        <f t="shared" si="0"/>
        <v>Others</v>
      </c>
      <c r="C53" t="str">
        <f ca="1"/>
        <v>Others</v>
      </c>
      <c r="D53">
        <f>IF(ISNUMBER(SEARCH(Checksheet!$BA$18,AY53)),MAX($D$1:D52)+1,"")</f>
        <v>52</v>
      </c>
      <c r="E53" t="str">
        <f t="shared" si="1"/>
        <v>Others</v>
      </c>
      <c r="F53" t="str">
        <f ca="1"/>
        <v>Others</v>
      </c>
      <c r="G53">
        <f>IF(ISNUMBER(SEARCH(Checksheet!$BA$19,AY53)),MAX($G$1:G52)+1,"")</f>
        <v>52</v>
      </c>
      <c r="H53" t="str">
        <f t="shared" si="2"/>
        <v>Others</v>
      </c>
      <c r="I53" t="str">
        <f ca="1"/>
        <v>Others</v>
      </c>
      <c r="J53">
        <f>IF(ISNUMBER(SEARCH(Checksheet!$BA$20,AY53)),MAX($J$1:J52)+1,"")</f>
        <v>52</v>
      </c>
      <c r="K53" t="str">
        <f t="shared" si="3"/>
        <v>Others</v>
      </c>
      <c r="L53" t="str">
        <f ca="1"/>
        <v>Others</v>
      </c>
      <c r="M53">
        <f>IF(ISNUMBER(SEARCH(Checksheet!$BA$21,AY53)),MAX($M$1:M52)+1,"")</f>
        <v>52</v>
      </c>
      <c r="N53" t="str">
        <f t="shared" si="4"/>
        <v>Others</v>
      </c>
      <c r="O53" t="str">
        <f ca="1"/>
        <v>Others</v>
      </c>
      <c r="P53">
        <f>IF(ISNUMBER(SEARCH(Checksheet!$BA$22,AY53)),MAX($P$1:P52)+1,"")</f>
        <v>52</v>
      </c>
      <c r="Q53" t="str">
        <f t="shared" si="5"/>
        <v>Others</v>
      </c>
      <c r="R53" t="str">
        <f ca="1"/>
        <v>Others</v>
      </c>
      <c r="S53">
        <f>IF(ISNUMBER(SEARCH(Checksheet!$BA$23,AY53)),MAX($S$1:S52)+1,"")</f>
        <v>52</v>
      </c>
      <c r="T53" t="str">
        <f t="shared" si="6"/>
        <v>Others</v>
      </c>
      <c r="U53" t="str">
        <f ca="1"/>
        <v>Others</v>
      </c>
      <c r="V53">
        <f>IF(ISNUMBER(SEARCH(Checksheet!$BA$24,AY53)),MAX($V$1:V52)+1,"")</f>
        <v>52</v>
      </c>
      <c r="W53" t="str">
        <f t="shared" si="7"/>
        <v>Others</v>
      </c>
      <c r="X53" t="str">
        <f ca="1"/>
        <v>Others</v>
      </c>
      <c r="Y53">
        <f>IF(ISNUMBER(SEARCH(Checksheet!$BA$25,AY53)),MAX($Y$1:Y52)+1,"")</f>
        <v>52</v>
      </c>
      <c r="Z53" t="str">
        <f t="shared" si="8"/>
        <v>Others</v>
      </c>
      <c r="AA53" t="str">
        <f ca="1"/>
        <v>Others</v>
      </c>
      <c r="AB53">
        <f>IF(ISNUMBER(SEARCH(Checksheet!$BA$26,AY53)),MAX($AB$1:AB52)+1,"")</f>
        <v>52</v>
      </c>
      <c r="AC53" t="str">
        <f t="shared" si="9"/>
        <v>Others</v>
      </c>
      <c r="AD53" t="str">
        <f ca="1"/>
        <v>Others</v>
      </c>
      <c r="AE53">
        <f>IF(ISNUMBER(SEARCH(Checksheet!$BA$27,AY53)),MAX($AE$1:AE52)+1,"")</f>
        <v>52</v>
      </c>
      <c r="AF53" t="str">
        <f t="shared" si="10"/>
        <v>Others</v>
      </c>
      <c r="AG53" t="str">
        <f ca="1"/>
        <v>Others</v>
      </c>
      <c r="AH53">
        <f>IF(ISNUMBER(SEARCH(Checksheet!$BA$28,AY53)),MAX($AH$1:AH52)+1,"")</f>
        <v>52</v>
      </c>
      <c r="AI53" t="str">
        <f t="shared" si="11"/>
        <v>Others</v>
      </c>
      <c r="AJ53" t="str">
        <f ca="1"/>
        <v>Others</v>
      </c>
      <c r="AK53">
        <f>IF(ISNUMBER(SEARCH(Checksheet!$BA$29,AY53)),MAX($AK$1:AK52)+1,"")</f>
        <v>52</v>
      </c>
      <c r="AL53" t="str">
        <f t="shared" si="12"/>
        <v>Others</v>
      </c>
      <c r="AM53" t="str">
        <f ca="1"/>
        <v>Others</v>
      </c>
      <c r="AN53">
        <f>IF(ISNUMBER(SEARCH(Checksheet!$BA$30,AY53)),MAX($AN$1:AN52)+1,"")</f>
        <v>52</v>
      </c>
      <c r="AO53" t="str">
        <f t="shared" si="13"/>
        <v>Others</v>
      </c>
      <c r="AP53" t="str">
        <f ca="1"/>
        <v>Others</v>
      </c>
      <c r="AQ53">
        <f>IF(ISNUMBER(SEARCH(Checksheet!$BA$31,AY53)),MAX($AQ$1:AQ52)+1,"")</f>
        <v>52</v>
      </c>
      <c r="AR53" t="str">
        <f t="shared" si="14"/>
        <v>Others</v>
      </c>
      <c r="AS53" t="str">
        <f ca="1"/>
        <v>Others</v>
      </c>
      <c r="AT53" s="156" t="s">
        <v>1361</v>
      </c>
      <c r="AU53" s="157" t="s">
        <v>1371</v>
      </c>
      <c r="AV53" s="157" t="s">
        <v>1219</v>
      </c>
      <c r="AW53" s="157"/>
      <c r="AX53" s="157"/>
      <c r="AY53" s="157" t="s">
        <v>1488</v>
      </c>
      <c r="AZ53" s="158"/>
    </row>
    <row r="54" spans="1:52">
      <c r="A54">
        <f>IF(ISNUMBER(SEARCH(Checksheet!$BA$17,AY54)),MAX($A$1:A53)+1,"")</f>
        <v>53</v>
      </c>
      <c r="B54" t="str">
        <f t="shared" si="0"/>
        <v>Ngược Diode</v>
      </c>
      <c r="C54" t="str">
        <f ca="1"/>
        <v>Ngược Diode</v>
      </c>
      <c r="D54">
        <f>IF(ISNUMBER(SEARCH(Checksheet!$BA$18,AY54)),MAX($D$1:D53)+1,"")</f>
        <v>53</v>
      </c>
      <c r="E54" t="str">
        <f t="shared" si="1"/>
        <v>Ngược Diode</v>
      </c>
      <c r="F54" t="str">
        <f ca="1"/>
        <v>Ngược Diode</v>
      </c>
      <c r="G54">
        <f>IF(ISNUMBER(SEARCH(Checksheet!$BA$19,AY54)),MAX($G$1:G53)+1,"")</f>
        <v>53</v>
      </c>
      <c r="H54" t="str">
        <f t="shared" si="2"/>
        <v>Ngược Diode</v>
      </c>
      <c r="I54" t="str">
        <f ca="1"/>
        <v>Ngược Diode</v>
      </c>
      <c r="J54">
        <f>IF(ISNUMBER(SEARCH(Checksheet!$BA$20,AY54)),MAX($J$1:J53)+1,"")</f>
        <v>53</v>
      </c>
      <c r="K54" t="str">
        <f t="shared" si="3"/>
        <v>Ngược Diode</v>
      </c>
      <c r="L54" t="str">
        <f ca="1"/>
        <v>Ngược Diode</v>
      </c>
      <c r="M54">
        <f>IF(ISNUMBER(SEARCH(Checksheet!$BA$21,AY54)),MAX($M$1:M53)+1,"")</f>
        <v>53</v>
      </c>
      <c r="N54" t="str">
        <f t="shared" si="4"/>
        <v>Ngược Diode</v>
      </c>
      <c r="O54" t="str">
        <f ca="1"/>
        <v>Ngược Diode</v>
      </c>
      <c r="P54">
        <f>IF(ISNUMBER(SEARCH(Checksheet!$BA$22,AY54)),MAX($P$1:P53)+1,"")</f>
        <v>53</v>
      </c>
      <c r="Q54" t="str">
        <f t="shared" si="5"/>
        <v>Ngược Diode</v>
      </c>
      <c r="R54" t="str">
        <f ca="1"/>
        <v>Ngược Diode</v>
      </c>
      <c r="S54">
        <f>IF(ISNUMBER(SEARCH(Checksheet!$BA$23,AY54)),MAX($S$1:S53)+1,"")</f>
        <v>53</v>
      </c>
      <c r="T54" t="str">
        <f t="shared" si="6"/>
        <v>Ngược Diode</v>
      </c>
      <c r="U54" t="str">
        <f ca="1"/>
        <v>Ngược Diode</v>
      </c>
      <c r="V54">
        <f>IF(ISNUMBER(SEARCH(Checksheet!$BA$24,AY54)),MAX($V$1:V53)+1,"")</f>
        <v>53</v>
      </c>
      <c r="W54" t="str">
        <f t="shared" si="7"/>
        <v>Ngược Diode</v>
      </c>
      <c r="X54" t="str">
        <f ca="1"/>
        <v>Ngược Diode</v>
      </c>
      <c r="Y54">
        <f>IF(ISNUMBER(SEARCH(Checksheet!$BA$25,AY54)),MAX($Y$1:Y53)+1,"")</f>
        <v>53</v>
      </c>
      <c r="Z54" t="str">
        <f t="shared" si="8"/>
        <v>Ngược Diode</v>
      </c>
      <c r="AA54" t="str">
        <f ca="1"/>
        <v>Ngược Diode</v>
      </c>
      <c r="AB54">
        <f>IF(ISNUMBER(SEARCH(Checksheet!$BA$26,AY54)),MAX($AB$1:AB53)+1,"")</f>
        <v>53</v>
      </c>
      <c r="AC54" t="str">
        <f t="shared" si="9"/>
        <v>Ngược Diode</v>
      </c>
      <c r="AD54" t="str">
        <f ca="1"/>
        <v>Ngược Diode</v>
      </c>
      <c r="AE54">
        <f>IF(ISNUMBER(SEARCH(Checksheet!$BA$27,AY54)),MAX($AE$1:AE53)+1,"")</f>
        <v>53</v>
      </c>
      <c r="AF54" t="str">
        <f t="shared" si="10"/>
        <v>Ngược Diode</v>
      </c>
      <c r="AG54" t="str">
        <f ca="1"/>
        <v>Ngược Diode</v>
      </c>
      <c r="AH54">
        <f>IF(ISNUMBER(SEARCH(Checksheet!$BA$28,AY54)),MAX($AH$1:AH53)+1,"")</f>
        <v>53</v>
      </c>
      <c r="AI54" t="str">
        <f t="shared" si="11"/>
        <v>Ngược Diode</v>
      </c>
      <c r="AJ54" t="str">
        <f ca="1"/>
        <v>Ngược Diode</v>
      </c>
      <c r="AK54">
        <f>IF(ISNUMBER(SEARCH(Checksheet!$BA$29,AY54)),MAX($AK$1:AK53)+1,"")</f>
        <v>53</v>
      </c>
      <c r="AL54" t="str">
        <f t="shared" si="12"/>
        <v>Ngược Diode</v>
      </c>
      <c r="AM54" t="str">
        <f ca="1"/>
        <v>Ngược Diode</v>
      </c>
      <c r="AN54">
        <f>IF(ISNUMBER(SEARCH(Checksheet!$BA$30,AY54)),MAX($AN$1:AN53)+1,"")</f>
        <v>53</v>
      </c>
      <c r="AO54" t="str">
        <f t="shared" si="13"/>
        <v>Ngược Diode</v>
      </c>
      <c r="AP54" t="str">
        <f ca="1"/>
        <v>Ngược Diode</v>
      </c>
      <c r="AQ54">
        <f>IF(ISNUMBER(SEARCH(Checksheet!$BA$31,AY54)),MAX($AQ$1:AQ53)+1,"")</f>
        <v>53</v>
      </c>
      <c r="AR54" t="str">
        <f t="shared" si="14"/>
        <v>Ngược Diode</v>
      </c>
      <c r="AS54" t="str">
        <f ca="1"/>
        <v>Ngược Diode</v>
      </c>
      <c r="AT54" s="156" t="s">
        <v>1361</v>
      </c>
      <c r="AU54" s="157" t="s">
        <v>1395</v>
      </c>
      <c r="AV54" s="157" t="s">
        <v>1449</v>
      </c>
      <c r="AW54" s="157"/>
      <c r="AX54" s="157"/>
      <c r="AY54" s="157" t="s">
        <v>1487</v>
      </c>
      <c r="AZ54" s="158"/>
    </row>
    <row r="55" spans="1:52">
      <c r="A55">
        <f>IF(ISNUMBER(SEARCH(Checksheet!$BA$17,AY55)),MAX($A$1:A54)+1,"")</f>
        <v>54</v>
      </c>
      <c r="B55" t="str">
        <f t="shared" si="0"/>
        <v>Others</v>
      </c>
      <c r="C55" t="str">
        <f ca="1"/>
        <v>Others</v>
      </c>
      <c r="D55">
        <f>IF(ISNUMBER(SEARCH(Checksheet!$BA$18,AY55)),MAX($D$1:D54)+1,"")</f>
        <v>54</v>
      </c>
      <c r="E55" t="str">
        <f t="shared" si="1"/>
        <v>Others</v>
      </c>
      <c r="F55" t="str">
        <f ca="1"/>
        <v>Others</v>
      </c>
      <c r="G55">
        <f>IF(ISNUMBER(SEARCH(Checksheet!$BA$19,AY55)),MAX($G$1:G54)+1,"")</f>
        <v>54</v>
      </c>
      <c r="H55" t="str">
        <f t="shared" si="2"/>
        <v>Others</v>
      </c>
      <c r="I55" t="str">
        <f ca="1"/>
        <v>Others</v>
      </c>
      <c r="J55">
        <f>IF(ISNUMBER(SEARCH(Checksheet!$BA$20,AY55)),MAX($J$1:J54)+1,"")</f>
        <v>54</v>
      </c>
      <c r="K55" t="str">
        <f t="shared" si="3"/>
        <v>Others</v>
      </c>
      <c r="L55" t="str">
        <f ca="1"/>
        <v>Others</v>
      </c>
      <c r="M55">
        <f>IF(ISNUMBER(SEARCH(Checksheet!$BA$21,AY55)),MAX($M$1:M54)+1,"")</f>
        <v>54</v>
      </c>
      <c r="N55" t="str">
        <f t="shared" si="4"/>
        <v>Others</v>
      </c>
      <c r="O55" t="str">
        <f ca="1"/>
        <v>Others</v>
      </c>
      <c r="P55">
        <f>IF(ISNUMBER(SEARCH(Checksheet!$BA$22,AY55)),MAX($P$1:P54)+1,"")</f>
        <v>54</v>
      </c>
      <c r="Q55" t="str">
        <f t="shared" si="5"/>
        <v>Others</v>
      </c>
      <c r="R55" t="str">
        <f ca="1"/>
        <v>Others</v>
      </c>
      <c r="S55">
        <f>IF(ISNUMBER(SEARCH(Checksheet!$BA$23,AY55)),MAX($S$1:S54)+1,"")</f>
        <v>54</v>
      </c>
      <c r="T55" t="str">
        <f t="shared" si="6"/>
        <v>Others</v>
      </c>
      <c r="U55" t="str">
        <f ca="1"/>
        <v>Others</v>
      </c>
      <c r="V55">
        <f>IF(ISNUMBER(SEARCH(Checksheet!$BA$24,AY55)),MAX($V$1:V54)+1,"")</f>
        <v>54</v>
      </c>
      <c r="W55" t="str">
        <f t="shared" si="7"/>
        <v>Others</v>
      </c>
      <c r="X55" t="str">
        <f ca="1"/>
        <v>Others</v>
      </c>
      <c r="Y55">
        <f>IF(ISNUMBER(SEARCH(Checksheet!$BA$25,AY55)),MAX($Y$1:Y54)+1,"")</f>
        <v>54</v>
      </c>
      <c r="Z55" t="str">
        <f t="shared" si="8"/>
        <v>Others</v>
      </c>
      <c r="AA55" t="str">
        <f ca="1"/>
        <v>Others</v>
      </c>
      <c r="AB55">
        <f>IF(ISNUMBER(SEARCH(Checksheet!$BA$26,AY55)),MAX($AB$1:AB54)+1,"")</f>
        <v>54</v>
      </c>
      <c r="AC55" t="str">
        <f t="shared" si="9"/>
        <v>Others</v>
      </c>
      <c r="AD55" t="str">
        <f ca="1"/>
        <v>Others</v>
      </c>
      <c r="AE55">
        <f>IF(ISNUMBER(SEARCH(Checksheet!$BA$27,AY55)),MAX($AE$1:AE54)+1,"")</f>
        <v>54</v>
      </c>
      <c r="AF55" t="str">
        <f t="shared" si="10"/>
        <v>Others</v>
      </c>
      <c r="AG55" t="str">
        <f ca="1"/>
        <v>Others</v>
      </c>
      <c r="AH55">
        <f>IF(ISNUMBER(SEARCH(Checksheet!$BA$28,AY55)),MAX($AH$1:AH54)+1,"")</f>
        <v>54</v>
      </c>
      <c r="AI55" t="str">
        <f t="shared" si="11"/>
        <v>Others</v>
      </c>
      <c r="AJ55" t="str">
        <f ca="1"/>
        <v>Others</v>
      </c>
      <c r="AK55">
        <f>IF(ISNUMBER(SEARCH(Checksheet!$BA$29,AY55)),MAX($AK$1:AK54)+1,"")</f>
        <v>54</v>
      </c>
      <c r="AL55" t="str">
        <f t="shared" si="12"/>
        <v>Others</v>
      </c>
      <c r="AM55" t="str">
        <f ca="1"/>
        <v>Others</v>
      </c>
      <c r="AN55">
        <f>IF(ISNUMBER(SEARCH(Checksheet!$BA$30,AY55)),MAX($AN$1:AN54)+1,"")</f>
        <v>54</v>
      </c>
      <c r="AO55" t="str">
        <f t="shared" si="13"/>
        <v>Others</v>
      </c>
      <c r="AP55" t="str">
        <f ca="1"/>
        <v>Others</v>
      </c>
      <c r="AQ55">
        <f>IF(ISNUMBER(SEARCH(Checksheet!$BA$31,AY55)),MAX($AQ$1:AQ54)+1,"")</f>
        <v>54</v>
      </c>
      <c r="AR55" t="str">
        <f t="shared" si="14"/>
        <v>Others</v>
      </c>
      <c r="AS55" t="str">
        <f ca="1"/>
        <v>Others</v>
      </c>
      <c r="AT55" s="156" t="s">
        <v>1361</v>
      </c>
      <c r="AU55" s="157" t="s">
        <v>1395</v>
      </c>
      <c r="AV55" s="157" t="s">
        <v>1219</v>
      </c>
      <c r="AW55" s="157"/>
      <c r="AX55" s="157"/>
      <c r="AY55" s="157" t="s">
        <v>1487</v>
      </c>
      <c r="AZ55" s="158"/>
    </row>
    <row r="56" spans="1:52">
      <c r="A56">
        <f>IF(ISNUMBER(SEARCH(Checksheet!$BA$17,AY56)),MAX($A$1:A55)+1,"")</f>
        <v>55</v>
      </c>
      <c r="B56" t="str">
        <f t="shared" si="0"/>
        <v>Bk không đạt</v>
      </c>
      <c r="C56" t="str">
        <f ca="1"/>
        <v>Bk không đạt</v>
      </c>
      <c r="D56">
        <f>IF(ISNUMBER(SEARCH(Checksheet!$BA$18,AY56)),MAX($D$1:D55)+1,"")</f>
        <v>55</v>
      </c>
      <c r="E56" t="str">
        <f t="shared" si="1"/>
        <v>Bk không đạt</v>
      </c>
      <c r="F56" t="str">
        <f ca="1"/>
        <v>Bk không đạt</v>
      </c>
      <c r="G56">
        <f>IF(ISNUMBER(SEARCH(Checksheet!$BA$19,AY56)),MAX($G$1:G55)+1,"")</f>
        <v>55</v>
      </c>
      <c r="H56" t="str">
        <f t="shared" si="2"/>
        <v>Bk không đạt</v>
      </c>
      <c r="I56" t="str">
        <f ca="1"/>
        <v>Bk không đạt</v>
      </c>
      <c r="J56">
        <f>IF(ISNUMBER(SEARCH(Checksheet!$BA$20,AY56)),MAX($J$1:J55)+1,"")</f>
        <v>55</v>
      </c>
      <c r="K56" t="str">
        <f t="shared" si="3"/>
        <v>Bk không đạt</v>
      </c>
      <c r="L56" t="str">
        <f ca="1"/>
        <v>Bk không đạt</v>
      </c>
      <c r="M56">
        <f>IF(ISNUMBER(SEARCH(Checksheet!$BA$21,AY56)),MAX($M$1:M55)+1,"")</f>
        <v>55</v>
      </c>
      <c r="N56" t="str">
        <f t="shared" si="4"/>
        <v>Bk không đạt</v>
      </c>
      <c r="O56" t="str">
        <f ca="1"/>
        <v>Bk không đạt</v>
      </c>
      <c r="P56">
        <f>IF(ISNUMBER(SEARCH(Checksheet!$BA$22,AY56)),MAX($P$1:P55)+1,"")</f>
        <v>55</v>
      </c>
      <c r="Q56" t="str">
        <f t="shared" si="5"/>
        <v>Bk không đạt</v>
      </c>
      <c r="R56" t="str">
        <f ca="1"/>
        <v>Bk không đạt</v>
      </c>
      <c r="S56">
        <f>IF(ISNUMBER(SEARCH(Checksheet!$BA$23,AY56)),MAX($S$1:S55)+1,"")</f>
        <v>55</v>
      </c>
      <c r="T56" t="str">
        <f t="shared" si="6"/>
        <v>Bk không đạt</v>
      </c>
      <c r="U56" t="str">
        <f ca="1"/>
        <v>Bk không đạt</v>
      </c>
      <c r="V56">
        <f>IF(ISNUMBER(SEARCH(Checksheet!$BA$24,AY56)),MAX($V$1:V55)+1,"")</f>
        <v>55</v>
      </c>
      <c r="W56" t="str">
        <f t="shared" si="7"/>
        <v>Bk không đạt</v>
      </c>
      <c r="X56" t="str">
        <f ca="1"/>
        <v>Bk không đạt</v>
      </c>
      <c r="Y56">
        <f>IF(ISNUMBER(SEARCH(Checksheet!$BA$25,AY56)),MAX($Y$1:Y55)+1,"")</f>
        <v>55</v>
      </c>
      <c r="Z56" t="str">
        <f t="shared" si="8"/>
        <v>Bk không đạt</v>
      </c>
      <c r="AA56" t="str">
        <f ca="1"/>
        <v>Bk không đạt</v>
      </c>
      <c r="AB56">
        <f>IF(ISNUMBER(SEARCH(Checksheet!$BA$26,AY56)),MAX($AB$1:AB55)+1,"")</f>
        <v>55</v>
      </c>
      <c r="AC56" t="str">
        <f t="shared" si="9"/>
        <v>Bk không đạt</v>
      </c>
      <c r="AD56" t="str">
        <f ca="1"/>
        <v>Bk không đạt</v>
      </c>
      <c r="AE56">
        <f>IF(ISNUMBER(SEARCH(Checksheet!$BA$27,AY56)),MAX($AE$1:AE55)+1,"")</f>
        <v>55</v>
      </c>
      <c r="AF56" t="str">
        <f t="shared" si="10"/>
        <v>Bk không đạt</v>
      </c>
      <c r="AG56" t="str">
        <f ca="1"/>
        <v>Bk không đạt</v>
      </c>
      <c r="AH56">
        <f>IF(ISNUMBER(SEARCH(Checksheet!$BA$28,AY56)),MAX($AH$1:AH55)+1,"")</f>
        <v>55</v>
      </c>
      <c r="AI56" t="str">
        <f t="shared" si="11"/>
        <v>Bk không đạt</v>
      </c>
      <c r="AJ56" t="str">
        <f ca="1"/>
        <v>Bk không đạt</v>
      </c>
      <c r="AK56">
        <f>IF(ISNUMBER(SEARCH(Checksheet!$BA$29,AY56)),MAX($AK$1:AK55)+1,"")</f>
        <v>55</v>
      </c>
      <c r="AL56" t="str">
        <f t="shared" si="12"/>
        <v>Bk không đạt</v>
      </c>
      <c r="AM56" t="str">
        <f ca="1"/>
        <v>Bk không đạt</v>
      </c>
      <c r="AN56">
        <f>IF(ISNUMBER(SEARCH(Checksheet!$BA$30,AY56)),MAX($AN$1:AN55)+1,"")</f>
        <v>55</v>
      </c>
      <c r="AO56" t="str">
        <f t="shared" si="13"/>
        <v>Bk không đạt</v>
      </c>
      <c r="AP56" t="str">
        <f ca="1"/>
        <v>Bk không đạt</v>
      </c>
      <c r="AQ56">
        <f>IF(ISNUMBER(SEARCH(Checksheet!$BA$31,AY56)),MAX($AQ$1:AQ55)+1,"")</f>
        <v>55</v>
      </c>
      <c r="AR56" t="str">
        <f t="shared" si="14"/>
        <v>Bk không đạt</v>
      </c>
      <c r="AS56" t="str">
        <f ca="1"/>
        <v>Bk không đạt</v>
      </c>
      <c r="AT56" s="156" t="s">
        <v>1361</v>
      </c>
      <c r="AU56" s="157" t="s">
        <v>1368</v>
      </c>
      <c r="AV56" s="157" t="s">
        <v>1457</v>
      </c>
      <c r="AW56" s="157"/>
      <c r="AX56" s="157"/>
      <c r="AY56" s="157" t="s">
        <v>1486</v>
      </c>
      <c r="AZ56" s="158"/>
    </row>
    <row r="57" spans="1:52">
      <c r="A57">
        <f>IF(ISNUMBER(SEARCH(Checksheet!$BA$17,AY57)),MAX($A$1:A56)+1,"")</f>
        <v>56</v>
      </c>
      <c r="B57" t="str">
        <f t="shared" si="0"/>
        <v>Others</v>
      </c>
      <c r="C57" t="str">
        <f ca="1"/>
        <v>Others</v>
      </c>
      <c r="D57">
        <f>IF(ISNUMBER(SEARCH(Checksheet!$BA$18,AY57)),MAX($D$1:D56)+1,"")</f>
        <v>56</v>
      </c>
      <c r="E57" t="str">
        <f t="shared" si="1"/>
        <v>Others</v>
      </c>
      <c r="F57" t="str">
        <f ca="1"/>
        <v>Others</v>
      </c>
      <c r="G57">
        <f>IF(ISNUMBER(SEARCH(Checksheet!$BA$19,AY57)),MAX($G$1:G56)+1,"")</f>
        <v>56</v>
      </c>
      <c r="H57" t="str">
        <f t="shared" si="2"/>
        <v>Others</v>
      </c>
      <c r="I57" t="str">
        <f ca="1"/>
        <v>Others</v>
      </c>
      <c r="J57">
        <f>IF(ISNUMBER(SEARCH(Checksheet!$BA$20,AY57)),MAX($J$1:J56)+1,"")</f>
        <v>56</v>
      </c>
      <c r="K57" t="str">
        <f t="shared" si="3"/>
        <v>Others</v>
      </c>
      <c r="L57" t="str">
        <f ca="1"/>
        <v>Others</v>
      </c>
      <c r="M57">
        <f>IF(ISNUMBER(SEARCH(Checksheet!$BA$21,AY57)),MAX($M$1:M56)+1,"")</f>
        <v>56</v>
      </c>
      <c r="N57" t="str">
        <f t="shared" si="4"/>
        <v>Others</v>
      </c>
      <c r="O57" t="str">
        <f ca="1"/>
        <v>Others</v>
      </c>
      <c r="P57">
        <f>IF(ISNUMBER(SEARCH(Checksheet!$BA$22,AY57)),MAX($P$1:P56)+1,"")</f>
        <v>56</v>
      </c>
      <c r="Q57" t="str">
        <f t="shared" si="5"/>
        <v>Others</v>
      </c>
      <c r="R57" t="str">
        <f ca="1"/>
        <v>Others</v>
      </c>
      <c r="S57">
        <f>IF(ISNUMBER(SEARCH(Checksheet!$BA$23,AY57)),MAX($S$1:S56)+1,"")</f>
        <v>56</v>
      </c>
      <c r="T57" t="str">
        <f t="shared" si="6"/>
        <v>Others</v>
      </c>
      <c r="U57" t="str">
        <f ca="1"/>
        <v>Others</v>
      </c>
      <c r="V57">
        <f>IF(ISNUMBER(SEARCH(Checksheet!$BA$24,AY57)),MAX($V$1:V56)+1,"")</f>
        <v>56</v>
      </c>
      <c r="W57" t="str">
        <f t="shared" si="7"/>
        <v>Others</v>
      </c>
      <c r="X57" t="str">
        <f ca="1"/>
        <v>Others</v>
      </c>
      <c r="Y57">
        <f>IF(ISNUMBER(SEARCH(Checksheet!$BA$25,AY57)),MAX($Y$1:Y56)+1,"")</f>
        <v>56</v>
      </c>
      <c r="Z57" t="str">
        <f t="shared" si="8"/>
        <v>Others</v>
      </c>
      <c r="AA57" t="str">
        <f ca="1"/>
        <v>Others</v>
      </c>
      <c r="AB57">
        <f>IF(ISNUMBER(SEARCH(Checksheet!$BA$26,AY57)),MAX($AB$1:AB56)+1,"")</f>
        <v>56</v>
      </c>
      <c r="AC57" t="str">
        <f t="shared" si="9"/>
        <v>Others</v>
      </c>
      <c r="AD57" t="str">
        <f ca="1"/>
        <v>Others</v>
      </c>
      <c r="AE57">
        <f>IF(ISNUMBER(SEARCH(Checksheet!$BA$27,AY57)),MAX($AE$1:AE56)+1,"")</f>
        <v>56</v>
      </c>
      <c r="AF57" t="str">
        <f t="shared" si="10"/>
        <v>Others</v>
      </c>
      <c r="AG57" t="str">
        <f ca="1"/>
        <v>Others</v>
      </c>
      <c r="AH57">
        <f>IF(ISNUMBER(SEARCH(Checksheet!$BA$28,AY57)),MAX($AH$1:AH56)+1,"")</f>
        <v>56</v>
      </c>
      <c r="AI57" t="str">
        <f t="shared" si="11"/>
        <v>Others</v>
      </c>
      <c r="AJ57" t="str">
        <f ca="1"/>
        <v>Others</v>
      </c>
      <c r="AK57">
        <f>IF(ISNUMBER(SEARCH(Checksheet!$BA$29,AY57)),MAX($AK$1:AK56)+1,"")</f>
        <v>56</v>
      </c>
      <c r="AL57" t="str">
        <f t="shared" si="12"/>
        <v>Others</v>
      </c>
      <c r="AM57" t="str">
        <f ca="1"/>
        <v>Others</v>
      </c>
      <c r="AN57">
        <f>IF(ISNUMBER(SEARCH(Checksheet!$BA$30,AY57)),MAX($AN$1:AN56)+1,"")</f>
        <v>56</v>
      </c>
      <c r="AO57" t="str">
        <f t="shared" si="13"/>
        <v>Others</v>
      </c>
      <c r="AP57" t="str">
        <f ca="1"/>
        <v>Others</v>
      </c>
      <c r="AQ57">
        <f>IF(ISNUMBER(SEARCH(Checksheet!$BA$31,AY57)),MAX($AQ$1:AQ56)+1,"")</f>
        <v>56</v>
      </c>
      <c r="AR57" t="str">
        <f t="shared" si="14"/>
        <v>Others</v>
      </c>
      <c r="AS57" t="str">
        <f ca="1"/>
        <v>Others</v>
      </c>
      <c r="AT57" s="156" t="s">
        <v>1361</v>
      </c>
      <c r="AU57" s="157" t="s">
        <v>1368</v>
      </c>
      <c r="AV57" s="157" t="s">
        <v>1219</v>
      </c>
      <c r="AW57" s="157"/>
      <c r="AX57" s="157"/>
      <c r="AY57" s="157" t="s">
        <v>1486</v>
      </c>
      <c r="AZ57" s="158"/>
    </row>
    <row r="58" spans="1:52">
      <c r="A58">
        <f>IF(ISNUMBER(SEARCH(Checksheet!$BA$17,AY58)),MAX($A$1:A57)+1,"")</f>
        <v>57</v>
      </c>
      <c r="B58" t="str">
        <f t="shared" si="0"/>
        <v>HKH NG</v>
      </c>
      <c r="C58" t="str">
        <f ca="1"/>
        <v>HKH NG</v>
      </c>
      <c r="D58">
        <f>IF(ISNUMBER(SEARCH(Checksheet!$BA$18,AY58)),MAX($D$1:D57)+1,"")</f>
        <v>57</v>
      </c>
      <c r="E58" t="str">
        <f t="shared" si="1"/>
        <v>HKH NG</v>
      </c>
      <c r="F58" t="str">
        <f ca="1"/>
        <v>HKH NG</v>
      </c>
      <c r="G58">
        <f>IF(ISNUMBER(SEARCH(Checksheet!$BA$19,AY58)),MAX($G$1:G57)+1,"")</f>
        <v>57</v>
      </c>
      <c r="H58" t="str">
        <f t="shared" si="2"/>
        <v>HKH NG</v>
      </c>
      <c r="I58" t="str">
        <f ca="1"/>
        <v>HKH NG</v>
      </c>
      <c r="J58">
        <f>IF(ISNUMBER(SEARCH(Checksheet!$BA$20,AY58)),MAX($J$1:J57)+1,"")</f>
        <v>57</v>
      </c>
      <c r="K58" t="str">
        <f t="shared" si="3"/>
        <v>HKH NG</v>
      </c>
      <c r="L58" t="str">
        <f ca="1"/>
        <v>HKH NG</v>
      </c>
      <c r="M58">
        <f>IF(ISNUMBER(SEARCH(Checksheet!$BA$21,AY58)),MAX($M$1:M57)+1,"")</f>
        <v>57</v>
      </c>
      <c r="N58" t="str">
        <f t="shared" si="4"/>
        <v>HKH NG</v>
      </c>
      <c r="O58" t="str">
        <f ca="1"/>
        <v>HKH NG</v>
      </c>
      <c r="P58">
        <f>IF(ISNUMBER(SEARCH(Checksheet!$BA$22,AY58)),MAX($P$1:P57)+1,"")</f>
        <v>57</v>
      </c>
      <c r="Q58" t="str">
        <f t="shared" si="5"/>
        <v>HKH NG</v>
      </c>
      <c r="R58" t="str">
        <f ca="1"/>
        <v>HKH NG</v>
      </c>
      <c r="S58">
        <f>IF(ISNUMBER(SEARCH(Checksheet!$BA$23,AY58)),MAX($S$1:S57)+1,"")</f>
        <v>57</v>
      </c>
      <c r="T58" t="str">
        <f t="shared" si="6"/>
        <v>HKH NG</v>
      </c>
      <c r="U58" t="str">
        <f ca="1"/>
        <v>HKH NG</v>
      </c>
      <c r="V58">
        <f>IF(ISNUMBER(SEARCH(Checksheet!$BA$24,AY58)),MAX($V$1:V57)+1,"")</f>
        <v>57</v>
      </c>
      <c r="W58" t="str">
        <f t="shared" si="7"/>
        <v>HKH NG</v>
      </c>
      <c r="X58" t="str">
        <f ca="1"/>
        <v>HKH NG</v>
      </c>
      <c r="Y58">
        <f>IF(ISNUMBER(SEARCH(Checksheet!$BA$25,AY58)),MAX($Y$1:Y57)+1,"")</f>
        <v>57</v>
      </c>
      <c r="Z58" t="str">
        <f t="shared" si="8"/>
        <v>HKH NG</v>
      </c>
      <c r="AA58" t="str">
        <f ca="1"/>
        <v>HKH NG</v>
      </c>
      <c r="AB58">
        <f>IF(ISNUMBER(SEARCH(Checksheet!$BA$26,AY58)),MAX($AB$1:AB57)+1,"")</f>
        <v>57</v>
      </c>
      <c r="AC58" t="str">
        <f t="shared" si="9"/>
        <v>HKH NG</v>
      </c>
      <c r="AD58" t="str">
        <f ca="1"/>
        <v>HKH NG</v>
      </c>
      <c r="AE58">
        <f>IF(ISNUMBER(SEARCH(Checksheet!$BA$27,AY58)),MAX($AE$1:AE57)+1,"")</f>
        <v>57</v>
      </c>
      <c r="AF58" t="str">
        <f t="shared" si="10"/>
        <v>HKH NG</v>
      </c>
      <c r="AG58" t="str">
        <f ca="1"/>
        <v>HKH NG</v>
      </c>
      <c r="AH58">
        <f>IF(ISNUMBER(SEARCH(Checksheet!$BA$28,AY58)),MAX($AH$1:AH57)+1,"")</f>
        <v>57</v>
      </c>
      <c r="AI58" t="str">
        <f t="shared" si="11"/>
        <v>HKH NG</v>
      </c>
      <c r="AJ58" t="str">
        <f ca="1"/>
        <v>HKH NG</v>
      </c>
      <c r="AK58">
        <f>IF(ISNUMBER(SEARCH(Checksheet!$BA$29,AY58)),MAX($AK$1:AK57)+1,"")</f>
        <v>57</v>
      </c>
      <c r="AL58" t="str">
        <f t="shared" si="12"/>
        <v>HKH NG</v>
      </c>
      <c r="AM58" t="str">
        <f ca="1"/>
        <v>HKH NG</v>
      </c>
      <c r="AN58">
        <f>IF(ISNUMBER(SEARCH(Checksheet!$BA$30,AY58)),MAX($AN$1:AN57)+1,"")</f>
        <v>57</v>
      </c>
      <c r="AO58" t="str">
        <f t="shared" si="13"/>
        <v>HKH NG</v>
      </c>
      <c r="AP58" t="str">
        <f ca="1"/>
        <v>HKH NG</v>
      </c>
      <c r="AQ58">
        <f>IF(ISNUMBER(SEARCH(Checksheet!$BA$31,AY58)),MAX($AQ$1:AQ57)+1,"")</f>
        <v>57</v>
      </c>
      <c r="AR58" t="str">
        <f t="shared" si="14"/>
        <v>HKH NG</v>
      </c>
      <c r="AS58" t="str">
        <f ca="1"/>
        <v>HKH NG</v>
      </c>
      <c r="AT58" s="156" t="s">
        <v>1361</v>
      </c>
      <c r="AU58" s="157" t="s">
        <v>1219</v>
      </c>
      <c r="AV58" s="157" t="s">
        <v>1390</v>
      </c>
      <c r="AW58" s="157"/>
      <c r="AX58" s="157"/>
      <c r="AY58" s="157" t="s">
        <v>1485</v>
      </c>
      <c r="AZ58" s="158"/>
    </row>
    <row r="59" spans="1:52">
      <c r="A59">
        <f>IF(ISNUMBER(SEARCH(Checksheet!$BA$17,AY59)),MAX($A$1:A58)+1,"")</f>
        <v>58</v>
      </c>
      <c r="B59" t="str">
        <f t="shared" si="0"/>
        <v>Others</v>
      </c>
      <c r="C59" t="str">
        <f ca="1"/>
        <v>Others</v>
      </c>
      <c r="D59">
        <f>IF(ISNUMBER(SEARCH(Checksheet!$BA$18,AY59)),MAX($D$1:D58)+1,"")</f>
        <v>58</v>
      </c>
      <c r="E59" t="str">
        <f t="shared" si="1"/>
        <v>Others</v>
      </c>
      <c r="F59" t="str">
        <f ca="1"/>
        <v>Others</v>
      </c>
      <c r="G59">
        <f>IF(ISNUMBER(SEARCH(Checksheet!$BA$19,AY59)),MAX($G$1:G58)+1,"")</f>
        <v>58</v>
      </c>
      <c r="H59" t="str">
        <f t="shared" si="2"/>
        <v>Others</v>
      </c>
      <c r="I59" t="str">
        <f ca="1"/>
        <v>Others</v>
      </c>
      <c r="J59">
        <f>IF(ISNUMBER(SEARCH(Checksheet!$BA$20,AY59)),MAX($J$1:J58)+1,"")</f>
        <v>58</v>
      </c>
      <c r="K59" t="str">
        <f t="shared" si="3"/>
        <v>Others</v>
      </c>
      <c r="L59" t="str">
        <f ca="1"/>
        <v>Others</v>
      </c>
      <c r="M59">
        <f>IF(ISNUMBER(SEARCH(Checksheet!$BA$21,AY59)),MAX($M$1:M58)+1,"")</f>
        <v>58</v>
      </c>
      <c r="N59" t="str">
        <f t="shared" si="4"/>
        <v>Others</v>
      </c>
      <c r="O59" t="str">
        <f ca="1"/>
        <v>Others</v>
      </c>
      <c r="P59">
        <f>IF(ISNUMBER(SEARCH(Checksheet!$BA$22,AY59)),MAX($P$1:P58)+1,"")</f>
        <v>58</v>
      </c>
      <c r="Q59" t="str">
        <f t="shared" si="5"/>
        <v>Others</v>
      </c>
      <c r="R59" t="str">
        <f ca="1"/>
        <v>Others</v>
      </c>
      <c r="S59">
        <f>IF(ISNUMBER(SEARCH(Checksheet!$BA$23,AY59)),MAX($S$1:S58)+1,"")</f>
        <v>58</v>
      </c>
      <c r="T59" t="str">
        <f t="shared" si="6"/>
        <v>Others</v>
      </c>
      <c r="U59" t="str">
        <f ca="1"/>
        <v>Others</v>
      </c>
      <c r="V59">
        <f>IF(ISNUMBER(SEARCH(Checksheet!$BA$24,AY59)),MAX($V$1:V58)+1,"")</f>
        <v>58</v>
      </c>
      <c r="W59" t="str">
        <f t="shared" si="7"/>
        <v>Others</v>
      </c>
      <c r="X59" t="str">
        <f ca="1"/>
        <v>Others</v>
      </c>
      <c r="Y59">
        <f>IF(ISNUMBER(SEARCH(Checksheet!$BA$25,AY59)),MAX($Y$1:Y58)+1,"")</f>
        <v>58</v>
      </c>
      <c r="Z59" t="str">
        <f t="shared" si="8"/>
        <v>Others</v>
      </c>
      <c r="AA59" t="str">
        <f ca="1"/>
        <v>Others</v>
      </c>
      <c r="AB59">
        <f>IF(ISNUMBER(SEARCH(Checksheet!$BA$26,AY59)),MAX($AB$1:AB58)+1,"")</f>
        <v>58</v>
      </c>
      <c r="AC59" t="str">
        <f t="shared" si="9"/>
        <v>Others</v>
      </c>
      <c r="AD59" t="str">
        <f ca="1"/>
        <v>Others</v>
      </c>
      <c r="AE59">
        <f>IF(ISNUMBER(SEARCH(Checksheet!$BA$27,AY59)),MAX($AE$1:AE58)+1,"")</f>
        <v>58</v>
      </c>
      <c r="AF59" t="str">
        <f t="shared" si="10"/>
        <v>Others</v>
      </c>
      <c r="AG59" t="str">
        <f ca="1"/>
        <v>Others</v>
      </c>
      <c r="AH59">
        <f>IF(ISNUMBER(SEARCH(Checksheet!$BA$28,AY59)),MAX($AH$1:AH58)+1,"")</f>
        <v>58</v>
      </c>
      <c r="AI59" t="str">
        <f t="shared" si="11"/>
        <v>Others</v>
      </c>
      <c r="AJ59" t="str">
        <f ca="1"/>
        <v>Others</v>
      </c>
      <c r="AK59">
        <f>IF(ISNUMBER(SEARCH(Checksheet!$BA$29,AY59)),MAX($AK$1:AK58)+1,"")</f>
        <v>58</v>
      </c>
      <c r="AL59" t="str">
        <f t="shared" si="12"/>
        <v>Others</v>
      </c>
      <c r="AM59" t="str">
        <f ca="1"/>
        <v>Others</v>
      </c>
      <c r="AN59">
        <f>IF(ISNUMBER(SEARCH(Checksheet!$BA$30,AY59)),MAX($AN$1:AN58)+1,"")</f>
        <v>58</v>
      </c>
      <c r="AO59" t="str">
        <f t="shared" si="13"/>
        <v>Others</v>
      </c>
      <c r="AP59" t="str">
        <f ca="1"/>
        <v>Others</v>
      </c>
      <c r="AQ59">
        <f>IF(ISNUMBER(SEARCH(Checksheet!$BA$31,AY59)),MAX($AQ$1:AQ58)+1,"")</f>
        <v>58</v>
      </c>
      <c r="AR59" t="str">
        <f t="shared" si="14"/>
        <v>Others</v>
      </c>
      <c r="AS59" t="str">
        <f ca="1"/>
        <v>Others</v>
      </c>
      <c r="AT59" s="156" t="s">
        <v>1361</v>
      </c>
      <c r="AU59" s="157" t="s">
        <v>1219</v>
      </c>
      <c r="AV59" s="157" t="s">
        <v>1219</v>
      </c>
      <c r="AW59" s="157"/>
      <c r="AX59" s="157"/>
      <c r="AY59" s="157" t="s">
        <v>1485</v>
      </c>
      <c r="AZ59" s="158"/>
    </row>
    <row r="60" spans="1:52">
      <c r="A60" t="str">
        <f>IF(ISNUMBER(SEARCH(Checksheet!$BA$17,AY60)),MAX($A$1:A59)+1,"")</f>
        <v/>
      </c>
      <c r="B60" t="str">
        <f t="shared" si="0"/>
        <v/>
      </c>
      <c r="D60" t="str">
        <f>IF(ISNUMBER(SEARCH(Checksheet!$BA$18,AY60)),MAX($D$1:D59)+1,"")</f>
        <v/>
      </c>
      <c r="E60" t="str">
        <f t="shared" si="1"/>
        <v/>
      </c>
      <c r="G60" t="str">
        <f>IF(ISNUMBER(SEARCH(Checksheet!$BA$19,AY60)),MAX($G$1:G59)+1,"")</f>
        <v/>
      </c>
      <c r="H60" t="str">
        <f t="shared" si="2"/>
        <v/>
      </c>
      <c r="J60" t="str">
        <f>IF(ISNUMBER(SEARCH(Checksheet!$BA$20,AY60)),MAX($J$1:J59)+1,"")</f>
        <v/>
      </c>
      <c r="K60" t="str">
        <f t="shared" si="3"/>
        <v/>
      </c>
      <c r="M60" t="str">
        <f>IF(ISNUMBER(SEARCH(Checksheet!$BA$21,AY60)),MAX($M$1:M59)+1,"")</f>
        <v/>
      </c>
      <c r="N60" t="str">
        <f t="shared" si="4"/>
        <v/>
      </c>
      <c r="P60" t="str">
        <f>IF(ISNUMBER(SEARCH(Checksheet!$BA$22,AY60)),MAX($P$1:P59)+1,"")</f>
        <v/>
      </c>
      <c r="Q60" t="str">
        <f t="shared" si="5"/>
        <v/>
      </c>
      <c r="S60" t="str">
        <f>IF(ISNUMBER(SEARCH(Checksheet!$BA$23,AY60)),MAX($S$1:S59)+1,"")</f>
        <v/>
      </c>
      <c r="T60" t="str">
        <f t="shared" si="6"/>
        <v/>
      </c>
      <c r="V60" t="str">
        <f>IF(ISNUMBER(SEARCH(Checksheet!$BA$24,AY60)),MAX($V$1:V59)+1,"")</f>
        <v/>
      </c>
      <c r="W60" t="str">
        <f t="shared" si="7"/>
        <v/>
      </c>
      <c r="Y60" t="str">
        <f>IF(ISNUMBER(SEARCH(Checksheet!$BA$25,AY60)),MAX($Y$1:Y59)+1,"")</f>
        <v/>
      </c>
      <c r="Z60" t="str">
        <f t="shared" si="8"/>
        <v/>
      </c>
      <c r="AB60" t="str">
        <f>IF(ISNUMBER(SEARCH(Checksheet!$BA$26,AY60)),MAX($AB$1:AB59)+1,"")</f>
        <v/>
      </c>
      <c r="AC60" t="str">
        <f t="shared" si="9"/>
        <v/>
      </c>
      <c r="AE60" t="str">
        <f>IF(ISNUMBER(SEARCH(Checksheet!$BA$27,AY60)),MAX($AE$1:AE59)+1,"")</f>
        <v/>
      </c>
      <c r="AF60" t="str">
        <f t="shared" si="10"/>
        <v/>
      </c>
      <c r="AH60" t="str">
        <f>IF(ISNUMBER(SEARCH(Checksheet!$BA$28,AY60)),MAX($AH$1:AH59)+1,"")</f>
        <v/>
      </c>
      <c r="AI60" t="str">
        <f t="shared" si="11"/>
        <v/>
      </c>
      <c r="AK60" t="str">
        <f>IF(ISNUMBER(SEARCH(Checksheet!$BA$29,AY60)),MAX($AK$1:AK59)+1,"")</f>
        <v/>
      </c>
      <c r="AL60" t="str">
        <f t="shared" si="12"/>
        <v/>
      </c>
      <c r="AN60" t="str">
        <f>IF(ISNUMBER(SEARCH(Checksheet!$BA$30,AY60)),MAX($AN$1:AN59)+1,"")</f>
        <v/>
      </c>
      <c r="AO60" t="str">
        <f t="shared" si="13"/>
        <v/>
      </c>
      <c r="AQ60" t="str">
        <f>IF(ISNUMBER(SEARCH(Checksheet!$BA$31,AY60)),MAX($AQ$1:AQ59)+1,"")</f>
        <v/>
      </c>
      <c r="AR60" t="str">
        <f t="shared" si="14"/>
        <v/>
      </c>
      <c r="AT60" s="156"/>
      <c r="AU60" s="157"/>
      <c r="AV60" s="157"/>
      <c r="AW60" s="157"/>
      <c r="AX60" s="157"/>
      <c r="AY60" s="157"/>
      <c r="AZ60" s="158"/>
    </row>
    <row r="61" spans="1:52">
      <c r="A61" t="str">
        <f>IF(ISNUMBER(SEARCH(Checksheet!$BA$17,AY61)),MAX($A$1:A60)+1,"")</f>
        <v/>
      </c>
      <c r="B61" t="str">
        <f t="shared" si="0"/>
        <v/>
      </c>
      <c r="D61" t="str">
        <f>IF(ISNUMBER(SEARCH(Checksheet!$BA$18,AY61)),MAX($D$1:D60)+1,"")</f>
        <v/>
      </c>
      <c r="E61" t="str">
        <f t="shared" si="1"/>
        <v/>
      </c>
      <c r="G61" t="str">
        <f>IF(ISNUMBER(SEARCH(Checksheet!$BA$19,AY61)),MAX($G$1:G60)+1,"")</f>
        <v/>
      </c>
      <c r="H61" t="str">
        <f t="shared" si="2"/>
        <v/>
      </c>
      <c r="J61" t="str">
        <f>IF(ISNUMBER(SEARCH(Checksheet!$BA$20,AY61)),MAX($J$1:J60)+1,"")</f>
        <v/>
      </c>
      <c r="K61" t="str">
        <f t="shared" si="3"/>
        <v/>
      </c>
      <c r="M61" t="str">
        <f>IF(ISNUMBER(SEARCH(Checksheet!$BA$21,AY61)),MAX($M$1:M60)+1,"")</f>
        <v/>
      </c>
      <c r="N61" t="str">
        <f t="shared" si="4"/>
        <v/>
      </c>
      <c r="P61" t="str">
        <f>IF(ISNUMBER(SEARCH(Checksheet!$BA$22,AY61)),MAX($P$1:P60)+1,"")</f>
        <v/>
      </c>
      <c r="Q61" t="str">
        <f t="shared" si="5"/>
        <v/>
      </c>
      <c r="S61" t="str">
        <f>IF(ISNUMBER(SEARCH(Checksheet!$BA$23,AY61)),MAX($S$1:S60)+1,"")</f>
        <v/>
      </c>
      <c r="T61" t="str">
        <f t="shared" si="6"/>
        <v/>
      </c>
      <c r="V61" t="str">
        <f>IF(ISNUMBER(SEARCH(Checksheet!$BA$24,AY61)),MAX($V$1:V60)+1,"")</f>
        <v/>
      </c>
      <c r="W61" t="str">
        <f t="shared" si="7"/>
        <v/>
      </c>
      <c r="Y61" t="str">
        <f>IF(ISNUMBER(SEARCH(Checksheet!$BA$25,AY61)),MAX($Y$1:Y60)+1,"")</f>
        <v/>
      </c>
      <c r="Z61" t="str">
        <f t="shared" si="8"/>
        <v/>
      </c>
      <c r="AB61" t="str">
        <f>IF(ISNUMBER(SEARCH(Checksheet!$BA$26,AY61)),MAX($AB$1:AB60)+1,"")</f>
        <v/>
      </c>
      <c r="AC61" t="str">
        <f t="shared" si="9"/>
        <v/>
      </c>
      <c r="AE61" t="str">
        <f>IF(ISNUMBER(SEARCH(Checksheet!$BA$27,AY61)),MAX($AE$1:AE60)+1,"")</f>
        <v/>
      </c>
      <c r="AF61" t="str">
        <f t="shared" si="10"/>
        <v/>
      </c>
      <c r="AH61" t="str">
        <f>IF(ISNUMBER(SEARCH(Checksheet!$BA$28,AY61)),MAX($AH$1:AH60)+1,"")</f>
        <v/>
      </c>
      <c r="AI61" t="str">
        <f t="shared" si="11"/>
        <v/>
      </c>
      <c r="AK61" t="str">
        <f>IF(ISNUMBER(SEARCH(Checksheet!$BA$29,AY61)),MAX($AK$1:AK60)+1,"")</f>
        <v/>
      </c>
      <c r="AL61" t="str">
        <f t="shared" si="12"/>
        <v/>
      </c>
      <c r="AN61" t="str">
        <f>IF(ISNUMBER(SEARCH(Checksheet!$BA$30,AY61)),MAX($AN$1:AN60)+1,"")</f>
        <v/>
      </c>
      <c r="AO61" t="str">
        <f t="shared" si="13"/>
        <v/>
      </c>
      <c r="AQ61" t="str">
        <f>IF(ISNUMBER(SEARCH(Checksheet!$BA$31,AY61)),MAX($AQ$1:AQ60)+1,"")</f>
        <v/>
      </c>
      <c r="AR61" t="str">
        <f t="shared" si="14"/>
        <v/>
      </c>
      <c r="AT61" s="156"/>
      <c r="AU61" s="157"/>
      <c r="AV61" s="157"/>
      <c r="AW61" s="157"/>
      <c r="AX61" s="157"/>
      <c r="AY61" s="157"/>
      <c r="AZ61" s="158"/>
    </row>
    <row r="62" spans="1:52">
      <c r="A62" t="str">
        <f>IF(ISNUMBER(SEARCH(Checksheet!$BA$17,AY62)),MAX($A$1:A61)+1,"")</f>
        <v/>
      </c>
      <c r="B62" t="str">
        <f t="shared" si="0"/>
        <v/>
      </c>
      <c r="D62" t="str">
        <f>IF(ISNUMBER(SEARCH(Checksheet!$BA$18,AY62)),MAX($D$1:D61)+1,"")</f>
        <v/>
      </c>
      <c r="E62" t="str">
        <f t="shared" si="1"/>
        <v/>
      </c>
      <c r="G62" t="str">
        <f>IF(ISNUMBER(SEARCH(Checksheet!$BA$19,AY62)),MAX($G$1:G61)+1,"")</f>
        <v/>
      </c>
      <c r="H62" t="str">
        <f t="shared" si="2"/>
        <v/>
      </c>
      <c r="J62" t="str">
        <f>IF(ISNUMBER(SEARCH(Checksheet!$BA$20,AY62)),MAX($J$1:J61)+1,"")</f>
        <v/>
      </c>
      <c r="K62" t="str">
        <f t="shared" si="3"/>
        <v/>
      </c>
      <c r="M62" t="str">
        <f>IF(ISNUMBER(SEARCH(Checksheet!$BA$21,AY62)),MAX($M$1:M61)+1,"")</f>
        <v/>
      </c>
      <c r="N62" t="str">
        <f t="shared" si="4"/>
        <v/>
      </c>
      <c r="P62" t="str">
        <f>IF(ISNUMBER(SEARCH(Checksheet!$BA$22,AY62)),MAX($P$1:P61)+1,"")</f>
        <v/>
      </c>
      <c r="Q62" t="str">
        <f t="shared" si="5"/>
        <v/>
      </c>
      <c r="S62" t="str">
        <f>IF(ISNUMBER(SEARCH(Checksheet!$BA$23,AY62)),MAX($S$1:S61)+1,"")</f>
        <v/>
      </c>
      <c r="T62" t="str">
        <f t="shared" si="6"/>
        <v/>
      </c>
      <c r="V62" t="str">
        <f>IF(ISNUMBER(SEARCH(Checksheet!$BA$24,AY62)),MAX($V$1:V61)+1,"")</f>
        <v/>
      </c>
      <c r="W62" t="str">
        <f t="shared" si="7"/>
        <v/>
      </c>
      <c r="Y62" t="str">
        <f>IF(ISNUMBER(SEARCH(Checksheet!$BA$25,AY62)),MAX($Y$1:Y61)+1,"")</f>
        <v/>
      </c>
      <c r="Z62" t="str">
        <f t="shared" si="8"/>
        <v/>
      </c>
      <c r="AB62" t="str">
        <f>IF(ISNUMBER(SEARCH(Checksheet!$BA$26,AY62)),MAX($AB$1:AB61)+1,"")</f>
        <v/>
      </c>
      <c r="AC62" t="str">
        <f t="shared" si="9"/>
        <v/>
      </c>
      <c r="AE62" t="str">
        <f>IF(ISNUMBER(SEARCH(Checksheet!$BA$27,AY62)),MAX($AE$1:AE61)+1,"")</f>
        <v/>
      </c>
      <c r="AF62" t="str">
        <f t="shared" si="10"/>
        <v/>
      </c>
      <c r="AH62" t="str">
        <f>IF(ISNUMBER(SEARCH(Checksheet!$BA$28,AY62)),MAX($AH$1:AH61)+1,"")</f>
        <v/>
      </c>
      <c r="AI62" t="str">
        <f t="shared" si="11"/>
        <v/>
      </c>
      <c r="AK62" t="str">
        <f>IF(ISNUMBER(SEARCH(Checksheet!$BA$29,AY62)),MAX($AK$1:AK61)+1,"")</f>
        <v/>
      </c>
      <c r="AL62" t="str">
        <f t="shared" si="12"/>
        <v/>
      </c>
      <c r="AN62" t="str">
        <f>IF(ISNUMBER(SEARCH(Checksheet!$BA$30,AY62)),MAX($AN$1:AN61)+1,"")</f>
        <v/>
      </c>
      <c r="AO62" t="str">
        <f t="shared" si="13"/>
        <v/>
      </c>
      <c r="AQ62" t="str">
        <f>IF(ISNUMBER(SEARCH(Checksheet!$BA$31,AY62)),MAX($AQ$1:AQ61)+1,"")</f>
        <v/>
      </c>
      <c r="AR62" t="str">
        <f t="shared" si="14"/>
        <v/>
      </c>
      <c r="AT62" s="159"/>
      <c r="AU62" s="160"/>
      <c r="AV62" s="160"/>
      <c r="AW62" s="160"/>
      <c r="AX62" s="160"/>
      <c r="AY62" s="160"/>
      <c r="AZ62" s="161"/>
    </row>
  </sheetData>
  <phoneticPr fontId="12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1577C-11D1-4974-A150-733CBB6F113D}">
  <sheetPr codeName="Sheet8"/>
  <dimension ref="A1:D752"/>
  <sheetViews>
    <sheetView showGridLines="0" topLeftCell="A731" workbookViewId="0">
      <selection activeCell="B746" sqref="B746"/>
    </sheetView>
  </sheetViews>
  <sheetFormatPr defaultRowHeight="14.25"/>
  <cols>
    <col min="1" max="1" width="13.375" customWidth="1"/>
    <col min="2" max="2" width="27.5" bestFit="1" customWidth="1"/>
    <col min="3" max="3" width="29.5" bestFit="1" customWidth="1"/>
  </cols>
  <sheetData>
    <row r="1" spans="1:4" ht="31">
      <c r="A1" s="166" t="s">
        <v>19</v>
      </c>
      <c r="B1" s="166" t="s">
        <v>18</v>
      </c>
      <c r="C1" s="166" t="s">
        <v>20</v>
      </c>
      <c r="D1" s="167" t="s">
        <v>1461</v>
      </c>
    </row>
    <row r="2" spans="1:4" ht="14.5">
      <c r="A2" s="168" t="s">
        <v>34</v>
      </c>
      <c r="B2" s="169" t="s">
        <v>35</v>
      </c>
      <c r="C2" s="169" t="s">
        <v>36</v>
      </c>
      <c r="D2" s="170" t="s">
        <v>3</v>
      </c>
    </row>
    <row r="3" spans="1:4" ht="14.5">
      <c r="A3" s="168" t="s">
        <v>37</v>
      </c>
      <c r="B3" s="169" t="s">
        <v>38</v>
      </c>
      <c r="C3" s="169" t="s">
        <v>36</v>
      </c>
      <c r="D3" s="170" t="s">
        <v>3</v>
      </c>
    </row>
    <row r="4" spans="1:4" ht="14.5">
      <c r="A4" s="168" t="s">
        <v>39</v>
      </c>
      <c r="B4" s="169" t="s">
        <v>40</v>
      </c>
      <c r="C4" s="169" t="s">
        <v>36</v>
      </c>
      <c r="D4" s="170" t="s">
        <v>3</v>
      </c>
    </row>
    <row r="5" spans="1:4" ht="14.5">
      <c r="A5" s="168" t="s">
        <v>41</v>
      </c>
      <c r="B5" s="169" t="s">
        <v>42</v>
      </c>
      <c r="C5" s="169" t="s">
        <v>36</v>
      </c>
      <c r="D5" s="170" t="s">
        <v>3</v>
      </c>
    </row>
    <row r="6" spans="1:4" ht="14.5">
      <c r="A6" s="168" t="s">
        <v>43</v>
      </c>
      <c r="B6" s="169" t="s">
        <v>44</v>
      </c>
      <c r="C6" s="169" t="s">
        <v>36</v>
      </c>
      <c r="D6" s="170" t="s">
        <v>3</v>
      </c>
    </row>
    <row r="7" spans="1:4" ht="14.5">
      <c r="A7" s="168" t="s">
        <v>45</v>
      </c>
      <c r="B7" s="169" t="s">
        <v>46</v>
      </c>
      <c r="C7" s="169" t="s">
        <v>36</v>
      </c>
      <c r="D7" s="170" t="s">
        <v>3</v>
      </c>
    </row>
    <row r="8" spans="1:4" ht="14.5">
      <c r="A8" s="168" t="s">
        <v>47</v>
      </c>
      <c r="B8" s="169" t="s">
        <v>48</v>
      </c>
      <c r="C8" s="169" t="s">
        <v>36</v>
      </c>
      <c r="D8" s="170" t="s">
        <v>3</v>
      </c>
    </row>
    <row r="9" spans="1:4" ht="14.5">
      <c r="A9" s="168" t="s">
        <v>49</v>
      </c>
      <c r="B9" s="169" t="s">
        <v>50</v>
      </c>
      <c r="C9" s="169" t="s">
        <v>36</v>
      </c>
      <c r="D9" s="170" t="s">
        <v>3</v>
      </c>
    </row>
    <row r="10" spans="1:4" ht="14.5">
      <c r="A10" s="168" t="s">
        <v>51</v>
      </c>
      <c r="B10" s="169" t="s">
        <v>52</v>
      </c>
      <c r="C10" s="169" t="s">
        <v>36</v>
      </c>
      <c r="D10" s="170" t="s">
        <v>3</v>
      </c>
    </row>
    <row r="11" spans="1:4" ht="14.5">
      <c r="A11" s="168" t="s">
        <v>53</v>
      </c>
      <c r="B11" s="169" t="s">
        <v>54</v>
      </c>
      <c r="C11" s="169" t="s">
        <v>36</v>
      </c>
      <c r="D11" s="170" t="s">
        <v>3</v>
      </c>
    </row>
    <row r="12" spans="1:4" ht="14.5">
      <c r="A12" s="168" t="s">
        <v>55</v>
      </c>
      <c r="B12" s="169" t="s">
        <v>56</v>
      </c>
      <c r="C12" s="169" t="s">
        <v>36</v>
      </c>
      <c r="D12" s="170" t="s">
        <v>3</v>
      </c>
    </row>
    <row r="13" spans="1:4" ht="14.5">
      <c r="A13" s="168" t="s">
        <v>57</v>
      </c>
      <c r="B13" s="169" t="s">
        <v>58</v>
      </c>
      <c r="C13" s="169" t="s">
        <v>36</v>
      </c>
      <c r="D13" s="170" t="s">
        <v>3</v>
      </c>
    </row>
    <row r="14" spans="1:4" ht="14.5">
      <c r="A14" s="168" t="s">
        <v>59</v>
      </c>
      <c r="B14" s="169" t="s">
        <v>60</v>
      </c>
      <c r="C14" s="169" t="s">
        <v>36</v>
      </c>
      <c r="D14" s="170" t="s">
        <v>3</v>
      </c>
    </row>
    <row r="15" spans="1:4" ht="14.5">
      <c r="A15" s="168" t="s">
        <v>61</v>
      </c>
      <c r="B15" s="169" t="s">
        <v>62</v>
      </c>
      <c r="C15" s="169" t="s">
        <v>36</v>
      </c>
      <c r="D15" s="170" t="s">
        <v>3</v>
      </c>
    </row>
    <row r="16" spans="1:4" ht="14.5">
      <c r="A16" s="168" t="s">
        <v>63</v>
      </c>
      <c r="B16" s="169" t="s">
        <v>64</v>
      </c>
      <c r="C16" s="169" t="s">
        <v>36</v>
      </c>
      <c r="D16" s="170" t="s">
        <v>3</v>
      </c>
    </row>
    <row r="17" spans="1:4" ht="14.5">
      <c r="A17" s="168" t="s">
        <v>65</v>
      </c>
      <c r="B17" s="169" t="s">
        <v>66</v>
      </c>
      <c r="C17" s="169" t="s">
        <v>36</v>
      </c>
      <c r="D17" s="170" t="s">
        <v>3</v>
      </c>
    </row>
    <row r="18" spans="1:4" ht="14.5">
      <c r="A18" s="168" t="s">
        <v>67</v>
      </c>
      <c r="B18" s="169" t="s">
        <v>68</v>
      </c>
      <c r="C18" s="169" t="s">
        <v>69</v>
      </c>
      <c r="D18" s="170" t="s">
        <v>3</v>
      </c>
    </row>
    <row r="19" spans="1:4" ht="14.5">
      <c r="A19" s="168" t="s">
        <v>70</v>
      </c>
      <c r="B19" s="169" t="s">
        <v>71</v>
      </c>
      <c r="C19" s="169" t="s">
        <v>69</v>
      </c>
      <c r="D19" s="170" t="s">
        <v>3</v>
      </c>
    </row>
    <row r="20" spans="1:4" ht="14.5">
      <c r="A20" s="168" t="s">
        <v>72</v>
      </c>
      <c r="B20" s="169" t="s">
        <v>73</v>
      </c>
      <c r="C20" s="169" t="s">
        <v>74</v>
      </c>
      <c r="D20" s="170" t="s">
        <v>3</v>
      </c>
    </row>
    <row r="21" spans="1:4" ht="14.5">
      <c r="A21" s="168" t="s">
        <v>75</v>
      </c>
      <c r="B21" s="169" t="s">
        <v>76</v>
      </c>
      <c r="C21" s="169" t="s">
        <v>74</v>
      </c>
      <c r="D21" s="170" t="s">
        <v>3</v>
      </c>
    </row>
    <row r="22" spans="1:4" ht="14.5">
      <c r="A22" s="168" t="s">
        <v>77</v>
      </c>
      <c r="B22" s="169" t="s">
        <v>78</v>
      </c>
      <c r="C22" s="169" t="s">
        <v>74</v>
      </c>
      <c r="D22" s="170" t="s">
        <v>3</v>
      </c>
    </row>
    <row r="23" spans="1:4" ht="14.5">
      <c r="A23" s="168" t="s">
        <v>79</v>
      </c>
      <c r="B23" s="169" t="s">
        <v>80</v>
      </c>
      <c r="C23" s="169" t="s">
        <v>74</v>
      </c>
      <c r="D23" s="170" t="s">
        <v>3</v>
      </c>
    </row>
    <row r="24" spans="1:4" ht="14.5">
      <c r="A24" s="168" t="s">
        <v>81</v>
      </c>
      <c r="B24" s="169" t="s">
        <v>82</v>
      </c>
      <c r="C24" s="169" t="s">
        <v>74</v>
      </c>
      <c r="D24" s="170" t="s">
        <v>3</v>
      </c>
    </row>
    <row r="25" spans="1:4" ht="14.5">
      <c r="A25" s="168" t="s">
        <v>83</v>
      </c>
      <c r="B25" s="169" t="s">
        <v>84</v>
      </c>
      <c r="C25" s="169" t="s">
        <v>74</v>
      </c>
      <c r="D25" s="170" t="s">
        <v>3</v>
      </c>
    </row>
    <row r="26" spans="1:4" ht="14.5">
      <c r="A26" s="171" t="s">
        <v>1516</v>
      </c>
      <c r="B26" s="172" t="s">
        <v>1517</v>
      </c>
      <c r="C26" s="173" t="s">
        <v>1513</v>
      </c>
      <c r="D26" s="170" t="s">
        <v>3</v>
      </c>
    </row>
    <row r="27" spans="1:4" ht="14.5">
      <c r="A27" s="168" t="s">
        <v>86</v>
      </c>
      <c r="B27" s="169" t="s">
        <v>87</v>
      </c>
      <c r="C27" s="169" t="s">
        <v>85</v>
      </c>
      <c r="D27" s="170" t="s">
        <v>3</v>
      </c>
    </row>
    <row r="28" spans="1:4" ht="14.5">
      <c r="A28" s="168" t="s">
        <v>88</v>
      </c>
      <c r="B28" s="169" t="s">
        <v>89</v>
      </c>
      <c r="C28" s="169" t="s">
        <v>85</v>
      </c>
      <c r="D28" s="170" t="s">
        <v>3</v>
      </c>
    </row>
    <row r="29" spans="1:4" ht="14.5">
      <c r="A29" s="168" t="s">
        <v>90</v>
      </c>
      <c r="B29" s="169" t="s">
        <v>91</v>
      </c>
      <c r="C29" s="169" t="s">
        <v>85</v>
      </c>
      <c r="D29" s="170" t="s">
        <v>3</v>
      </c>
    </row>
    <row r="30" spans="1:4" ht="14.5">
      <c r="A30" s="168" t="s">
        <v>92</v>
      </c>
      <c r="B30" s="169" t="s">
        <v>93</v>
      </c>
      <c r="C30" s="169" t="s">
        <v>85</v>
      </c>
      <c r="D30" s="170" t="s">
        <v>3</v>
      </c>
    </row>
    <row r="31" spans="1:4" ht="14.5">
      <c r="A31" s="168" t="s">
        <v>94</v>
      </c>
      <c r="B31" s="169" t="s">
        <v>95</v>
      </c>
      <c r="C31" s="169" t="s">
        <v>85</v>
      </c>
      <c r="D31" s="170" t="s">
        <v>3</v>
      </c>
    </row>
    <row r="32" spans="1:4" ht="14.5">
      <c r="A32" s="168" t="s">
        <v>96</v>
      </c>
      <c r="B32" s="169" t="s">
        <v>97</v>
      </c>
      <c r="C32" s="169" t="s">
        <v>85</v>
      </c>
      <c r="D32" s="170" t="s">
        <v>3</v>
      </c>
    </row>
    <row r="33" spans="1:4" ht="14.5">
      <c r="A33" s="168" t="s">
        <v>98</v>
      </c>
      <c r="B33" s="169" t="s">
        <v>99</v>
      </c>
      <c r="C33" s="169" t="s">
        <v>85</v>
      </c>
      <c r="D33" s="170" t="s">
        <v>3</v>
      </c>
    </row>
    <row r="34" spans="1:4" ht="14.5">
      <c r="A34" s="168" t="s">
        <v>100</v>
      </c>
      <c r="B34" s="169" t="s">
        <v>101</v>
      </c>
      <c r="C34" s="169" t="s">
        <v>85</v>
      </c>
      <c r="D34" s="170" t="s">
        <v>3</v>
      </c>
    </row>
    <row r="35" spans="1:4" ht="14.5">
      <c r="A35" s="168" t="s">
        <v>102</v>
      </c>
      <c r="B35" s="169" t="s">
        <v>103</v>
      </c>
      <c r="C35" s="169" t="s">
        <v>85</v>
      </c>
      <c r="D35" s="170" t="s">
        <v>3</v>
      </c>
    </row>
    <row r="36" spans="1:4" ht="14.5">
      <c r="A36" s="168" t="s">
        <v>104</v>
      </c>
      <c r="B36" s="169" t="s">
        <v>105</v>
      </c>
      <c r="C36" s="169" t="s">
        <v>85</v>
      </c>
      <c r="D36" s="170" t="s">
        <v>3</v>
      </c>
    </row>
    <row r="37" spans="1:4" ht="14.5">
      <c r="A37" s="168" t="s">
        <v>106</v>
      </c>
      <c r="B37" s="169" t="s">
        <v>107</v>
      </c>
      <c r="C37" s="169" t="s">
        <v>85</v>
      </c>
      <c r="D37" s="170" t="s">
        <v>3</v>
      </c>
    </row>
    <row r="38" spans="1:4" ht="14.5">
      <c r="A38" s="168" t="s">
        <v>108</v>
      </c>
      <c r="B38" s="169" t="s">
        <v>109</v>
      </c>
      <c r="C38" s="169" t="s">
        <v>85</v>
      </c>
      <c r="D38" s="170" t="s">
        <v>3</v>
      </c>
    </row>
    <row r="39" spans="1:4" ht="14.5">
      <c r="A39" s="168" t="s">
        <v>110</v>
      </c>
      <c r="B39" s="169" t="s">
        <v>111</v>
      </c>
      <c r="C39" s="169" t="s">
        <v>85</v>
      </c>
      <c r="D39" s="170" t="s">
        <v>3</v>
      </c>
    </row>
    <row r="40" spans="1:4" ht="14.5">
      <c r="A40" s="168" t="s">
        <v>112</v>
      </c>
      <c r="B40" s="169" t="s">
        <v>113</v>
      </c>
      <c r="C40" s="169" t="s">
        <v>85</v>
      </c>
      <c r="D40" s="170" t="s">
        <v>3</v>
      </c>
    </row>
    <row r="41" spans="1:4" ht="14.5">
      <c r="A41" s="168" t="s">
        <v>114</v>
      </c>
      <c r="B41" s="169" t="s">
        <v>115</v>
      </c>
      <c r="C41" s="169" t="s">
        <v>85</v>
      </c>
      <c r="D41" s="170" t="s">
        <v>3</v>
      </c>
    </row>
    <row r="42" spans="1:4" ht="14.5">
      <c r="A42" s="168" t="s">
        <v>116</v>
      </c>
      <c r="B42" s="169" t="s">
        <v>117</v>
      </c>
      <c r="C42" s="169" t="s">
        <v>85</v>
      </c>
      <c r="D42" s="170" t="s">
        <v>3</v>
      </c>
    </row>
    <row r="43" spans="1:4" ht="14.5">
      <c r="A43" s="168" t="s">
        <v>118</v>
      </c>
      <c r="B43" s="169" t="s">
        <v>119</v>
      </c>
      <c r="C43" s="169" t="s">
        <v>85</v>
      </c>
      <c r="D43" s="170" t="s">
        <v>3</v>
      </c>
    </row>
    <row r="44" spans="1:4" ht="14.5">
      <c r="A44" s="168" t="s">
        <v>120</v>
      </c>
      <c r="B44" s="169" t="s">
        <v>121</v>
      </c>
      <c r="C44" s="169" t="s">
        <v>85</v>
      </c>
      <c r="D44" s="170" t="s">
        <v>3</v>
      </c>
    </row>
    <row r="45" spans="1:4" ht="14.5">
      <c r="A45" s="168" t="s">
        <v>122</v>
      </c>
      <c r="B45" s="169" t="s">
        <v>123</v>
      </c>
      <c r="C45" s="169" t="s">
        <v>85</v>
      </c>
      <c r="D45" s="170" t="s">
        <v>3</v>
      </c>
    </row>
    <row r="46" spans="1:4" ht="14.5">
      <c r="A46" s="168" t="s">
        <v>124</v>
      </c>
      <c r="B46" s="169" t="s">
        <v>125</v>
      </c>
      <c r="C46" s="169" t="s">
        <v>85</v>
      </c>
      <c r="D46" s="170" t="s">
        <v>3</v>
      </c>
    </row>
    <row r="47" spans="1:4" ht="14.5">
      <c r="A47" s="168" t="s">
        <v>126</v>
      </c>
      <c r="B47" s="169" t="s">
        <v>127</v>
      </c>
      <c r="C47" s="169" t="s">
        <v>85</v>
      </c>
      <c r="D47" s="170" t="s">
        <v>3</v>
      </c>
    </row>
    <row r="48" spans="1:4" ht="14.5">
      <c r="A48" s="168" t="s">
        <v>128</v>
      </c>
      <c r="B48" s="169" t="s">
        <v>129</v>
      </c>
      <c r="C48" s="169" t="s">
        <v>85</v>
      </c>
      <c r="D48" s="170" t="s">
        <v>3</v>
      </c>
    </row>
    <row r="49" spans="1:4" ht="14.5">
      <c r="A49" s="168" t="s">
        <v>130</v>
      </c>
      <c r="B49" s="169" t="s">
        <v>131</v>
      </c>
      <c r="C49" s="169" t="s">
        <v>85</v>
      </c>
      <c r="D49" s="170" t="s">
        <v>3</v>
      </c>
    </row>
    <row r="50" spans="1:4" ht="14.5">
      <c r="A50" s="168" t="s">
        <v>132</v>
      </c>
      <c r="B50" s="169" t="s">
        <v>133</v>
      </c>
      <c r="C50" s="169" t="s">
        <v>85</v>
      </c>
      <c r="D50" s="170" t="s">
        <v>3</v>
      </c>
    </row>
    <row r="51" spans="1:4" ht="14.5">
      <c r="A51" s="168" t="s">
        <v>134</v>
      </c>
      <c r="B51" s="169" t="s">
        <v>135</v>
      </c>
      <c r="C51" s="169" t="s">
        <v>85</v>
      </c>
      <c r="D51" s="170" t="s">
        <v>3</v>
      </c>
    </row>
    <row r="52" spans="1:4" ht="14.5">
      <c r="A52" s="168" t="s">
        <v>136</v>
      </c>
      <c r="B52" s="169" t="s">
        <v>137</v>
      </c>
      <c r="C52" s="169" t="s">
        <v>85</v>
      </c>
      <c r="D52" s="170" t="s">
        <v>3</v>
      </c>
    </row>
    <row r="53" spans="1:4" ht="14.5">
      <c r="A53" s="168" t="s">
        <v>138</v>
      </c>
      <c r="B53" s="169" t="s">
        <v>139</v>
      </c>
      <c r="C53" s="169" t="s">
        <v>85</v>
      </c>
      <c r="D53" s="170" t="s">
        <v>3</v>
      </c>
    </row>
    <row r="54" spans="1:4" ht="14.5">
      <c r="A54" s="168" t="s">
        <v>140</v>
      </c>
      <c r="B54" s="169" t="s">
        <v>141</v>
      </c>
      <c r="C54" s="169" t="s">
        <v>85</v>
      </c>
      <c r="D54" s="170" t="s">
        <v>3</v>
      </c>
    </row>
    <row r="55" spans="1:4" ht="14.5">
      <c r="A55" s="168" t="s">
        <v>142</v>
      </c>
      <c r="B55" s="169" t="s">
        <v>143</v>
      </c>
      <c r="C55" s="169" t="s">
        <v>85</v>
      </c>
      <c r="D55" s="170" t="s">
        <v>3</v>
      </c>
    </row>
    <row r="56" spans="1:4" ht="14.5">
      <c r="A56" s="168" t="s">
        <v>144</v>
      </c>
      <c r="B56" s="169" t="s">
        <v>145</v>
      </c>
      <c r="C56" s="169" t="s">
        <v>85</v>
      </c>
      <c r="D56" s="170" t="s">
        <v>3</v>
      </c>
    </row>
    <row r="57" spans="1:4" ht="14.5">
      <c r="A57" s="168" t="s">
        <v>146</v>
      </c>
      <c r="B57" s="169" t="s">
        <v>147</v>
      </c>
      <c r="C57" s="169" t="s">
        <v>85</v>
      </c>
      <c r="D57" s="170" t="s">
        <v>3</v>
      </c>
    </row>
    <row r="58" spans="1:4" ht="14.5">
      <c r="A58" s="168" t="s">
        <v>148</v>
      </c>
      <c r="B58" s="169" t="s">
        <v>149</v>
      </c>
      <c r="C58" s="169" t="s">
        <v>85</v>
      </c>
      <c r="D58" s="170" t="s">
        <v>3</v>
      </c>
    </row>
    <row r="59" spans="1:4" ht="14.5">
      <c r="A59" s="168" t="s">
        <v>150</v>
      </c>
      <c r="B59" s="169" t="s">
        <v>151</v>
      </c>
      <c r="C59" s="169" t="s">
        <v>85</v>
      </c>
      <c r="D59" s="170" t="s">
        <v>3</v>
      </c>
    </row>
    <row r="60" spans="1:4" ht="14.5">
      <c r="A60" s="168" t="s">
        <v>152</v>
      </c>
      <c r="B60" s="169" t="s">
        <v>153</v>
      </c>
      <c r="C60" s="169" t="s">
        <v>85</v>
      </c>
      <c r="D60" s="170" t="s">
        <v>3</v>
      </c>
    </row>
    <row r="61" spans="1:4" ht="14.5">
      <c r="A61" s="168" t="s">
        <v>154</v>
      </c>
      <c r="B61" s="169" t="s">
        <v>155</v>
      </c>
      <c r="C61" s="169" t="s">
        <v>85</v>
      </c>
      <c r="D61" s="170" t="s">
        <v>3</v>
      </c>
    </row>
    <row r="62" spans="1:4" ht="14.5">
      <c r="A62" s="168" t="s">
        <v>156</v>
      </c>
      <c r="B62" s="169" t="s">
        <v>157</v>
      </c>
      <c r="C62" s="169" t="s">
        <v>85</v>
      </c>
      <c r="D62" s="170" t="s">
        <v>3</v>
      </c>
    </row>
    <row r="63" spans="1:4" ht="14.5">
      <c r="A63" s="168" t="s">
        <v>158</v>
      </c>
      <c r="B63" s="169" t="s">
        <v>159</v>
      </c>
      <c r="C63" s="169" t="s">
        <v>85</v>
      </c>
      <c r="D63" s="170" t="s">
        <v>3</v>
      </c>
    </row>
    <row r="64" spans="1:4" ht="14.5">
      <c r="A64" s="168" t="s">
        <v>160</v>
      </c>
      <c r="B64" s="169" t="s">
        <v>161</v>
      </c>
      <c r="C64" s="169" t="s">
        <v>85</v>
      </c>
      <c r="D64" s="170" t="s">
        <v>3</v>
      </c>
    </row>
    <row r="65" spans="1:4" ht="14.5">
      <c r="A65" s="168" t="s">
        <v>162</v>
      </c>
      <c r="B65" s="169" t="s">
        <v>163</v>
      </c>
      <c r="C65" s="169" t="s">
        <v>85</v>
      </c>
      <c r="D65" s="170" t="s">
        <v>3</v>
      </c>
    </row>
    <row r="66" spans="1:4" ht="14.5">
      <c r="A66" s="168" t="s">
        <v>164</v>
      </c>
      <c r="B66" s="169" t="s">
        <v>165</v>
      </c>
      <c r="C66" s="169" t="s">
        <v>85</v>
      </c>
      <c r="D66" s="170" t="s">
        <v>3</v>
      </c>
    </row>
    <row r="67" spans="1:4" ht="14.5">
      <c r="A67" s="168" t="s">
        <v>166</v>
      </c>
      <c r="B67" s="169" t="s">
        <v>167</v>
      </c>
      <c r="C67" s="169" t="s">
        <v>85</v>
      </c>
      <c r="D67" s="170" t="s">
        <v>3</v>
      </c>
    </row>
    <row r="68" spans="1:4" ht="14.5">
      <c r="A68" s="168" t="s">
        <v>168</v>
      </c>
      <c r="B68" s="169" t="s">
        <v>169</v>
      </c>
      <c r="C68" s="169" t="s">
        <v>85</v>
      </c>
      <c r="D68" s="170" t="s">
        <v>3</v>
      </c>
    </row>
    <row r="69" spans="1:4" ht="14.5">
      <c r="A69" s="168" t="s">
        <v>170</v>
      </c>
      <c r="B69" s="169" t="s">
        <v>171</v>
      </c>
      <c r="C69" s="169" t="s">
        <v>85</v>
      </c>
      <c r="D69" s="170" t="s">
        <v>3</v>
      </c>
    </row>
    <row r="70" spans="1:4" ht="14.5">
      <c r="A70" s="174" t="s">
        <v>172</v>
      </c>
      <c r="B70" s="174" t="s">
        <v>173</v>
      </c>
      <c r="C70" s="174" t="s">
        <v>85</v>
      </c>
      <c r="D70" s="170" t="s">
        <v>3</v>
      </c>
    </row>
    <row r="71" spans="1:4" ht="14.5">
      <c r="A71" s="174" t="s">
        <v>174</v>
      </c>
      <c r="B71" s="174" t="s">
        <v>175</v>
      </c>
      <c r="C71" s="174" t="s">
        <v>85</v>
      </c>
      <c r="D71" s="170" t="s">
        <v>3</v>
      </c>
    </row>
    <row r="72" spans="1:4" ht="14.5">
      <c r="A72" s="174" t="s">
        <v>176</v>
      </c>
      <c r="B72" s="174" t="s">
        <v>177</v>
      </c>
      <c r="C72" s="174" t="s">
        <v>85</v>
      </c>
      <c r="D72" s="170" t="s">
        <v>3</v>
      </c>
    </row>
    <row r="73" spans="1:4" ht="14.5">
      <c r="A73" s="174" t="s">
        <v>178</v>
      </c>
      <c r="B73" s="174" t="s">
        <v>179</v>
      </c>
      <c r="C73" s="174" t="s">
        <v>85</v>
      </c>
      <c r="D73" s="170" t="s">
        <v>3</v>
      </c>
    </row>
    <row r="74" spans="1:4" ht="14.5">
      <c r="A74" s="174" t="s">
        <v>180</v>
      </c>
      <c r="B74" s="174" t="s">
        <v>181</v>
      </c>
      <c r="C74" s="174" t="s">
        <v>85</v>
      </c>
      <c r="D74" s="170" t="s">
        <v>3</v>
      </c>
    </row>
    <row r="75" spans="1:4" ht="14.5">
      <c r="A75" s="174" t="s">
        <v>182</v>
      </c>
      <c r="B75" s="174" t="s">
        <v>183</v>
      </c>
      <c r="C75" s="174" t="s">
        <v>85</v>
      </c>
      <c r="D75" s="170" t="s">
        <v>3</v>
      </c>
    </row>
    <row r="76" spans="1:4" ht="14.5">
      <c r="A76" s="174" t="s">
        <v>184</v>
      </c>
      <c r="B76" s="174" t="s">
        <v>185</v>
      </c>
      <c r="C76" s="174" t="s">
        <v>85</v>
      </c>
      <c r="D76" s="170" t="s">
        <v>3</v>
      </c>
    </row>
    <row r="77" spans="1:4" ht="14.5">
      <c r="A77" s="174" t="s">
        <v>186</v>
      </c>
      <c r="B77" s="174" t="s">
        <v>187</v>
      </c>
      <c r="C77" s="174" t="s">
        <v>188</v>
      </c>
      <c r="D77" s="170" t="s">
        <v>3</v>
      </c>
    </row>
    <row r="78" spans="1:4" ht="14.5">
      <c r="A78" s="174" t="s">
        <v>189</v>
      </c>
      <c r="B78" s="174" t="s">
        <v>190</v>
      </c>
      <c r="C78" s="174" t="s">
        <v>188</v>
      </c>
      <c r="D78" s="170" t="s">
        <v>3</v>
      </c>
    </row>
    <row r="79" spans="1:4" ht="14.5">
      <c r="A79" s="174" t="s">
        <v>191</v>
      </c>
      <c r="B79" s="174" t="s">
        <v>192</v>
      </c>
      <c r="C79" s="174" t="s">
        <v>188</v>
      </c>
      <c r="D79" s="170" t="s">
        <v>3</v>
      </c>
    </row>
    <row r="80" spans="1:4" ht="14.5">
      <c r="A80" s="174" t="s">
        <v>193</v>
      </c>
      <c r="B80" s="174" t="s">
        <v>194</v>
      </c>
      <c r="C80" s="174" t="s">
        <v>188</v>
      </c>
      <c r="D80" s="170" t="s">
        <v>3</v>
      </c>
    </row>
    <row r="81" spans="1:4" ht="14.5">
      <c r="A81" s="174" t="s">
        <v>195</v>
      </c>
      <c r="B81" s="174" t="s">
        <v>196</v>
      </c>
      <c r="C81" s="174" t="s">
        <v>188</v>
      </c>
      <c r="D81" s="170" t="s">
        <v>3</v>
      </c>
    </row>
    <row r="82" spans="1:4" ht="14.5">
      <c r="A82" s="174" t="s">
        <v>197</v>
      </c>
      <c r="B82" s="174" t="s">
        <v>198</v>
      </c>
      <c r="C82" s="174" t="s">
        <v>188</v>
      </c>
      <c r="D82" s="170" t="s">
        <v>3</v>
      </c>
    </row>
    <row r="83" spans="1:4" ht="14.5">
      <c r="A83" s="174" t="s">
        <v>199</v>
      </c>
      <c r="B83" s="174" t="s">
        <v>200</v>
      </c>
      <c r="C83" s="174" t="s">
        <v>188</v>
      </c>
      <c r="D83" s="170" t="s">
        <v>3</v>
      </c>
    </row>
    <row r="84" spans="1:4" ht="14.5">
      <c r="A84" s="174" t="s">
        <v>201</v>
      </c>
      <c r="B84" s="174" t="s">
        <v>202</v>
      </c>
      <c r="C84" s="174" t="s">
        <v>188</v>
      </c>
      <c r="D84" s="170" t="s">
        <v>3</v>
      </c>
    </row>
    <row r="85" spans="1:4" ht="14.5">
      <c r="A85" s="174" t="s">
        <v>203</v>
      </c>
      <c r="B85" s="174" t="s">
        <v>204</v>
      </c>
      <c r="C85" s="174" t="s">
        <v>205</v>
      </c>
      <c r="D85" s="170" t="s">
        <v>3</v>
      </c>
    </row>
    <row r="86" spans="1:4" ht="14.5">
      <c r="A86" s="174" t="s">
        <v>206</v>
      </c>
      <c r="B86" s="174" t="s">
        <v>207</v>
      </c>
      <c r="C86" s="174" t="s">
        <v>205</v>
      </c>
      <c r="D86" s="170" t="s">
        <v>3</v>
      </c>
    </row>
    <row r="87" spans="1:4" ht="14.5">
      <c r="A87" s="174" t="s">
        <v>208</v>
      </c>
      <c r="B87" s="174" t="s">
        <v>209</v>
      </c>
      <c r="C87" s="174" t="s">
        <v>205</v>
      </c>
      <c r="D87" s="170" t="s">
        <v>3</v>
      </c>
    </row>
    <row r="88" spans="1:4" ht="14.5">
      <c r="A88" s="174" t="s">
        <v>210</v>
      </c>
      <c r="B88" s="174" t="s">
        <v>211</v>
      </c>
      <c r="C88" s="174" t="s">
        <v>205</v>
      </c>
      <c r="D88" s="170" t="s">
        <v>3</v>
      </c>
    </row>
    <row r="89" spans="1:4" ht="14.5">
      <c r="A89" s="174">
        <v>1354100140</v>
      </c>
      <c r="B89" s="174" t="s">
        <v>212</v>
      </c>
      <c r="C89" s="174" t="s">
        <v>213</v>
      </c>
      <c r="D89" s="170" t="s">
        <v>3</v>
      </c>
    </row>
    <row r="90" spans="1:4" ht="14.5">
      <c r="A90" s="174">
        <v>1354100139</v>
      </c>
      <c r="B90" s="174" t="s">
        <v>214</v>
      </c>
      <c r="C90" s="174" t="s">
        <v>213</v>
      </c>
      <c r="D90" s="170" t="s">
        <v>3</v>
      </c>
    </row>
    <row r="91" spans="1:4" ht="14.5">
      <c r="A91" s="174">
        <v>1354100143</v>
      </c>
      <c r="B91" s="174" t="s">
        <v>215</v>
      </c>
      <c r="C91" s="174" t="s">
        <v>213</v>
      </c>
      <c r="D91" s="170" t="s">
        <v>3</v>
      </c>
    </row>
    <row r="92" spans="1:4" ht="14.5">
      <c r="A92" s="174">
        <v>1354100111</v>
      </c>
      <c r="B92" s="174" t="s">
        <v>216</v>
      </c>
      <c r="C92" s="174" t="s">
        <v>213</v>
      </c>
      <c r="D92" s="170" t="s">
        <v>3</v>
      </c>
    </row>
    <row r="93" spans="1:4" ht="14.5">
      <c r="A93" s="174">
        <v>1354100121</v>
      </c>
      <c r="B93" s="174" t="s">
        <v>217</v>
      </c>
      <c r="C93" s="174" t="s">
        <v>213</v>
      </c>
      <c r="D93" s="170" t="s">
        <v>3</v>
      </c>
    </row>
    <row r="94" spans="1:4" ht="14.5">
      <c r="A94" s="174">
        <v>1354100133</v>
      </c>
      <c r="B94" s="174" t="s">
        <v>218</v>
      </c>
      <c r="C94" s="174" t="s">
        <v>213</v>
      </c>
      <c r="D94" s="170" t="s">
        <v>3</v>
      </c>
    </row>
    <row r="95" spans="1:4" ht="14.5">
      <c r="A95" s="174">
        <v>1354100138</v>
      </c>
      <c r="B95" s="174" t="s">
        <v>219</v>
      </c>
      <c r="C95" s="174" t="s">
        <v>213</v>
      </c>
      <c r="D95" s="170" t="s">
        <v>3</v>
      </c>
    </row>
    <row r="96" spans="1:4" ht="14.5">
      <c r="A96" s="174">
        <v>1354100113</v>
      </c>
      <c r="B96" s="174" t="s">
        <v>220</v>
      </c>
      <c r="C96" s="174" t="s">
        <v>213</v>
      </c>
      <c r="D96" s="170" t="s">
        <v>3</v>
      </c>
    </row>
    <row r="97" spans="1:4" ht="14.5">
      <c r="A97" s="174">
        <v>1354100114</v>
      </c>
      <c r="B97" s="174" t="s">
        <v>221</v>
      </c>
      <c r="C97" s="174" t="s">
        <v>213</v>
      </c>
      <c r="D97" s="170" t="s">
        <v>3</v>
      </c>
    </row>
    <row r="98" spans="1:4" ht="14.5">
      <c r="A98" s="174">
        <v>1354100122</v>
      </c>
      <c r="B98" s="174" t="s">
        <v>222</v>
      </c>
      <c r="C98" s="174" t="s">
        <v>213</v>
      </c>
      <c r="D98" s="170" t="s">
        <v>3</v>
      </c>
    </row>
    <row r="99" spans="1:4" ht="14.5">
      <c r="A99" s="174">
        <v>1354100123</v>
      </c>
      <c r="B99" s="174" t="s">
        <v>223</v>
      </c>
      <c r="C99" s="174" t="s">
        <v>213</v>
      </c>
      <c r="D99" s="170" t="s">
        <v>3</v>
      </c>
    </row>
    <row r="100" spans="1:4" ht="14.5">
      <c r="A100" s="174">
        <v>1354100124</v>
      </c>
      <c r="B100" s="174" t="s">
        <v>224</v>
      </c>
      <c r="C100" s="174" t="s">
        <v>213</v>
      </c>
      <c r="D100" s="170" t="s">
        <v>3</v>
      </c>
    </row>
    <row r="101" spans="1:4" ht="14.5">
      <c r="A101" s="174">
        <v>1354100125</v>
      </c>
      <c r="B101" s="174" t="s">
        <v>225</v>
      </c>
      <c r="C101" s="174" t="s">
        <v>213</v>
      </c>
      <c r="D101" s="170" t="s">
        <v>3</v>
      </c>
    </row>
    <row r="102" spans="1:4" ht="14.5">
      <c r="A102" s="174">
        <v>1354100126</v>
      </c>
      <c r="B102" s="174" t="s">
        <v>226</v>
      </c>
      <c r="C102" s="174" t="s">
        <v>213</v>
      </c>
      <c r="D102" s="170" t="s">
        <v>3</v>
      </c>
    </row>
    <row r="103" spans="1:4" ht="14.5">
      <c r="A103" s="174">
        <v>1354100135</v>
      </c>
      <c r="B103" s="174" t="s">
        <v>227</v>
      </c>
      <c r="C103" s="174" t="s">
        <v>213</v>
      </c>
      <c r="D103" s="170" t="s">
        <v>3</v>
      </c>
    </row>
    <row r="104" spans="1:4" ht="14.5">
      <c r="A104" s="174">
        <v>1354100136</v>
      </c>
      <c r="B104" s="174" t="s">
        <v>228</v>
      </c>
      <c r="C104" s="174" t="s">
        <v>213</v>
      </c>
      <c r="D104" s="170" t="s">
        <v>3</v>
      </c>
    </row>
    <row r="105" spans="1:4" ht="14.5">
      <c r="A105" s="174">
        <v>1354100065</v>
      </c>
      <c r="B105" s="174" t="s">
        <v>229</v>
      </c>
      <c r="C105" s="174" t="s">
        <v>213</v>
      </c>
      <c r="D105" s="170" t="s">
        <v>3</v>
      </c>
    </row>
    <row r="106" spans="1:4" ht="14.5">
      <c r="A106" s="174">
        <v>1354100063</v>
      </c>
      <c r="B106" s="174" t="s">
        <v>230</v>
      </c>
      <c r="C106" s="174" t="s">
        <v>213</v>
      </c>
      <c r="D106" s="170" t="s">
        <v>3</v>
      </c>
    </row>
    <row r="107" spans="1:4" ht="14.5">
      <c r="A107" s="174">
        <v>1354100132</v>
      </c>
      <c r="B107" s="174" t="s">
        <v>231</v>
      </c>
      <c r="C107" s="174" t="s">
        <v>213</v>
      </c>
      <c r="D107" s="170" t="s">
        <v>3</v>
      </c>
    </row>
    <row r="108" spans="1:4" ht="14.5">
      <c r="A108" s="174">
        <v>1354100073</v>
      </c>
      <c r="B108" s="174" t="s">
        <v>232</v>
      </c>
      <c r="C108" s="174" t="s">
        <v>213</v>
      </c>
      <c r="D108" s="170" t="s">
        <v>3</v>
      </c>
    </row>
    <row r="109" spans="1:4" ht="14.5">
      <c r="A109" s="174">
        <v>1354100115</v>
      </c>
      <c r="B109" s="174" t="s">
        <v>233</v>
      </c>
      <c r="C109" s="174" t="s">
        <v>213</v>
      </c>
      <c r="D109" s="170" t="s">
        <v>3</v>
      </c>
    </row>
    <row r="110" spans="1:4" ht="14.5">
      <c r="A110" s="174">
        <v>1354100118</v>
      </c>
      <c r="B110" s="174" t="s">
        <v>234</v>
      </c>
      <c r="C110" s="174" t="s">
        <v>213</v>
      </c>
      <c r="D110" s="170" t="s">
        <v>3</v>
      </c>
    </row>
    <row r="111" spans="1:4" ht="14.5">
      <c r="A111" s="174">
        <v>1354100120</v>
      </c>
      <c r="B111" s="174" t="s">
        <v>235</v>
      </c>
      <c r="C111" s="174" t="s">
        <v>213</v>
      </c>
      <c r="D111" s="170" t="s">
        <v>3</v>
      </c>
    </row>
    <row r="112" spans="1:4" ht="14.5">
      <c r="A112" s="174">
        <v>1354100127</v>
      </c>
      <c r="B112" s="174" t="s">
        <v>236</v>
      </c>
      <c r="C112" s="174" t="s">
        <v>213</v>
      </c>
      <c r="D112" s="170" t="s">
        <v>3</v>
      </c>
    </row>
    <row r="113" spans="1:4" ht="14.5">
      <c r="A113" s="174">
        <v>1354100129</v>
      </c>
      <c r="B113" s="174" t="s">
        <v>237</v>
      </c>
      <c r="C113" s="174" t="s">
        <v>213</v>
      </c>
      <c r="D113" s="170" t="s">
        <v>3</v>
      </c>
    </row>
    <row r="114" spans="1:4" ht="14.5">
      <c r="A114" s="174">
        <v>1354100130</v>
      </c>
      <c r="B114" s="174" t="s">
        <v>238</v>
      </c>
      <c r="C114" s="174" t="s">
        <v>213</v>
      </c>
      <c r="D114" s="170" t="s">
        <v>3</v>
      </c>
    </row>
    <row r="115" spans="1:4" ht="14.5">
      <c r="A115" s="174">
        <v>1354100131</v>
      </c>
      <c r="B115" s="174" t="s">
        <v>239</v>
      </c>
      <c r="C115" s="174" t="s">
        <v>213</v>
      </c>
      <c r="D115" s="170" t="s">
        <v>3</v>
      </c>
    </row>
    <row r="116" spans="1:4" ht="14.5">
      <c r="A116" s="174">
        <v>1354100007</v>
      </c>
      <c r="B116" s="174" t="s">
        <v>240</v>
      </c>
      <c r="C116" s="174" t="s">
        <v>213</v>
      </c>
      <c r="D116" s="170" t="s">
        <v>3</v>
      </c>
    </row>
    <row r="117" spans="1:4" ht="14.5">
      <c r="A117" s="174">
        <v>1354100109</v>
      </c>
      <c r="B117" s="174" t="s">
        <v>241</v>
      </c>
      <c r="C117" s="174" t="s">
        <v>213</v>
      </c>
      <c r="D117" s="170" t="s">
        <v>3</v>
      </c>
    </row>
    <row r="118" spans="1:4" ht="14.5">
      <c r="A118" s="174">
        <v>1354100112</v>
      </c>
      <c r="B118" s="174" t="s">
        <v>242</v>
      </c>
      <c r="C118" s="174" t="s">
        <v>213</v>
      </c>
      <c r="D118" s="170" t="s">
        <v>3</v>
      </c>
    </row>
    <row r="119" spans="1:4" ht="14.5">
      <c r="A119" s="174">
        <v>1354100031</v>
      </c>
      <c r="B119" s="174" t="s">
        <v>243</v>
      </c>
      <c r="C119" s="174" t="s">
        <v>213</v>
      </c>
      <c r="D119" s="170" t="s">
        <v>3</v>
      </c>
    </row>
    <row r="120" spans="1:4" ht="14.5">
      <c r="A120" s="174">
        <v>1354100027</v>
      </c>
      <c r="B120" s="174" t="s">
        <v>244</v>
      </c>
      <c r="C120" s="174" t="s">
        <v>213</v>
      </c>
      <c r="D120" s="170" t="s">
        <v>3</v>
      </c>
    </row>
    <row r="121" spans="1:4" ht="14.5">
      <c r="A121" s="174">
        <v>1354100030</v>
      </c>
      <c r="B121" s="174" t="s">
        <v>245</v>
      </c>
      <c r="C121" s="174" t="s">
        <v>213</v>
      </c>
      <c r="D121" s="170" t="s">
        <v>3</v>
      </c>
    </row>
    <row r="122" spans="1:4" ht="14.5">
      <c r="A122" s="174">
        <v>1354100137</v>
      </c>
      <c r="B122" s="174" t="s">
        <v>246</v>
      </c>
      <c r="C122" s="174" t="s">
        <v>213</v>
      </c>
      <c r="D122" s="170" t="s">
        <v>3</v>
      </c>
    </row>
    <row r="123" spans="1:4" ht="14.5">
      <c r="A123" s="174">
        <v>1354100034</v>
      </c>
      <c r="B123" s="174" t="s">
        <v>247</v>
      </c>
      <c r="C123" s="174" t="s">
        <v>213</v>
      </c>
      <c r="D123" s="170" t="s">
        <v>3</v>
      </c>
    </row>
    <row r="124" spans="1:4" ht="14.5">
      <c r="A124" s="174">
        <v>1354100097</v>
      </c>
      <c r="B124" s="174" t="s">
        <v>248</v>
      </c>
      <c r="C124" s="174" t="s">
        <v>213</v>
      </c>
      <c r="D124" s="170" t="s">
        <v>3</v>
      </c>
    </row>
    <row r="125" spans="1:4" ht="14.5">
      <c r="A125" s="174">
        <v>1354100144</v>
      </c>
      <c r="B125" s="174" t="s">
        <v>249</v>
      </c>
      <c r="C125" s="174" t="s">
        <v>213</v>
      </c>
      <c r="D125" s="170" t="s">
        <v>3</v>
      </c>
    </row>
    <row r="126" spans="1:4" ht="14.5">
      <c r="A126" s="174">
        <v>1354100145</v>
      </c>
      <c r="B126" s="174" t="s">
        <v>250</v>
      </c>
      <c r="C126" s="174" t="s">
        <v>213</v>
      </c>
      <c r="D126" s="170" t="s">
        <v>3</v>
      </c>
    </row>
    <row r="127" spans="1:4" ht="14.5">
      <c r="A127" s="174">
        <v>1354100148</v>
      </c>
      <c r="B127" s="174" t="s">
        <v>251</v>
      </c>
      <c r="C127" s="174" t="s">
        <v>213</v>
      </c>
      <c r="D127" s="170" t="s">
        <v>3</v>
      </c>
    </row>
    <row r="128" spans="1:4" ht="14.5">
      <c r="A128" s="174">
        <v>1354100149</v>
      </c>
      <c r="B128" s="174" t="s">
        <v>252</v>
      </c>
      <c r="C128" s="174" t="s">
        <v>213</v>
      </c>
      <c r="D128" s="170" t="s">
        <v>3</v>
      </c>
    </row>
    <row r="129" spans="1:4" ht="14.5">
      <c r="A129" s="174">
        <v>1354100150</v>
      </c>
      <c r="B129" s="174" t="s">
        <v>253</v>
      </c>
      <c r="C129" s="174" t="s">
        <v>213</v>
      </c>
      <c r="D129" s="170" t="s">
        <v>3</v>
      </c>
    </row>
    <row r="130" spans="1:4" ht="14.5">
      <c r="A130" s="174">
        <v>1354100151</v>
      </c>
      <c r="B130" s="174" t="s">
        <v>254</v>
      </c>
      <c r="C130" s="174" t="s">
        <v>213</v>
      </c>
      <c r="D130" s="170" t="s">
        <v>3</v>
      </c>
    </row>
    <row r="131" spans="1:4" ht="14.5">
      <c r="A131" s="174">
        <v>1354100152</v>
      </c>
      <c r="B131" s="174" t="s">
        <v>255</v>
      </c>
      <c r="C131" s="174" t="s">
        <v>213</v>
      </c>
      <c r="D131" s="170" t="s">
        <v>3</v>
      </c>
    </row>
    <row r="132" spans="1:4" ht="14.5">
      <c r="A132" s="174">
        <v>1354100032</v>
      </c>
      <c r="B132" s="174" t="s">
        <v>256</v>
      </c>
      <c r="C132" s="174" t="s">
        <v>213</v>
      </c>
      <c r="D132" s="170" t="s">
        <v>3</v>
      </c>
    </row>
    <row r="133" spans="1:4" ht="14.5">
      <c r="A133" s="174">
        <v>1354100074</v>
      </c>
      <c r="B133" s="174" t="s">
        <v>257</v>
      </c>
      <c r="C133" s="174" t="s">
        <v>213</v>
      </c>
      <c r="D133" s="170" t="s">
        <v>3</v>
      </c>
    </row>
    <row r="134" spans="1:4" ht="14.5">
      <c r="A134" s="174">
        <v>1354100070</v>
      </c>
      <c r="B134" s="174" t="s">
        <v>258</v>
      </c>
      <c r="C134" s="174" t="s">
        <v>213</v>
      </c>
      <c r="D134" s="170" t="s">
        <v>3</v>
      </c>
    </row>
    <row r="135" spans="1:4" ht="14.5">
      <c r="A135" s="174" t="s">
        <v>259</v>
      </c>
      <c r="B135" s="174" t="s">
        <v>260</v>
      </c>
      <c r="C135" s="174" t="s">
        <v>261</v>
      </c>
      <c r="D135" s="170" t="s">
        <v>3</v>
      </c>
    </row>
    <row r="136" spans="1:4" ht="14.5">
      <c r="A136" s="174" t="s">
        <v>262</v>
      </c>
      <c r="B136" s="174" t="s">
        <v>263</v>
      </c>
      <c r="C136" s="174" t="s">
        <v>261</v>
      </c>
      <c r="D136" s="170" t="s">
        <v>3</v>
      </c>
    </row>
    <row r="137" spans="1:4" ht="14.5">
      <c r="A137" s="174" t="s">
        <v>264</v>
      </c>
      <c r="B137" s="174" t="s">
        <v>265</v>
      </c>
      <c r="C137" s="174" t="s">
        <v>261</v>
      </c>
      <c r="D137" s="170" t="s">
        <v>3</v>
      </c>
    </row>
    <row r="138" spans="1:4" ht="14.5">
      <c r="A138" s="174" t="s">
        <v>266</v>
      </c>
      <c r="B138" s="174" t="s">
        <v>267</v>
      </c>
      <c r="C138" s="174" t="s">
        <v>261</v>
      </c>
      <c r="D138" s="170" t="s">
        <v>3</v>
      </c>
    </row>
    <row r="139" spans="1:4" ht="14.5">
      <c r="A139" s="174" t="s">
        <v>268</v>
      </c>
      <c r="B139" s="174" t="s">
        <v>269</v>
      </c>
      <c r="C139" s="174" t="s">
        <v>261</v>
      </c>
      <c r="D139" s="170" t="s">
        <v>3</v>
      </c>
    </row>
    <row r="140" spans="1:4" ht="14.5">
      <c r="A140" s="174" t="s">
        <v>270</v>
      </c>
      <c r="B140" s="174" t="s">
        <v>271</v>
      </c>
      <c r="C140" s="174" t="s">
        <v>261</v>
      </c>
      <c r="D140" s="170" t="s">
        <v>3</v>
      </c>
    </row>
    <row r="141" spans="1:4" ht="14.5">
      <c r="A141" s="174" t="s">
        <v>272</v>
      </c>
      <c r="B141" s="174" t="s">
        <v>273</v>
      </c>
      <c r="C141" s="174" t="s">
        <v>261</v>
      </c>
      <c r="D141" s="170" t="s">
        <v>3</v>
      </c>
    </row>
    <row r="142" spans="1:4" ht="14.5">
      <c r="A142" s="174" t="s">
        <v>274</v>
      </c>
      <c r="B142" s="174" t="s">
        <v>275</v>
      </c>
      <c r="C142" s="174" t="s">
        <v>261</v>
      </c>
      <c r="D142" s="170" t="s">
        <v>3</v>
      </c>
    </row>
    <row r="143" spans="1:4" ht="14.5">
      <c r="A143" s="174" t="s">
        <v>276</v>
      </c>
      <c r="B143" s="174" t="s">
        <v>277</v>
      </c>
      <c r="C143" s="174" t="s">
        <v>261</v>
      </c>
      <c r="D143" s="170" t="s">
        <v>3</v>
      </c>
    </row>
    <row r="144" spans="1:4" ht="14.5">
      <c r="A144" s="174" t="s">
        <v>278</v>
      </c>
      <c r="B144" s="174" t="s">
        <v>279</v>
      </c>
      <c r="C144" s="174" t="s">
        <v>261</v>
      </c>
      <c r="D144" s="170" t="s">
        <v>3</v>
      </c>
    </row>
    <row r="145" spans="1:4" ht="14.5">
      <c r="A145" s="174" t="s">
        <v>280</v>
      </c>
      <c r="B145" s="174" t="s">
        <v>281</v>
      </c>
      <c r="C145" s="174" t="s">
        <v>261</v>
      </c>
      <c r="D145" s="170" t="s">
        <v>3</v>
      </c>
    </row>
    <row r="146" spans="1:4" ht="14.5">
      <c r="A146" s="174" t="s">
        <v>282</v>
      </c>
      <c r="B146" s="174" t="s">
        <v>283</v>
      </c>
      <c r="C146" s="174" t="s">
        <v>261</v>
      </c>
      <c r="D146" s="170" t="s">
        <v>3</v>
      </c>
    </row>
    <row r="147" spans="1:4" ht="14.5">
      <c r="A147" s="174" t="s">
        <v>284</v>
      </c>
      <c r="B147" s="174" t="s">
        <v>285</v>
      </c>
      <c r="C147" s="174" t="s">
        <v>261</v>
      </c>
      <c r="D147" s="170" t="s">
        <v>3</v>
      </c>
    </row>
    <row r="148" spans="1:4" ht="14.5">
      <c r="A148" s="174" t="s">
        <v>286</v>
      </c>
      <c r="B148" s="174" t="s">
        <v>287</v>
      </c>
      <c r="C148" s="174" t="s">
        <v>261</v>
      </c>
      <c r="D148" s="170" t="s">
        <v>3</v>
      </c>
    </row>
    <row r="149" spans="1:4" ht="14.5">
      <c r="A149" s="174" t="s">
        <v>288</v>
      </c>
      <c r="B149" s="174" t="s">
        <v>289</v>
      </c>
      <c r="C149" s="174" t="s">
        <v>261</v>
      </c>
      <c r="D149" s="170" t="s">
        <v>3</v>
      </c>
    </row>
    <row r="150" spans="1:4" ht="14.5">
      <c r="A150" s="174" t="s">
        <v>290</v>
      </c>
      <c r="B150" s="174" t="s">
        <v>291</v>
      </c>
      <c r="C150" s="174" t="s">
        <v>261</v>
      </c>
      <c r="D150" s="170" t="s">
        <v>3</v>
      </c>
    </row>
    <row r="151" spans="1:4" ht="14.5">
      <c r="A151" s="174" t="s">
        <v>292</v>
      </c>
      <c r="B151" s="174" t="s">
        <v>293</v>
      </c>
      <c r="C151" s="174" t="s">
        <v>261</v>
      </c>
      <c r="D151" s="170" t="s">
        <v>3</v>
      </c>
    </row>
    <row r="152" spans="1:4" ht="14.5">
      <c r="A152" s="174" t="s">
        <v>294</v>
      </c>
      <c r="B152" s="174" t="s">
        <v>295</v>
      </c>
      <c r="C152" s="174" t="s">
        <v>261</v>
      </c>
      <c r="D152" s="170" t="s">
        <v>3</v>
      </c>
    </row>
    <row r="153" spans="1:4" ht="14.5">
      <c r="A153" s="174" t="s">
        <v>296</v>
      </c>
      <c r="B153" s="174" t="s">
        <v>297</v>
      </c>
      <c r="C153" s="174" t="s">
        <v>261</v>
      </c>
      <c r="D153" s="170" t="s">
        <v>3</v>
      </c>
    </row>
    <row r="154" spans="1:4" ht="14.5">
      <c r="A154" s="174" t="s">
        <v>298</v>
      </c>
      <c r="B154" s="174" t="s">
        <v>299</v>
      </c>
      <c r="C154" s="174" t="s">
        <v>261</v>
      </c>
      <c r="D154" s="170" t="s">
        <v>3</v>
      </c>
    </row>
    <row r="155" spans="1:4" ht="14.5">
      <c r="A155" s="174" t="s">
        <v>300</v>
      </c>
      <c r="B155" s="174" t="s">
        <v>301</v>
      </c>
      <c r="C155" s="174" t="s">
        <v>261</v>
      </c>
      <c r="D155" s="170" t="s">
        <v>3</v>
      </c>
    </row>
    <row r="156" spans="1:4" ht="14.5">
      <c r="A156" s="174" t="s">
        <v>302</v>
      </c>
      <c r="B156" s="174" t="s">
        <v>303</v>
      </c>
      <c r="C156" s="174" t="s">
        <v>261</v>
      </c>
      <c r="D156" s="170" t="s">
        <v>3</v>
      </c>
    </row>
    <row r="157" spans="1:4" ht="14.5">
      <c r="A157" s="174" t="s">
        <v>304</v>
      </c>
      <c r="B157" s="174" t="s">
        <v>305</v>
      </c>
      <c r="C157" s="174" t="s">
        <v>261</v>
      </c>
      <c r="D157" s="170" t="s">
        <v>3</v>
      </c>
    </row>
    <row r="158" spans="1:4" ht="14.5">
      <c r="A158" s="174" t="s">
        <v>306</v>
      </c>
      <c r="B158" s="174" t="s">
        <v>307</v>
      </c>
      <c r="C158" s="174" t="s">
        <v>261</v>
      </c>
      <c r="D158" s="170" t="s">
        <v>3</v>
      </c>
    </row>
    <row r="159" spans="1:4" ht="14.5">
      <c r="A159" s="174" t="s">
        <v>308</v>
      </c>
      <c r="B159" s="174" t="s">
        <v>309</v>
      </c>
      <c r="C159" s="174" t="s">
        <v>261</v>
      </c>
      <c r="D159" s="170" t="s">
        <v>3</v>
      </c>
    </row>
    <row r="160" spans="1:4" ht="14.5">
      <c r="A160" s="174" t="s">
        <v>310</v>
      </c>
      <c r="B160" s="174" t="s">
        <v>311</v>
      </c>
      <c r="C160" s="174" t="s">
        <v>261</v>
      </c>
      <c r="D160" s="170" t="s">
        <v>3</v>
      </c>
    </row>
    <row r="161" spans="1:4" ht="14.5">
      <c r="A161" s="174" t="s">
        <v>312</v>
      </c>
      <c r="B161" s="174" t="s">
        <v>313</v>
      </c>
      <c r="C161" s="174" t="s">
        <v>261</v>
      </c>
      <c r="D161" s="170" t="s">
        <v>3</v>
      </c>
    </row>
    <row r="162" spans="1:4" ht="14.5">
      <c r="A162" s="174" t="s">
        <v>314</v>
      </c>
      <c r="B162" s="174" t="s">
        <v>315</v>
      </c>
      <c r="C162" s="174" t="s">
        <v>261</v>
      </c>
      <c r="D162" s="170" t="s">
        <v>3</v>
      </c>
    </row>
    <row r="163" spans="1:4" ht="14.5">
      <c r="A163" s="174" t="s">
        <v>316</v>
      </c>
      <c r="B163" s="174" t="s">
        <v>317</v>
      </c>
      <c r="C163" s="174" t="s">
        <v>261</v>
      </c>
      <c r="D163" s="170" t="s">
        <v>3</v>
      </c>
    </row>
    <row r="164" spans="1:4" ht="14.5">
      <c r="A164" s="174" t="s">
        <v>318</v>
      </c>
      <c r="B164" s="174" t="s">
        <v>319</v>
      </c>
      <c r="C164" s="174" t="s">
        <v>261</v>
      </c>
      <c r="D164" s="170" t="s">
        <v>3</v>
      </c>
    </row>
    <row r="165" spans="1:4" ht="14.5">
      <c r="A165" s="174" t="s">
        <v>320</v>
      </c>
      <c r="B165" s="174" t="s">
        <v>321</v>
      </c>
      <c r="C165" s="174" t="s">
        <v>261</v>
      </c>
      <c r="D165" s="170" t="s">
        <v>3</v>
      </c>
    </row>
    <row r="166" spans="1:4" ht="14.5">
      <c r="A166" s="174" t="s">
        <v>322</v>
      </c>
      <c r="B166" s="174" t="s">
        <v>323</v>
      </c>
      <c r="C166" s="174" t="s">
        <v>261</v>
      </c>
      <c r="D166" s="170" t="s">
        <v>3</v>
      </c>
    </row>
    <row r="167" spans="1:4" ht="14.5">
      <c r="A167" s="174" t="s">
        <v>324</v>
      </c>
      <c r="B167" s="174" t="s">
        <v>325</v>
      </c>
      <c r="C167" s="174" t="s">
        <v>261</v>
      </c>
      <c r="D167" s="170" t="s">
        <v>3</v>
      </c>
    </row>
    <row r="168" spans="1:4" ht="14.5">
      <c r="A168" s="174" t="s">
        <v>326</v>
      </c>
      <c r="B168" s="174" t="s">
        <v>327</v>
      </c>
      <c r="C168" s="174" t="s">
        <v>261</v>
      </c>
      <c r="D168" s="170" t="s">
        <v>3</v>
      </c>
    </row>
    <row r="169" spans="1:4" ht="14.5">
      <c r="A169" s="174" t="s">
        <v>328</v>
      </c>
      <c r="B169" s="174" t="s">
        <v>329</v>
      </c>
      <c r="C169" s="174" t="s">
        <v>261</v>
      </c>
      <c r="D169" s="170" t="s">
        <v>3</v>
      </c>
    </row>
    <row r="170" spans="1:4" ht="14.5">
      <c r="A170" s="174" t="s">
        <v>330</v>
      </c>
      <c r="B170" s="174" t="s">
        <v>331</v>
      </c>
      <c r="C170" s="174" t="s">
        <v>261</v>
      </c>
      <c r="D170" s="170" t="s">
        <v>3</v>
      </c>
    </row>
    <row r="171" spans="1:4" ht="14.5">
      <c r="A171" s="174" t="s">
        <v>332</v>
      </c>
      <c r="B171" s="174" t="s">
        <v>333</v>
      </c>
      <c r="C171" s="174" t="s">
        <v>261</v>
      </c>
      <c r="D171" s="170" t="s">
        <v>3</v>
      </c>
    </row>
    <row r="172" spans="1:4" ht="14.5">
      <c r="A172" s="174" t="s">
        <v>334</v>
      </c>
      <c r="B172" s="174" t="s">
        <v>335</v>
      </c>
      <c r="C172" s="174" t="s">
        <v>261</v>
      </c>
      <c r="D172" s="170" t="s">
        <v>3</v>
      </c>
    </row>
    <row r="173" spans="1:4" ht="14.5">
      <c r="A173" s="174" t="s">
        <v>336</v>
      </c>
      <c r="B173" s="174" t="s">
        <v>337</v>
      </c>
      <c r="C173" s="174" t="s">
        <v>261</v>
      </c>
      <c r="D173" s="170" t="s">
        <v>3</v>
      </c>
    </row>
    <row r="174" spans="1:4" ht="14.5">
      <c r="A174" s="174" t="s">
        <v>338</v>
      </c>
      <c r="B174" s="174" t="s">
        <v>339</v>
      </c>
      <c r="C174" s="174" t="s">
        <v>261</v>
      </c>
      <c r="D174" s="170" t="s">
        <v>3</v>
      </c>
    </row>
    <row r="175" spans="1:4" ht="14.5">
      <c r="A175" s="174" t="s">
        <v>340</v>
      </c>
      <c r="B175" s="174" t="s">
        <v>341</v>
      </c>
      <c r="C175" s="174" t="s">
        <v>261</v>
      </c>
      <c r="D175" s="170" t="s">
        <v>3</v>
      </c>
    </row>
    <row r="176" spans="1:4" ht="14.5">
      <c r="A176" s="174" t="s">
        <v>342</v>
      </c>
      <c r="B176" s="174" t="s">
        <v>343</v>
      </c>
      <c r="C176" s="174" t="s">
        <v>261</v>
      </c>
      <c r="D176" s="170" t="s">
        <v>3</v>
      </c>
    </row>
    <row r="177" spans="1:4" ht="14.5">
      <c r="A177" s="174" t="s">
        <v>344</v>
      </c>
      <c r="B177" s="174" t="s">
        <v>345</v>
      </c>
      <c r="C177" s="174" t="s">
        <v>261</v>
      </c>
      <c r="D177" s="170" t="s">
        <v>3</v>
      </c>
    </row>
    <row r="178" spans="1:4" ht="14.5">
      <c r="A178" s="174" t="s">
        <v>346</v>
      </c>
      <c r="B178" s="174" t="s">
        <v>347</v>
      </c>
      <c r="C178" s="174" t="s">
        <v>261</v>
      </c>
      <c r="D178" s="170" t="s">
        <v>3</v>
      </c>
    </row>
    <row r="179" spans="1:4" ht="14.5">
      <c r="A179" s="174" t="s">
        <v>348</v>
      </c>
      <c r="B179" s="174" t="s">
        <v>349</v>
      </c>
      <c r="C179" s="174" t="s">
        <v>261</v>
      </c>
      <c r="D179" s="170" t="s">
        <v>3</v>
      </c>
    </row>
    <row r="180" spans="1:4" ht="14.5">
      <c r="A180" s="174" t="s">
        <v>350</v>
      </c>
      <c r="B180" s="174" t="s">
        <v>351</v>
      </c>
      <c r="C180" s="174" t="s">
        <v>261</v>
      </c>
      <c r="D180" s="170" t="s">
        <v>3</v>
      </c>
    </row>
    <row r="181" spans="1:4" ht="14.5">
      <c r="A181" s="174" t="s">
        <v>352</v>
      </c>
      <c r="B181" s="174" t="s">
        <v>353</v>
      </c>
      <c r="C181" s="174" t="s">
        <v>261</v>
      </c>
      <c r="D181" s="170" t="s">
        <v>3</v>
      </c>
    </row>
    <row r="182" spans="1:4" ht="14.5">
      <c r="A182" s="174" t="s">
        <v>354</v>
      </c>
      <c r="B182" s="174" t="s">
        <v>355</v>
      </c>
      <c r="C182" s="174" t="s">
        <v>261</v>
      </c>
      <c r="D182" s="170" t="s">
        <v>3</v>
      </c>
    </row>
    <row r="183" spans="1:4" ht="14.5">
      <c r="A183" s="174" t="s">
        <v>356</v>
      </c>
      <c r="B183" s="174" t="s">
        <v>357</v>
      </c>
      <c r="C183" s="174" t="s">
        <v>261</v>
      </c>
      <c r="D183" s="170" t="s">
        <v>3</v>
      </c>
    </row>
    <row r="184" spans="1:4" ht="14.5">
      <c r="A184" s="174" t="s">
        <v>358</v>
      </c>
      <c r="B184" s="174" t="s">
        <v>359</v>
      </c>
      <c r="C184" s="174" t="s">
        <v>261</v>
      </c>
      <c r="D184" s="170" t="s">
        <v>3</v>
      </c>
    </row>
    <row r="185" spans="1:4" ht="14.5">
      <c r="A185" s="174" t="s">
        <v>360</v>
      </c>
      <c r="B185" s="174" t="s">
        <v>361</v>
      </c>
      <c r="C185" s="174" t="s">
        <v>261</v>
      </c>
      <c r="D185" s="170" t="s">
        <v>3</v>
      </c>
    </row>
    <row r="186" spans="1:4" ht="14.5">
      <c r="A186" s="174" t="s">
        <v>362</v>
      </c>
      <c r="B186" s="174" t="s">
        <v>363</v>
      </c>
      <c r="C186" s="174" t="s">
        <v>261</v>
      </c>
      <c r="D186" s="170" t="s">
        <v>3</v>
      </c>
    </row>
    <row r="187" spans="1:4" ht="14.5">
      <c r="A187" s="174" t="s">
        <v>364</v>
      </c>
      <c r="B187" s="174" t="s">
        <v>365</v>
      </c>
      <c r="C187" s="174" t="s">
        <v>261</v>
      </c>
      <c r="D187" s="170" t="s">
        <v>3</v>
      </c>
    </row>
    <row r="188" spans="1:4" ht="14.5">
      <c r="A188" s="174" t="s">
        <v>366</v>
      </c>
      <c r="B188" s="174" t="s">
        <v>367</v>
      </c>
      <c r="C188" s="174" t="s">
        <v>261</v>
      </c>
      <c r="D188" s="170" t="s">
        <v>3</v>
      </c>
    </row>
    <row r="189" spans="1:4" ht="14.5">
      <c r="A189" s="174" t="s">
        <v>368</v>
      </c>
      <c r="B189" s="174" t="s">
        <v>369</v>
      </c>
      <c r="C189" s="174" t="s">
        <v>261</v>
      </c>
      <c r="D189" s="170" t="s">
        <v>3</v>
      </c>
    </row>
    <row r="190" spans="1:4" ht="14.5">
      <c r="A190" s="174" t="s">
        <v>370</v>
      </c>
      <c r="B190" s="174" t="s">
        <v>371</v>
      </c>
      <c r="C190" s="174" t="s">
        <v>261</v>
      </c>
      <c r="D190" s="170" t="s">
        <v>3</v>
      </c>
    </row>
    <row r="191" spans="1:4" ht="14.5">
      <c r="A191" s="174" t="s">
        <v>372</v>
      </c>
      <c r="B191" s="174" t="s">
        <v>373</v>
      </c>
      <c r="C191" s="174" t="s">
        <v>261</v>
      </c>
      <c r="D191" s="170" t="s">
        <v>3</v>
      </c>
    </row>
    <row r="192" spans="1:4" ht="14.5">
      <c r="A192" s="174" t="s">
        <v>374</v>
      </c>
      <c r="B192" s="174" t="s">
        <v>375</v>
      </c>
      <c r="C192" s="174" t="s">
        <v>261</v>
      </c>
      <c r="D192" s="170" t="s">
        <v>3</v>
      </c>
    </row>
    <row r="193" spans="1:4" ht="14.5">
      <c r="A193" s="174" t="s">
        <v>376</v>
      </c>
      <c r="B193" s="174" t="s">
        <v>377</v>
      </c>
      <c r="C193" s="174" t="s">
        <v>378</v>
      </c>
      <c r="D193" s="170" t="s">
        <v>3</v>
      </c>
    </row>
    <row r="194" spans="1:4" ht="14.5">
      <c r="A194" s="174" t="s">
        <v>379</v>
      </c>
      <c r="B194" s="174" t="s">
        <v>380</v>
      </c>
      <c r="C194" s="174" t="s">
        <v>378</v>
      </c>
      <c r="D194" s="170" t="s">
        <v>3</v>
      </c>
    </row>
    <row r="195" spans="1:4" ht="14.5">
      <c r="A195" s="174" t="s">
        <v>381</v>
      </c>
      <c r="B195" s="174" t="s">
        <v>382</v>
      </c>
      <c r="C195" s="174" t="s">
        <v>378</v>
      </c>
      <c r="D195" s="170" t="s">
        <v>3</v>
      </c>
    </row>
    <row r="196" spans="1:4" ht="14.5">
      <c r="A196" s="174" t="s">
        <v>383</v>
      </c>
      <c r="B196" s="174" t="s">
        <v>384</v>
      </c>
      <c r="C196" s="174" t="s">
        <v>378</v>
      </c>
      <c r="D196" s="170" t="s">
        <v>3</v>
      </c>
    </row>
    <row r="197" spans="1:4" ht="14.5">
      <c r="A197" s="174" t="s">
        <v>385</v>
      </c>
      <c r="B197" s="174" t="s">
        <v>386</v>
      </c>
      <c r="C197" s="174" t="s">
        <v>378</v>
      </c>
      <c r="D197" s="170" t="s">
        <v>3</v>
      </c>
    </row>
    <row r="198" spans="1:4" ht="14.5">
      <c r="A198" s="174" t="s">
        <v>387</v>
      </c>
      <c r="B198" s="174" t="s">
        <v>388</v>
      </c>
      <c r="C198" s="174" t="s">
        <v>378</v>
      </c>
      <c r="D198" s="170" t="s">
        <v>3</v>
      </c>
    </row>
    <row r="199" spans="1:4" ht="14.5">
      <c r="A199" s="174" t="s">
        <v>389</v>
      </c>
      <c r="B199" s="174" t="s">
        <v>390</v>
      </c>
      <c r="C199" s="174" t="s">
        <v>378</v>
      </c>
      <c r="D199" s="170" t="s">
        <v>3</v>
      </c>
    </row>
    <row r="200" spans="1:4" ht="14.5">
      <c r="A200" s="174" t="s">
        <v>391</v>
      </c>
      <c r="B200" s="174" t="s">
        <v>392</v>
      </c>
      <c r="C200" s="174" t="s">
        <v>378</v>
      </c>
      <c r="D200" s="170" t="s">
        <v>3</v>
      </c>
    </row>
    <row r="201" spans="1:4" ht="14.5">
      <c r="A201" s="174" t="s">
        <v>393</v>
      </c>
      <c r="B201" s="174" t="s">
        <v>394</v>
      </c>
      <c r="C201" s="174" t="s">
        <v>378</v>
      </c>
      <c r="D201" s="170" t="s">
        <v>3</v>
      </c>
    </row>
    <row r="202" spans="1:4" ht="14.5">
      <c r="A202" s="174" t="s">
        <v>395</v>
      </c>
      <c r="B202" s="174" t="s">
        <v>396</v>
      </c>
      <c r="C202" s="174" t="s">
        <v>378</v>
      </c>
      <c r="D202" s="170" t="s">
        <v>3</v>
      </c>
    </row>
    <row r="203" spans="1:4" ht="14.5">
      <c r="A203" s="174" t="s">
        <v>397</v>
      </c>
      <c r="B203" s="174" t="s">
        <v>398</v>
      </c>
      <c r="C203" s="174" t="s">
        <v>378</v>
      </c>
      <c r="D203" s="170" t="s">
        <v>3</v>
      </c>
    </row>
    <row r="204" spans="1:4" ht="14.5">
      <c r="A204" s="174" t="s">
        <v>399</v>
      </c>
      <c r="B204" s="174" t="s">
        <v>400</v>
      </c>
      <c r="C204" s="174" t="s">
        <v>378</v>
      </c>
      <c r="D204" s="170" t="s">
        <v>3</v>
      </c>
    </row>
    <row r="205" spans="1:4" ht="14.5">
      <c r="A205" s="174" t="s">
        <v>401</v>
      </c>
      <c r="B205" s="174" t="s">
        <v>402</v>
      </c>
      <c r="C205" s="174" t="s">
        <v>378</v>
      </c>
      <c r="D205" s="170" t="s">
        <v>3</v>
      </c>
    </row>
    <row r="206" spans="1:4" ht="14.5">
      <c r="A206" s="174" t="s">
        <v>403</v>
      </c>
      <c r="B206" s="174" t="s">
        <v>404</v>
      </c>
      <c r="C206" s="174" t="s">
        <v>378</v>
      </c>
      <c r="D206" s="170" t="s">
        <v>3</v>
      </c>
    </row>
    <row r="207" spans="1:4" ht="14.5">
      <c r="A207" s="174" t="s">
        <v>405</v>
      </c>
      <c r="B207" s="174" t="s">
        <v>406</v>
      </c>
      <c r="C207" s="174" t="s">
        <v>378</v>
      </c>
      <c r="D207" s="170" t="s">
        <v>3</v>
      </c>
    </row>
    <row r="208" spans="1:4" ht="14.5">
      <c r="A208" s="174" t="s">
        <v>407</v>
      </c>
      <c r="B208" s="174" t="s">
        <v>408</v>
      </c>
      <c r="C208" s="174" t="s">
        <v>378</v>
      </c>
      <c r="D208" s="170" t="s">
        <v>3</v>
      </c>
    </row>
    <row r="209" spans="1:4" ht="14.5">
      <c r="A209" s="174" t="s">
        <v>409</v>
      </c>
      <c r="B209" s="174" t="s">
        <v>410</v>
      </c>
      <c r="C209" s="174" t="s">
        <v>378</v>
      </c>
      <c r="D209" s="170" t="s">
        <v>3</v>
      </c>
    </row>
    <row r="210" spans="1:4" ht="14.5">
      <c r="A210" s="174" t="s">
        <v>411</v>
      </c>
      <c r="B210" s="174" t="s">
        <v>412</v>
      </c>
      <c r="C210" s="174" t="s">
        <v>378</v>
      </c>
      <c r="D210" s="170" t="s">
        <v>3</v>
      </c>
    </row>
    <row r="211" spans="1:4" ht="14.5">
      <c r="A211" s="174" t="s">
        <v>413</v>
      </c>
      <c r="B211" s="174" t="s">
        <v>414</v>
      </c>
      <c r="C211" s="174" t="s">
        <v>378</v>
      </c>
      <c r="D211" s="170" t="s">
        <v>3</v>
      </c>
    </row>
    <row r="212" spans="1:4" ht="14.5">
      <c r="A212" s="174" t="s">
        <v>415</v>
      </c>
      <c r="B212" s="174" t="s">
        <v>416</v>
      </c>
      <c r="C212" s="174" t="s">
        <v>378</v>
      </c>
      <c r="D212" s="170" t="s">
        <v>3</v>
      </c>
    </row>
    <row r="213" spans="1:4" ht="14.5">
      <c r="A213" s="174" t="s">
        <v>417</v>
      </c>
      <c r="B213" s="174" t="s">
        <v>418</v>
      </c>
      <c r="C213" s="174" t="s">
        <v>378</v>
      </c>
      <c r="D213" s="170" t="s">
        <v>3</v>
      </c>
    </row>
    <row r="214" spans="1:4" ht="14.5">
      <c r="A214" s="174" t="s">
        <v>419</v>
      </c>
      <c r="B214" s="174" t="s">
        <v>420</v>
      </c>
      <c r="C214" s="174" t="s">
        <v>378</v>
      </c>
      <c r="D214" s="170" t="s">
        <v>3</v>
      </c>
    </row>
    <row r="215" spans="1:4" ht="14.5">
      <c r="A215" s="174" t="s">
        <v>421</v>
      </c>
      <c r="B215" s="174" t="s">
        <v>422</v>
      </c>
      <c r="C215" s="174" t="s">
        <v>378</v>
      </c>
      <c r="D215" s="170" t="s">
        <v>3</v>
      </c>
    </row>
    <row r="216" spans="1:4" ht="14.5">
      <c r="A216" s="174" t="s">
        <v>423</v>
      </c>
      <c r="B216" s="174" t="s">
        <v>424</v>
      </c>
      <c r="C216" s="174" t="s">
        <v>378</v>
      </c>
      <c r="D216" s="170" t="s">
        <v>3</v>
      </c>
    </row>
    <row r="217" spans="1:4" ht="14.5">
      <c r="A217" s="174" t="s">
        <v>425</v>
      </c>
      <c r="B217" s="174" t="s">
        <v>426</v>
      </c>
      <c r="C217" s="174" t="s">
        <v>378</v>
      </c>
      <c r="D217" s="170" t="s">
        <v>3</v>
      </c>
    </row>
    <row r="218" spans="1:4" ht="14.5">
      <c r="A218" s="174" t="s">
        <v>427</v>
      </c>
      <c r="B218" s="174" t="s">
        <v>428</v>
      </c>
      <c r="C218" s="174" t="s">
        <v>378</v>
      </c>
      <c r="D218" s="170" t="s">
        <v>3</v>
      </c>
    </row>
    <row r="219" spans="1:4" ht="14.5">
      <c r="A219" s="174" t="s">
        <v>429</v>
      </c>
      <c r="B219" s="174" t="s">
        <v>430</v>
      </c>
      <c r="C219" s="174" t="s">
        <v>378</v>
      </c>
      <c r="D219" s="170" t="s">
        <v>3</v>
      </c>
    </row>
    <row r="220" spans="1:4" ht="14.5">
      <c r="A220" s="174" t="s">
        <v>431</v>
      </c>
      <c r="B220" s="174" t="s">
        <v>432</v>
      </c>
      <c r="C220" s="174" t="s">
        <v>378</v>
      </c>
      <c r="D220" s="170" t="s">
        <v>3</v>
      </c>
    </row>
    <row r="221" spans="1:4" ht="14.5">
      <c r="A221" s="174" t="s">
        <v>433</v>
      </c>
      <c r="B221" s="174" t="s">
        <v>434</v>
      </c>
      <c r="C221" s="174" t="s">
        <v>378</v>
      </c>
      <c r="D221" s="170" t="s">
        <v>3</v>
      </c>
    </row>
    <row r="222" spans="1:4" ht="14.5">
      <c r="A222" s="174" t="s">
        <v>435</v>
      </c>
      <c r="B222" s="174" t="s">
        <v>436</v>
      </c>
      <c r="C222" s="174" t="s">
        <v>378</v>
      </c>
      <c r="D222" s="170" t="s">
        <v>3</v>
      </c>
    </row>
    <row r="223" spans="1:4" ht="14.5">
      <c r="A223" s="174" t="s">
        <v>437</v>
      </c>
      <c r="B223" s="174" t="s">
        <v>438</v>
      </c>
      <c r="C223" s="174" t="s">
        <v>378</v>
      </c>
      <c r="D223" s="170" t="s">
        <v>3</v>
      </c>
    </row>
    <row r="224" spans="1:4" ht="14.5">
      <c r="A224" s="174" t="s">
        <v>439</v>
      </c>
      <c r="B224" s="174" t="s">
        <v>440</v>
      </c>
      <c r="C224" s="174" t="s">
        <v>378</v>
      </c>
      <c r="D224" s="170" t="s">
        <v>3</v>
      </c>
    </row>
    <row r="225" spans="1:4" ht="14.5">
      <c r="A225" s="174" t="s">
        <v>441</v>
      </c>
      <c r="B225" s="174" t="s">
        <v>442</v>
      </c>
      <c r="C225" s="174" t="s">
        <v>378</v>
      </c>
      <c r="D225" s="170" t="s">
        <v>3</v>
      </c>
    </row>
    <row r="226" spans="1:4" ht="14.5">
      <c r="A226" s="174" t="s">
        <v>443</v>
      </c>
      <c r="B226" s="174" t="s">
        <v>444</v>
      </c>
      <c r="C226" s="174" t="s">
        <v>378</v>
      </c>
      <c r="D226" s="170" t="s">
        <v>3</v>
      </c>
    </row>
    <row r="227" spans="1:4" ht="14.5">
      <c r="A227" s="174" t="s">
        <v>445</v>
      </c>
      <c r="B227" s="174" t="s">
        <v>446</v>
      </c>
      <c r="C227" s="174" t="s">
        <v>378</v>
      </c>
      <c r="D227" s="170" t="s">
        <v>3</v>
      </c>
    </row>
    <row r="228" spans="1:4" ht="14.5">
      <c r="A228" s="174" t="s">
        <v>447</v>
      </c>
      <c r="B228" s="174" t="s">
        <v>448</v>
      </c>
      <c r="C228" s="174" t="s">
        <v>378</v>
      </c>
      <c r="D228" s="170" t="s">
        <v>3</v>
      </c>
    </row>
    <row r="229" spans="1:4" ht="14.5">
      <c r="A229" s="174" t="s">
        <v>449</v>
      </c>
      <c r="B229" s="174" t="s">
        <v>450</v>
      </c>
      <c r="C229" s="174" t="s">
        <v>378</v>
      </c>
      <c r="D229" s="170" t="s">
        <v>3</v>
      </c>
    </row>
    <row r="230" spans="1:4" ht="14.5">
      <c r="A230" s="174" t="s">
        <v>451</v>
      </c>
      <c r="B230" s="174" t="s">
        <v>452</v>
      </c>
      <c r="C230" s="174" t="s">
        <v>378</v>
      </c>
      <c r="D230" s="170" t="s">
        <v>3</v>
      </c>
    </row>
    <row r="231" spans="1:4" ht="14.5">
      <c r="A231" s="174" t="s">
        <v>453</v>
      </c>
      <c r="B231" s="174" t="s">
        <v>454</v>
      </c>
      <c r="C231" s="174" t="s">
        <v>378</v>
      </c>
      <c r="D231" s="170" t="s">
        <v>3</v>
      </c>
    </row>
    <row r="232" spans="1:4" ht="14.5">
      <c r="A232" s="174" t="s">
        <v>455</v>
      </c>
      <c r="B232" s="174" t="s">
        <v>456</v>
      </c>
      <c r="C232" s="174" t="s">
        <v>378</v>
      </c>
      <c r="D232" s="170" t="s">
        <v>3</v>
      </c>
    </row>
    <row r="233" spans="1:4" ht="14.5">
      <c r="A233" s="174" t="s">
        <v>457</v>
      </c>
      <c r="B233" s="174" t="s">
        <v>458</v>
      </c>
      <c r="C233" s="174" t="s">
        <v>378</v>
      </c>
      <c r="D233" s="170" t="s">
        <v>3</v>
      </c>
    </row>
    <row r="234" spans="1:4" ht="14.5">
      <c r="A234" s="174" t="s">
        <v>459</v>
      </c>
      <c r="B234" s="174" t="s">
        <v>460</v>
      </c>
      <c r="C234" s="174" t="s">
        <v>378</v>
      </c>
      <c r="D234" s="170" t="s">
        <v>3</v>
      </c>
    </row>
    <row r="235" spans="1:4" ht="14.5">
      <c r="A235" s="174" t="s">
        <v>461</v>
      </c>
      <c r="B235" s="174" t="s">
        <v>462</v>
      </c>
      <c r="C235" s="174" t="s">
        <v>378</v>
      </c>
      <c r="D235" s="170" t="s">
        <v>3</v>
      </c>
    </row>
    <row r="236" spans="1:4" ht="14.5">
      <c r="A236" s="174" t="s">
        <v>463</v>
      </c>
      <c r="B236" s="174" t="s">
        <v>464</v>
      </c>
      <c r="C236" s="174" t="s">
        <v>378</v>
      </c>
      <c r="D236" s="170" t="s">
        <v>3</v>
      </c>
    </row>
    <row r="237" spans="1:4" ht="14.5">
      <c r="A237" s="174" t="s">
        <v>465</v>
      </c>
      <c r="B237" s="174" t="s">
        <v>466</v>
      </c>
      <c r="C237" s="174" t="s">
        <v>378</v>
      </c>
      <c r="D237" s="170" t="s">
        <v>3</v>
      </c>
    </row>
    <row r="238" spans="1:4" ht="14.5">
      <c r="A238" s="174" t="s">
        <v>467</v>
      </c>
      <c r="B238" s="174" t="s">
        <v>468</v>
      </c>
      <c r="C238" s="174" t="s">
        <v>378</v>
      </c>
      <c r="D238" s="170" t="s">
        <v>3</v>
      </c>
    </row>
    <row r="239" spans="1:4" ht="14.5">
      <c r="A239" s="174" t="s">
        <v>469</v>
      </c>
      <c r="B239" s="174" t="s">
        <v>470</v>
      </c>
      <c r="C239" s="174" t="s">
        <v>378</v>
      </c>
      <c r="D239" s="170" t="s">
        <v>3</v>
      </c>
    </row>
    <row r="240" spans="1:4" ht="14.5">
      <c r="A240" s="174" t="s">
        <v>471</v>
      </c>
      <c r="B240" s="174" t="s">
        <v>472</v>
      </c>
      <c r="C240" s="174" t="s">
        <v>378</v>
      </c>
      <c r="D240" s="170" t="s">
        <v>3</v>
      </c>
    </row>
    <row r="241" spans="1:4" ht="14.5">
      <c r="A241" s="174" t="s">
        <v>473</v>
      </c>
      <c r="B241" s="174" t="s">
        <v>474</v>
      </c>
      <c r="C241" s="174" t="s">
        <v>378</v>
      </c>
      <c r="D241" s="170" t="s">
        <v>3</v>
      </c>
    </row>
    <row r="242" spans="1:4" ht="14.5">
      <c r="A242" s="174" t="s">
        <v>475</v>
      </c>
      <c r="B242" s="174" t="s">
        <v>476</v>
      </c>
      <c r="C242" s="174" t="s">
        <v>378</v>
      </c>
      <c r="D242" s="170" t="s">
        <v>3</v>
      </c>
    </row>
    <row r="243" spans="1:4" ht="14.5">
      <c r="A243" s="174" t="s">
        <v>477</v>
      </c>
      <c r="B243" s="174" t="s">
        <v>478</v>
      </c>
      <c r="C243" s="174" t="s">
        <v>378</v>
      </c>
      <c r="D243" s="170" t="s">
        <v>3</v>
      </c>
    </row>
    <row r="244" spans="1:4" ht="14.5">
      <c r="A244" s="174" t="s">
        <v>479</v>
      </c>
      <c r="B244" s="174" t="s">
        <v>480</v>
      </c>
      <c r="C244" s="174" t="s">
        <v>378</v>
      </c>
      <c r="D244" s="170" t="s">
        <v>3</v>
      </c>
    </row>
    <row r="245" spans="1:4" ht="14.5">
      <c r="A245" s="174" t="s">
        <v>481</v>
      </c>
      <c r="B245" s="174" t="s">
        <v>482</v>
      </c>
      <c r="C245" s="174" t="s">
        <v>378</v>
      </c>
      <c r="D245" s="170" t="s">
        <v>3</v>
      </c>
    </row>
    <row r="246" spans="1:4" ht="14.5">
      <c r="A246" s="174" t="s">
        <v>483</v>
      </c>
      <c r="B246" s="174" t="s">
        <v>484</v>
      </c>
      <c r="C246" s="174" t="s">
        <v>378</v>
      </c>
      <c r="D246" s="170" t="s">
        <v>3</v>
      </c>
    </row>
    <row r="247" spans="1:4" ht="14.5">
      <c r="A247" s="174" t="s">
        <v>485</v>
      </c>
      <c r="B247" s="174" t="s">
        <v>486</v>
      </c>
      <c r="C247" s="174" t="s">
        <v>378</v>
      </c>
      <c r="D247" s="170" t="s">
        <v>3</v>
      </c>
    </row>
    <row r="248" spans="1:4" ht="14.5">
      <c r="A248" s="174" t="s">
        <v>487</v>
      </c>
      <c r="B248" s="174" t="s">
        <v>488</v>
      </c>
      <c r="C248" s="174" t="s">
        <v>378</v>
      </c>
      <c r="D248" s="170" t="s">
        <v>3</v>
      </c>
    </row>
    <row r="249" spans="1:4" ht="14.5">
      <c r="A249" s="174" t="s">
        <v>489</v>
      </c>
      <c r="B249" s="174" t="s">
        <v>490</v>
      </c>
      <c r="C249" s="174" t="s">
        <v>378</v>
      </c>
      <c r="D249" s="170" t="s">
        <v>3</v>
      </c>
    </row>
    <row r="250" spans="1:4" ht="14.5">
      <c r="A250" s="174" t="s">
        <v>491</v>
      </c>
      <c r="B250" s="174" t="s">
        <v>492</v>
      </c>
      <c r="C250" s="174" t="s">
        <v>378</v>
      </c>
      <c r="D250" s="170" t="s">
        <v>3</v>
      </c>
    </row>
    <row r="251" spans="1:4" ht="14.5">
      <c r="A251" s="174" t="s">
        <v>493</v>
      </c>
      <c r="B251" s="174" t="s">
        <v>494</v>
      </c>
      <c r="C251" s="174" t="s">
        <v>378</v>
      </c>
      <c r="D251" s="170" t="s">
        <v>3</v>
      </c>
    </row>
    <row r="252" spans="1:4" ht="14.5">
      <c r="A252" s="174" t="s">
        <v>495</v>
      </c>
      <c r="B252" s="174" t="s">
        <v>496</v>
      </c>
      <c r="C252" s="174" t="s">
        <v>378</v>
      </c>
      <c r="D252" s="170" t="s">
        <v>3</v>
      </c>
    </row>
    <row r="253" spans="1:4" ht="14.5">
      <c r="A253" s="174" t="s">
        <v>497</v>
      </c>
      <c r="B253" s="174" t="s">
        <v>498</v>
      </c>
      <c r="C253" s="174" t="s">
        <v>378</v>
      </c>
      <c r="D253" s="170" t="s">
        <v>3</v>
      </c>
    </row>
    <row r="254" spans="1:4" ht="14.5">
      <c r="A254" s="174" t="s">
        <v>499</v>
      </c>
      <c r="B254" s="174" t="s">
        <v>500</v>
      </c>
      <c r="C254" s="174" t="s">
        <v>378</v>
      </c>
      <c r="D254" s="170" t="s">
        <v>3</v>
      </c>
    </row>
    <row r="255" spans="1:4" ht="14.5">
      <c r="A255" s="174" t="s">
        <v>501</v>
      </c>
      <c r="B255" s="174" t="s">
        <v>502</v>
      </c>
      <c r="C255" s="174" t="s">
        <v>378</v>
      </c>
      <c r="D255" s="170" t="s">
        <v>3</v>
      </c>
    </row>
    <row r="256" spans="1:4" ht="14.5">
      <c r="A256" s="174" t="s">
        <v>503</v>
      </c>
      <c r="B256" s="174" t="s">
        <v>504</v>
      </c>
      <c r="C256" s="174" t="s">
        <v>378</v>
      </c>
      <c r="D256" s="170" t="s">
        <v>3</v>
      </c>
    </row>
    <row r="257" spans="1:4" ht="14.5">
      <c r="A257" s="174" t="s">
        <v>505</v>
      </c>
      <c r="B257" s="174" t="s">
        <v>506</v>
      </c>
      <c r="C257" s="174" t="s">
        <v>378</v>
      </c>
      <c r="D257" s="170" t="s">
        <v>3</v>
      </c>
    </row>
    <row r="258" spans="1:4" ht="14.5">
      <c r="A258" s="174" t="s">
        <v>507</v>
      </c>
      <c r="B258" s="174" t="s">
        <v>508</v>
      </c>
      <c r="C258" s="174" t="s">
        <v>378</v>
      </c>
      <c r="D258" s="170" t="s">
        <v>3</v>
      </c>
    </row>
    <row r="259" spans="1:4" ht="14.5">
      <c r="A259" s="174" t="s">
        <v>509</v>
      </c>
      <c r="B259" s="174" t="s">
        <v>510</v>
      </c>
      <c r="C259" s="174" t="s">
        <v>378</v>
      </c>
      <c r="D259" s="170" t="s">
        <v>3</v>
      </c>
    </row>
    <row r="260" spans="1:4" ht="14.5">
      <c r="A260" s="174" t="s">
        <v>511</v>
      </c>
      <c r="B260" s="174" t="s">
        <v>512</v>
      </c>
      <c r="C260" s="174" t="s">
        <v>378</v>
      </c>
      <c r="D260" s="170" t="s">
        <v>3</v>
      </c>
    </row>
    <row r="261" spans="1:4" ht="14.5">
      <c r="A261" s="174" t="s">
        <v>513</v>
      </c>
      <c r="B261" s="174" t="s">
        <v>514</v>
      </c>
      <c r="C261" s="174" t="s">
        <v>378</v>
      </c>
      <c r="D261" s="170" t="s">
        <v>3</v>
      </c>
    </row>
    <row r="262" spans="1:4" ht="14.5">
      <c r="A262" s="174" t="s">
        <v>515</v>
      </c>
      <c r="B262" s="174" t="s">
        <v>516</v>
      </c>
      <c r="C262" s="174" t="s">
        <v>378</v>
      </c>
      <c r="D262" s="170" t="s">
        <v>3</v>
      </c>
    </row>
    <row r="263" spans="1:4" ht="14.5">
      <c r="A263" s="174" t="s">
        <v>517</v>
      </c>
      <c r="B263" s="174" t="s">
        <v>518</v>
      </c>
      <c r="C263" s="174" t="s">
        <v>378</v>
      </c>
      <c r="D263" s="170" t="s">
        <v>3</v>
      </c>
    </row>
    <row r="264" spans="1:4" ht="14.5">
      <c r="A264" s="174" t="s">
        <v>519</v>
      </c>
      <c r="B264" s="174" t="s">
        <v>520</v>
      </c>
      <c r="C264" s="174" t="s">
        <v>378</v>
      </c>
      <c r="D264" s="170" t="s">
        <v>3</v>
      </c>
    </row>
    <row r="265" spans="1:4" ht="14.5">
      <c r="A265" s="174" t="s">
        <v>521</v>
      </c>
      <c r="B265" s="174" t="s">
        <v>522</v>
      </c>
      <c r="C265" s="174" t="s">
        <v>378</v>
      </c>
      <c r="D265" s="170" t="s">
        <v>3</v>
      </c>
    </row>
    <row r="266" spans="1:4" ht="14.5">
      <c r="A266" s="174" t="s">
        <v>523</v>
      </c>
      <c r="B266" s="174" t="s">
        <v>524</v>
      </c>
      <c r="C266" s="174" t="s">
        <v>378</v>
      </c>
      <c r="D266" s="170" t="s">
        <v>3</v>
      </c>
    </row>
    <row r="267" spans="1:4" ht="14.5">
      <c r="A267" s="174" t="s">
        <v>525</v>
      </c>
      <c r="B267" s="174" t="s">
        <v>526</v>
      </c>
      <c r="C267" s="174" t="s">
        <v>527</v>
      </c>
      <c r="D267" s="170" t="s">
        <v>3</v>
      </c>
    </row>
    <row r="268" spans="1:4" ht="14.5">
      <c r="A268" s="174" t="s">
        <v>528</v>
      </c>
      <c r="B268" s="174" t="s">
        <v>529</v>
      </c>
      <c r="C268" s="174" t="s">
        <v>530</v>
      </c>
      <c r="D268" s="170" t="s">
        <v>3</v>
      </c>
    </row>
    <row r="269" spans="1:4" ht="14.5">
      <c r="A269" s="174" t="s">
        <v>531</v>
      </c>
      <c r="B269" s="174" t="s">
        <v>532</v>
      </c>
      <c r="C269" s="174" t="s">
        <v>530</v>
      </c>
      <c r="D269" s="170" t="s">
        <v>3</v>
      </c>
    </row>
    <row r="270" spans="1:4" ht="14.5">
      <c r="A270" s="174" t="s">
        <v>533</v>
      </c>
      <c r="B270" s="174" t="s">
        <v>534</v>
      </c>
      <c r="C270" s="174" t="s">
        <v>530</v>
      </c>
      <c r="D270" s="170" t="s">
        <v>3</v>
      </c>
    </row>
    <row r="271" spans="1:4" ht="14.5">
      <c r="A271" s="174" t="s">
        <v>535</v>
      </c>
      <c r="B271" s="174" t="s">
        <v>536</v>
      </c>
      <c r="C271" s="174" t="s">
        <v>530</v>
      </c>
      <c r="D271" s="170" t="s">
        <v>3</v>
      </c>
    </row>
    <row r="272" spans="1:4" ht="14.5">
      <c r="A272" s="174" t="s">
        <v>537</v>
      </c>
      <c r="B272" s="174" t="s">
        <v>538</v>
      </c>
      <c r="C272" s="174" t="s">
        <v>530</v>
      </c>
      <c r="D272" s="170" t="s">
        <v>3</v>
      </c>
    </row>
    <row r="273" spans="1:4" ht="14.5">
      <c r="A273" s="174" t="s">
        <v>539</v>
      </c>
      <c r="B273" s="174" t="s">
        <v>540</v>
      </c>
      <c r="C273" s="174" t="s">
        <v>530</v>
      </c>
      <c r="D273" s="170" t="s">
        <v>3</v>
      </c>
    </row>
    <row r="274" spans="1:4" ht="14.5">
      <c r="A274" s="174" t="s">
        <v>541</v>
      </c>
      <c r="B274" s="174" t="s">
        <v>542</v>
      </c>
      <c r="C274" s="174" t="s">
        <v>530</v>
      </c>
      <c r="D274" s="170" t="s">
        <v>3</v>
      </c>
    </row>
    <row r="275" spans="1:4" ht="14.5">
      <c r="A275" s="174" t="s">
        <v>543</v>
      </c>
      <c r="B275" s="174" t="s">
        <v>544</v>
      </c>
      <c r="C275" s="174" t="s">
        <v>530</v>
      </c>
      <c r="D275" s="170" t="s">
        <v>3</v>
      </c>
    </row>
    <row r="276" spans="1:4" ht="14.5">
      <c r="A276" s="174" t="s">
        <v>545</v>
      </c>
      <c r="B276" s="174" t="s">
        <v>546</v>
      </c>
      <c r="C276" s="174" t="s">
        <v>530</v>
      </c>
      <c r="D276" s="170" t="s">
        <v>3</v>
      </c>
    </row>
    <row r="277" spans="1:4" ht="14.5">
      <c r="A277" s="174" t="s">
        <v>547</v>
      </c>
      <c r="B277" s="174" t="s">
        <v>548</v>
      </c>
      <c r="C277" s="174" t="s">
        <v>530</v>
      </c>
      <c r="D277" s="170" t="s">
        <v>3</v>
      </c>
    </row>
    <row r="278" spans="1:4" ht="14.5">
      <c r="A278" s="174" t="s">
        <v>549</v>
      </c>
      <c r="B278" s="174" t="s">
        <v>550</v>
      </c>
      <c r="C278" s="174" t="s">
        <v>530</v>
      </c>
      <c r="D278" s="170" t="s">
        <v>3</v>
      </c>
    </row>
    <row r="279" spans="1:4" ht="14.5">
      <c r="A279" s="174" t="s">
        <v>551</v>
      </c>
      <c r="B279" s="174" t="s">
        <v>552</v>
      </c>
      <c r="C279" s="174" t="s">
        <v>553</v>
      </c>
      <c r="D279" s="170" t="s">
        <v>3</v>
      </c>
    </row>
    <row r="280" spans="1:4" ht="14.5">
      <c r="A280" s="174" t="s">
        <v>554</v>
      </c>
      <c r="B280" s="174" t="s">
        <v>555</v>
      </c>
      <c r="C280" s="174" t="s">
        <v>556</v>
      </c>
      <c r="D280" s="170" t="s">
        <v>3</v>
      </c>
    </row>
    <row r="281" spans="1:4" ht="14.5">
      <c r="A281" s="174" t="s">
        <v>557</v>
      </c>
      <c r="B281" s="174" t="s">
        <v>558</v>
      </c>
      <c r="C281" s="174" t="s">
        <v>556</v>
      </c>
      <c r="D281" s="170" t="s">
        <v>3</v>
      </c>
    </row>
    <row r="282" spans="1:4" ht="14.5">
      <c r="A282" s="174" t="s">
        <v>559</v>
      </c>
      <c r="B282" s="174" t="s">
        <v>560</v>
      </c>
      <c r="C282" s="174" t="s">
        <v>556</v>
      </c>
      <c r="D282" s="170" t="s">
        <v>3</v>
      </c>
    </row>
    <row r="283" spans="1:4" ht="14.5">
      <c r="A283" s="174" t="s">
        <v>561</v>
      </c>
      <c r="B283" s="174" t="s">
        <v>562</v>
      </c>
      <c r="C283" s="174" t="s">
        <v>556</v>
      </c>
      <c r="D283" s="170" t="s">
        <v>3</v>
      </c>
    </row>
    <row r="284" spans="1:4" ht="14.5">
      <c r="A284" s="174" t="s">
        <v>563</v>
      </c>
      <c r="B284" s="174" t="s">
        <v>564</v>
      </c>
      <c r="C284" s="174" t="s">
        <v>565</v>
      </c>
      <c r="D284" s="170" t="s">
        <v>3</v>
      </c>
    </row>
    <row r="285" spans="1:4" ht="14.5">
      <c r="A285" s="174" t="s">
        <v>566</v>
      </c>
      <c r="B285" s="174" t="s">
        <v>567</v>
      </c>
      <c r="C285" s="174" t="s">
        <v>565</v>
      </c>
      <c r="D285" s="170" t="s">
        <v>3</v>
      </c>
    </row>
    <row r="286" spans="1:4" ht="14.5">
      <c r="A286" s="174" t="s">
        <v>568</v>
      </c>
      <c r="B286" s="174" t="s">
        <v>569</v>
      </c>
      <c r="C286" s="174" t="s">
        <v>565</v>
      </c>
      <c r="D286" s="170" t="s">
        <v>3</v>
      </c>
    </row>
    <row r="287" spans="1:4" ht="14.5">
      <c r="A287" s="174" t="s">
        <v>570</v>
      </c>
      <c r="B287" s="174" t="s">
        <v>571</v>
      </c>
      <c r="C287" s="174" t="s">
        <v>556</v>
      </c>
      <c r="D287" s="170" t="s">
        <v>3</v>
      </c>
    </row>
    <row r="288" spans="1:4" ht="14.5">
      <c r="A288" s="174" t="s">
        <v>572</v>
      </c>
      <c r="B288" s="174" t="s">
        <v>573</v>
      </c>
      <c r="C288" s="174" t="s">
        <v>556</v>
      </c>
      <c r="D288" s="170" t="s">
        <v>3</v>
      </c>
    </row>
    <row r="289" spans="1:4" ht="14.5">
      <c r="A289" s="174" t="s">
        <v>574</v>
      </c>
      <c r="B289" s="174" t="s">
        <v>575</v>
      </c>
      <c r="C289" s="174" t="s">
        <v>565</v>
      </c>
      <c r="D289" s="170" t="s">
        <v>3</v>
      </c>
    </row>
    <row r="290" spans="1:4" ht="14.5">
      <c r="A290" s="174" t="s">
        <v>576</v>
      </c>
      <c r="B290" s="174" t="s">
        <v>577</v>
      </c>
      <c r="C290" s="174" t="s">
        <v>578</v>
      </c>
      <c r="D290" s="170" t="s">
        <v>3</v>
      </c>
    </row>
    <row r="291" spans="1:4" ht="14.5">
      <c r="A291" s="174" t="s">
        <v>579</v>
      </c>
      <c r="B291" s="174" t="s">
        <v>580</v>
      </c>
      <c r="C291" s="174" t="s">
        <v>578</v>
      </c>
      <c r="D291" s="170" t="s">
        <v>3</v>
      </c>
    </row>
    <row r="292" spans="1:4" ht="14.5">
      <c r="A292" s="174" t="s">
        <v>581</v>
      </c>
      <c r="B292" s="174" t="s">
        <v>582</v>
      </c>
      <c r="C292" s="174" t="s">
        <v>578</v>
      </c>
      <c r="D292" s="170" t="s">
        <v>3</v>
      </c>
    </row>
    <row r="293" spans="1:4" ht="14.5">
      <c r="A293" s="174" t="s">
        <v>583</v>
      </c>
      <c r="B293" s="174" t="s">
        <v>584</v>
      </c>
      <c r="C293" s="174" t="s">
        <v>578</v>
      </c>
      <c r="D293" s="170" t="s">
        <v>3</v>
      </c>
    </row>
    <row r="294" spans="1:4" ht="14.5">
      <c r="A294" s="174" t="s">
        <v>585</v>
      </c>
      <c r="B294" s="174" t="s">
        <v>586</v>
      </c>
      <c r="C294" s="174" t="s">
        <v>578</v>
      </c>
      <c r="D294" s="170" t="s">
        <v>3</v>
      </c>
    </row>
    <row r="295" spans="1:4" ht="14.5">
      <c r="A295" s="174" t="s">
        <v>587</v>
      </c>
      <c r="B295" s="174" t="s">
        <v>588</v>
      </c>
      <c r="C295" s="174" t="s">
        <v>578</v>
      </c>
      <c r="D295" s="170" t="s">
        <v>3</v>
      </c>
    </row>
    <row r="296" spans="1:4" ht="14.5">
      <c r="A296" s="174" t="s">
        <v>589</v>
      </c>
      <c r="B296" s="174" t="s">
        <v>590</v>
      </c>
      <c r="C296" s="174" t="s">
        <v>578</v>
      </c>
      <c r="D296" s="170" t="s">
        <v>3</v>
      </c>
    </row>
    <row r="297" spans="1:4" ht="14.5">
      <c r="A297" s="174" t="s">
        <v>591</v>
      </c>
      <c r="B297" s="174" t="s">
        <v>592</v>
      </c>
      <c r="C297" s="174" t="s">
        <v>578</v>
      </c>
      <c r="D297" s="170" t="s">
        <v>3</v>
      </c>
    </row>
    <row r="298" spans="1:4" ht="14.5">
      <c r="A298" s="174" t="s">
        <v>593</v>
      </c>
      <c r="B298" s="174" t="s">
        <v>594</v>
      </c>
      <c r="C298" s="174" t="s">
        <v>578</v>
      </c>
      <c r="D298" s="170" t="s">
        <v>3</v>
      </c>
    </row>
    <row r="299" spans="1:4" ht="14.5">
      <c r="A299" s="174" t="s">
        <v>595</v>
      </c>
      <c r="B299" s="174" t="s">
        <v>596</v>
      </c>
      <c r="C299" s="174" t="s">
        <v>578</v>
      </c>
      <c r="D299" s="170" t="s">
        <v>3</v>
      </c>
    </row>
    <row r="300" spans="1:4" ht="14.5">
      <c r="A300" s="174" t="s">
        <v>597</v>
      </c>
      <c r="B300" s="174" t="s">
        <v>598</v>
      </c>
      <c r="C300" s="174" t="s">
        <v>578</v>
      </c>
      <c r="D300" s="170" t="s">
        <v>3</v>
      </c>
    </row>
    <row r="301" spans="1:4" ht="14.5">
      <c r="A301" s="174" t="s">
        <v>599</v>
      </c>
      <c r="B301" s="174" t="s">
        <v>600</v>
      </c>
      <c r="C301" s="174" t="s">
        <v>578</v>
      </c>
      <c r="D301" s="170" t="s">
        <v>3</v>
      </c>
    </row>
    <row r="302" spans="1:4" ht="14.5">
      <c r="A302" s="174" t="s">
        <v>601</v>
      </c>
      <c r="B302" s="174" t="s">
        <v>602</v>
      </c>
      <c r="C302" s="174" t="s">
        <v>578</v>
      </c>
      <c r="D302" s="170" t="s">
        <v>3</v>
      </c>
    </row>
    <row r="303" spans="1:4" ht="14.5">
      <c r="A303" s="174" t="s">
        <v>603</v>
      </c>
      <c r="B303" s="174" t="s">
        <v>604</v>
      </c>
      <c r="C303" s="174" t="s">
        <v>578</v>
      </c>
      <c r="D303" s="170" t="s">
        <v>3</v>
      </c>
    </row>
    <row r="304" spans="1:4" ht="14.5">
      <c r="A304" s="174" t="s">
        <v>605</v>
      </c>
      <c r="B304" s="174" t="s">
        <v>606</v>
      </c>
      <c r="C304" s="174" t="s">
        <v>578</v>
      </c>
      <c r="D304" s="170" t="s">
        <v>3</v>
      </c>
    </row>
    <row r="305" spans="1:4" ht="14.5">
      <c r="A305" s="174" t="s">
        <v>607</v>
      </c>
      <c r="B305" s="174" t="s">
        <v>608</v>
      </c>
      <c r="C305" s="174" t="s">
        <v>578</v>
      </c>
      <c r="D305" s="170" t="s">
        <v>3</v>
      </c>
    </row>
    <row r="306" spans="1:4" ht="14.5">
      <c r="A306" s="174" t="s">
        <v>609</v>
      </c>
      <c r="B306" s="174" t="s">
        <v>610</v>
      </c>
      <c r="C306" s="174" t="s">
        <v>578</v>
      </c>
      <c r="D306" s="170" t="s">
        <v>3</v>
      </c>
    </row>
    <row r="307" spans="1:4" ht="14.5">
      <c r="A307" s="174" t="s">
        <v>611</v>
      </c>
      <c r="B307" s="174" t="s">
        <v>612</v>
      </c>
      <c r="C307" s="174" t="s">
        <v>578</v>
      </c>
      <c r="D307" s="170" t="s">
        <v>3</v>
      </c>
    </row>
    <row r="308" spans="1:4" ht="14.5">
      <c r="A308" s="174" t="s">
        <v>613</v>
      </c>
      <c r="B308" s="174" t="s">
        <v>614</v>
      </c>
      <c r="C308" s="174" t="s">
        <v>578</v>
      </c>
      <c r="D308" s="170" t="s">
        <v>3</v>
      </c>
    </row>
    <row r="309" spans="1:4" ht="14.5">
      <c r="A309" s="174" t="s">
        <v>615</v>
      </c>
      <c r="B309" s="174" t="s">
        <v>616</v>
      </c>
      <c r="C309" s="174" t="s">
        <v>578</v>
      </c>
      <c r="D309" s="170" t="s">
        <v>3</v>
      </c>
    </row>
    <row r="310" spans="1:4" ht="14.5">
      <c r="A310" s="174">
        <v>1354100134</v>
      </c>
      <c r="B310" s="174" t="s">
        <v>617</v>
      </c>
      <c r="C310" s="174" t="s">
        <v>213</v>
      </c>
      <c r="D310" s="170" t="s">
        <v>3</v>
      </c>
    </row>
    <row r="311" spans="1:4" ht="14.5">
      <c r="A311" s="174" t="s">
        <v>618</v>
      </c>
      <c r="B311" s="174" t="s">
        <v>619</v>
      </c>
      <c r="C311" s="174" t="s">
        <v>620</v>
      </c>
      <c r="D311" s="170" t="s">
        <v>3</v>
      </c>
    </row>
    <row r="312" spans="1:4" ht="14.5">
      <c r="A312" s="174" t="s">
        <v>621</v>
      </c>
      <c r="B312" s="174" t="s">
        <v>622</v>
      </c>
      <c r="C312" s="174" t="s">
        <v>620</v>
      </c>
      <c r="D312" s="170" t="s">
        <v>3</v>
      </c>
    </row>
    <row r="313" spans="1:4" ht="14.5">
      <c r="A313" s="174" t="s">
        <v>623</v>
      </c>
      <c r="B313" s="174" t="s">
        <v>624</v>
      </c>
      <c r="C313" s="174" t="s">
        <v>620</v>
      </c>
      <c r="D313" s="170" t="s">
        <v>3</v>
      </c>
    </row>
    <row r="314" spans="1:4" ht="14.5">
      <c r="A314" s="174" t="s">
        <v>625</v>
      </c>
      <c r="B314" s="174" t="s">
        <v>626</v>
      </c>
      <c r="C314" s="174" t="s">
        <v>620</v>
      </c>
      <c r="D314" s="170" t="s">
        <v>3</v>
      </c>
    </row>
    <row r="315" spans="1:4" ht="14.5">
      <c r="A315" s="174" t="s">
        <v>627</v>
      </c>
      <c r="B315" s="174" t="s">
        <v>628</v>
      </c>
      <c r="C315" s="174" t="s">
        <v>620</v>
      </c>
      <c r="D315" s="170" t="s">
        <v>3</v>
      </c>
    </row>
    <row r="316" spans="1:4" ht="14.5">
      <c r="A316" s="174" t="s">
        <v>629</v>
      </c>
      <c r="B316" s="174" t="s">
        <v>630</v>
      </c>
      <c r="C316" s="174" t="s">
        <v>620</v>
      </c>
      <c r="D316" s="170" t="s">
        <v>3</v>
      </c>
    </row>
    <row r="317" spans="1:4" ht="14.5">
      <c r="A317" s="174" t="s">
        <v>631</v>
      </c>
      <c r="B317" s="174" t="s">
        <v>632</v>
      </c>
      <c r="C317" s="174" t="s">
        <v>620</v>
      </c>
      <c r="D317" s="170" t="s">
        <v>3</v>
      </c>
    </row>
    <row r="318" spans="1:4" ht="14.5">
      <c r="A318" s="174" t="s">
        <v>633</v>
      </c>
      <c r="B318" s="174" t="s">
        <v>634</v>
      </c>
      <c r="C318" s="174" t="s">
        <v>620</v>
      </c>
      <c r="D318" s="170" t="s">
        <v>3</v>
      </c>
    </row>
    <row r="319" spans="1:4" ht="14.5">
      <c r="A319" s="174" t="s">
        <v>635</v>
      </c>
      <c r="B319" s="174" t="s">
        <v>636</v>
      </c>
      <c r="C319" s="174" t="s">
        <v>620</v>
      </c>
      <c r="D319" s="170" t="s">
        <v>3</v>
      </c>
    </row>
    <row r="320" spans="1:4" ht="14.5">
      <c r="A320" s="174" t="s">
        <v>637</v>
      </c>
      <c r="B320" s="174" t="s">
        <v>638</v>
      </c>
      <c r="C320" s="174" t="s">
        <v>620</v>
      </c>
      <c r="D320" s="170" t="s">
        <v>3</v>
      </c>
    </row>
    <row r="321" spans="1:4" ht="14.5">
      <c r="A321" s="174" t="s">
        <v>639</v>
      </c>
      <c r="B321" s="174" t="s">
        <v>640</v>
      </c>
      <c r="C321" s="174" t="s">
        <v>620</v>
      </c>
      <c r="D321" s="170" t="s">
        <v>3</v>
      </c>
    </row>
    <row r="322" spans="1:4" ht="14.5">
      <c r="A322" s="174" t="s">
        <v>641</v>
      </c>
      <c r="B322" s="174" t="s">
        <v>642</v>
      </c>
      <c r="C322" s="174" t="s">
        <v>620</v>
      </c>
      <c r="D322" s="170" t="s">
        <v>3</v>
      </c>
    </row>
    <row r="323" spans="1:4" ht="14.5">
      <c r="A323" s="174" t="s">
        <v>643</v>
      </c>
      <c r="B323" s="174" t="s">
        <v>644</v>
      </c>
      <c r="C323" s="174" t="s">
        <v>620</v>
      </c>
      <c r="D323" s="170" t="s">
        <v>3</v>
      </c>
    </row>
    <row r="324" spans="1:4" ht="14.5">
      <c r="A324" s="174" t="s">
        <v>645</v>
      </c>
      <c r="B324" s="174" t="s">
        <v>646</v>
      </c>
      <c r="C324" s="174" t="s">
        <v>620</v>
      </c>
      <c r="D324" s="170" t="s">
        <v>3</v>
      </c>
    </row>
    <row r="325" spans="1:4" ht="14.5">
      <c r="A325" s="174" t="s">
        <v>647</v>
      </c>
      <c r="B325" s="174" t="s">
        <v>648</v>
      </c>
      <c r="C325" s="174" t="s">
        <v>620</v>
      </c>
      <c r="D325" s="170" t="s">
        <v>3</v>
      </c>
    </row>
    <row r="326" spans="1:4" ht="14.5">
      <c r="A326" s="174" t="s">
        <v>649</v>
      </c>
      <c r="B326" s="174" t="s">
        <v>650</v>
      </c>
      <c r="C326" s="174" t="s">
        <v>620</v>
      </c>
      <c r="D326" s="170" t="s">
        <v>3</v>
      </c>
    </row>
    <row r="327" spans="1:4" ht="14.5">
      <c r="A327" s="174" t="s">
        <v>651</v>
      </c>
      <c r="B327" s="174" t="s">
        <v>652</v>
      </c>
      <c r="C327" s="174" t="s">
        <v>620</v>
      </c>
      <c r="D327" s="170" t="s">
        <v>3</v>
      </c>
    </row>
    <row r="328" spans="1:4" ht="14.5">
      <c r="A328" s="174" t="s">
        <v>653</v>
      </c>
      <c r="B328" s="174" t="s">
        <v>654</v>
      </c>
      <c r="C328" s="174" t="s">
        <v>620</v>
      </c>
      <c r="D328" s="170" t="s">
        <v>3</v>
      </c>
    </row>
    <row r="329" spans="1:4" ht="14.5">
      <c r="A329" s="174" t="s">
        <v>655</v>
      </c>
      <c r="B329" s="174" t="s">
        <v>656</v>
      </c>
      <c r="C329" s="174" t="s">
        <v>620</v>
      </c>
      <c r="D329" s="170" t="s">
        <v>3</v>
      </c>
    </row>
    <row r="330" spans="1:4" ht="14.5">
      <c r="A330" s="174" t="s">
        <v>657</v>
      </c>
      <c r="B330" s="174" t="s">
        <v>658</v>
      </c>
      <c r="C330" s="174" t="s">
        <v>620</v>
      </c>
      <c r="D330" s="170" t="s">
        <v>3</v>
      </c>
    </row>
    <row r="331" spans="1:4" ht="14.5">
      <c r="A331" s="174" t="s">
        <v>659</v>
      </c>
      <c r="B331" s="174" t="s">
        <v>660</v>
      </c>
      <c r="C331" s="174" t="s">
        <v>620</v>
      </c>
      <c r="D331" s="170" t="s">
        <v>3</v>
      </c>
    </row>
    <row r="332" spans="1:4" ht="14.5">
      <c r="A332" s="174" t="s">
        <v>661</v>
      </c>
      <c r="B332" s="174" t="s">
        <v>662</v>
      </c>
      <c r="C332" s="174" t="s">
        <v>620</v>
      </c>
      <c r="D332" s="170" t="s">
        <v>3</v>
      </c>
    </row>
    <row r="333" spans="1:4" ht="14.5">
      <c r="A333" s="174" t="s">
        <v>663</v>
      </c>
      <c r="B333" s="174" t="s">
        <v>664</v>
      </c>
      <c r="C333" s="174" t="s">
        <v>620</v>
      </c>
      <c r="D333" s="170" t="s">
        <v>3</v>
      </c>
    </row>
    <row r="334" spans="1:4" ht="14.5">
      <c r="A334" s="174" t="s">
        <v>665</v>
      </c>
      <c r="B334" s="174" t="s">
        <v>666</v>
      </c>
      <c r="C334" s="174" t="s">
        <v>620</v>
      </c>
      <c r="D334" s="170" t="s">
        <v>3</v>
      </c>
    </row>
    <row r="335" spans="1:4" ht="14.5">
      <c r="A335" s="174" t="s">
        <v>667</v>
      </c>
      <c r="B335" s="174" t="s">
        <v>668</v>
      </c>
      <c r="C335" s="174" t="s">
        <v>620</v>
      </c>
      <c r="D335" s="170" t="s">
        <v>3</v>
      </c>
    </row>
    <row r="336" spans="1:4" ht="14.5">
      <c r="A336" s="174" t="s">
        <v>669</v>
      </c>
      <c r="B336" s="174" t="s">
        <v>670</v>
      </c>
      <c r="C336" s="174" t="s">
        <v>620</v>
      </c>
      <c r="D336" s="170" t="s">
        <v>3</v>
      </c>
    </row>
    <row r="337" spans="1:4" ht="14.5">
      <c r="A337" s="174" t="s">
        <v>671</v>
      </c>
      <c r="B337" s="174" t="s">
        <v>672</v>
      </c>
      <c r="C337" s="174" t="s">
        <v>620</v>
      </c>
      <c r="D337" s="170" t="s">
        <v>3</v>
      </c>
    </row>
    <row r="338" spans="1:4" ht="14.5">
      <c r="A338" s="174" t="s">
        <v>673</v>
      </c>
      <c r="B338" s="174" t="s">
        <v>674</v>
      </c>
      <c r="C338" s="174" t="s">
        <v>620</v>
      </c>
      <c r="D338" s="170" t="s">
        <v>3</v>
      </c>
    </row>
    <row r="339" spans="1:4" ht="14.5">
      <c r="A339" s="174" t="s">
        <v>675</v>
      </c>
      <c r="B339" s="174" t="s">
        <v>676</v>
      </c>
      <c r="C339" s="174" t="s">
        <v>677</v>
      </c>
      <c r="D339" s="170" t="s">
        <v>3</v>
      </c>
    </row>
    <row r="340" spans="1:4" ht="14.5">
      <c r="A340" s="174" t="s">
        <v>678</v>
      </c>
      <c r="B340" s="174" t="s">
        <v>679</v>
      </c>
      <c r="C340" s="174" t="s">
        <v>620</v>
      </c>
      <c r="D340" s="170" t="s">
        <v>3</v>
      </c>
    </row>
    <row r="341" spans="1:4" ht="14.5">
      <c r="A341" s="174" t="s">
        <v>680</v>
      </c>
      <c r="B341" s="174" t="s">
        <v>681</v>
      </c>
      <c r="C341" s="174" t="s">
        <v>261</v>
      </c>
      <c r="D341" s="170" t="s">
        <v>3</v>
      </c>
    </row>
    <row r="342" spans="1:4" ht="14.5">
      <c r="A342" s="174" t="s">
        <v>682</v>
      </c>
      <c r="B342" s="174" t="s">
        <v>683</v>
      </c>
      <c r="C342" s="174" t="s">
        <v>261</v>
      </c>
      <c r="D342" s="170" t="s">
        <v>3</v>
      </c>
    </row>
    <row r="343" spans="1:4" ht="14.5">
      <c r="A343" s="174" t="s">
        <v>684</v>
      </c>
      <c r="B343" s="174" t="s">
        <v>685</v>
      </c>
      <c r="C343" s="174" t="s">
        <v>261</v>
      </c>
      <c r="D343" s="170" t="s">
        <v>3</v>
      </c>
    </row>
    <row r="344" spans="1:4" ht="14.5">
      <c r="A344" s="174" t="s">
        <v>686</v>
      </c>
      <c r="B344" s="174" t="s">
        <v>687</v>
      </c>
      <c r="C344" s="174" t="s">
        <v>261</v>
      </c>
      <c r="D344" s="170" t="s">
        <v>3</v>
      </c>
    </row>
    <row r="345" spans="1:4" ht="14.5">
      <c r="A345" s="174" t="s">
        <v>688</v>
      </c>
      <c r="B345" s="174" t="s">
        <v>689</v>
      </c>
      <c r="C345" s="174" t="s">
        <v>261</v>
      </c>
      <c r="D345" s="170" t="s">
        <v>3</v>
      </c>
    </row>
    <row r="346" spans="1:4" ht="14.5">
      <c r="A346" s="174" t="s">
        <v>690</v>
      </c>
      <c r="B346" s="174" t="s">
        <v>691</v>
      </c>
      <c r="C346" s="174" t="s">
        <v>261</v>
      </c>
      <c r="D346" s="170" t="s">
        <v>3</v>
      </c>
    </row>
    <row r="347" spans="1:4" ht="14.5">
      <c r="A347" s="174" t="s">
        <v>692</v>
      </c>
      <c r="B347" s="174" t="s">
        <v>693</v>
      </c>
      <c r="C347" s="174" t="s">
        <v>261</v>
      </c>
      <c r="D347" s="170" t="s">
        <v>3</v>
      </c>
    </row>
    <row r="348" spans="1:4" ht="14.5">
      <c r="A348" s="174" t="s">
        <v>694</v>
      </c>
      <c r="B348" s="174" t="s">
        <v>695</v>
      </c>
      <c r="C348" s="174" t="s">
        <v>696</v>
      </c>
      <c r="D348" s="170" t="s">
        <v>3</v>
      </c>
    </row>
    <row r="349" spans="1:4" ht="14.5">
      <c r="A349" s="174" t="s">
        <v>697</v>
      </c>
      <c r="B349" s="174" t="s">
        <v>698</v>
      </c>
      <c r="C349" s="174" t="s">
        <v>696</v>
      </c>
      <c r="D349" s="170" t="s">
        <v>3</v>
      </c>
    </row>
    <row r="350" spans="1:4" ht="14.5">
      <c r="A350" s="174" t="s">
        <v>699</v>
      </c>
      <c r="B350" s="174" t="s">
        <v>700</v>
      </c>
      <c r="C350" s="174" t="s">
        <v>696</v>
      </c>
      <c r="D350" s="170" t="s">
        <v>3</v>
      </c>
    </row>
    <row r="351" spans="1:4" ht="14.5">
      <c r="A351" s="174" t="s">
        <v>701</v>
      </c>
      <c r="B351" s="174" t="s">
        <v>702</v>
      </c>
      <c r="C351" s="174" t="s">
        <v>696</v>
      </c>
      <c r="D351" s="170" t="s">
        <v>3</v>
      </c>
    </row>
    <row r="352" spans="1:4" ht="14.5">
      <c r="A352" s="174" t="s">
        <v>703</v>
      </c>
      <c r="B352" s="174" t="s">
        <v>704</v>
      </c>
      <c r="C352" s="174" t="s">
        <v>705</v>
      </c>
      <c r="D352" s="170" t="s">
        <v>3</v>
      </c>
    </row>
    <row r="353" spans="1:4" ht="14.5">
      <c r="A353" s="174" t="s">
        <v>706</v>
      </c>
      <c r="B353" s="174" t="s">
        <v>707</v>
      </c>
      <c r="C353" s="174" t="s">
        <v>705</v>
      </c>
      <c r="D353" s="170" t="s">
        <v>3</v>
      </c>
    </row>
    <row r="354" spans="1:4" ht="14.5">
      <c r="A354" s="174" t="s">
        <v>708</v>
      </c>
      <c r="B354" s="174" t="s">
        <v>709</v>
      </c>
      <c r="C354" s="174" t="s">
        <v>705</v>
      </c>
      <c r="D354" s="170" t="s">
        <v>3</v>
      </c>
    </row>
    <row r="355" spans="1:4" ht="14.5">
      <c r="A355" s="174" t="s">
        <v>710</v>
      </c>
      <c r="B355" s="174" t="s">
        <v>711</v>
      </c>
      <c r="C355" s="174" t="s">
        <v>712</v>
      </c>
      <c r="D355" s="170" t="s">
        <v>3</v>
      </c>
    </row>
    <row r="356" spans="1:4" ht="14.5">
      <c r="A356" s="174" t="s">
        <v>713</v>
      </c>
      <c r="B356" s="174" t="s">
        <v>714</v>
      </c>
      <c r="C356" s="174" t="s">
        <v>712</v>
      </c>
      <c r="D356" s="170" t="s">
        <v>3</v>
      </c>
    </row>
    <row r="357" spans="1:4" ht="14.5">
      <c r="A357" s="174" t="s">
        <v>715</v>
      </c>
      <c r="B357" s="174" t="s">
        <v>716</v>
      </c>
      <c r="C357" s="174" t="s">
        <v>712</v>
      </c>
      <c r="D357" s="170" t="s">
        <v>3</v>
      </c>
    </row>
    <row r="358" spans="1:4" ht="14.5">
      <c r="A358" s="174" t="s">
        <v>717</v>
      </c>
      <c r="B358" s="174" t="s">
        <v>718</v>
      </c>
      <c r="C358" s="174" t="s">
        <v>712</v>
      </c>
      <c r="D358" s="170" t="s">
        <v>3</v>
      </c>
    </row>
    <row r="359" spans="1:4" ht="14.5">
      <c r="A359" s="174" t="s">
        <v>719</v>
      </c>
      <c r="B359" s="174" t="s">
        <v>720</v>
      </c>
      <c r="C359" s="174" t="s">
        <v>712</v>
      </c>
      <c r="D359" s="170" t="s">
        <v>3</v>
      </c>
    </row>
    <row r="360" spans="1:4" ht="14.5">
      <c r="A360" s="174" t="s">
        <v>721</v>
      </c>
      <c r="B360" s="174" t="s">
        <v>722</v>
      </c>
      <c r="C360" s="174" t="s">
        <v>712</v>
      </c>
      <c r="D360" s="170" t="s">
        <v>3</v>
      </c>
    </row>
    <row r="361" spans="1:4" ht="14.5">
      <c r="A361" s="174" t="s">
        <v>723</v>
      </c>
      <c r="B361" s="174" t="s">
        <v>724</v>
      </c>
      <c r="C361" s="174" t="s">
        <v>712</v>
      </c>
      <c r="D361" s="170" t="s">
        <v>3</v>
      </c>
    </row>
    <row r="362" spans="1:4" ht="14.5">
      <c r="A362" s="174" t="s">
        <v>725</v>
      </c>
      <c r="B362" s="174" t="s">
        <v>726</v>
      </c>
      <c r="C362" s="174" t="s">
        <v>712</v>
      </c>
      <c r="D362" s="170" t="s">
        <v>3</v>
      </c>
    </row>
    <row r="363" spans="1:4" ht="14.5">
      <c r="A363" s="174" t="s">
        <v>727</v>
      </c>
      <c r="B363" s="174" t="s">
        <v>728</v>
      </c>
      <c r="C363" s="174" t="s">
        <v>712</v>
      </c>
      <c r="D363" s="170" t="s">
        <v>3</v>
      </c>
    </row>
    <row r="364" spans="1:4" ht="14.5">
      <c r="A364" s="174" t="s">
        <v>729</v>
      </c>
      <c r="B364" s="174" t="s">
        <v>730</v>
      </c>
      <c r="C364" s="174" t="s">
        <v>712</v>
      </c>
      <c r="D364" s="170" t="s">
        <v>3</v>
      </c>
    </row>
    <row r="365" spans="1:4" ht="14.5">
      <c r="A365" s="174" t="s">
        <v>731</v>
      </c>
      <c r="B365" s="174" t="s">
        <v>732</v>
      </c>
      <c r="C365" s="174" t="s">
        <v>712</v>
      </c>
      <c r="D365" s="170" t="s">
        <v>3</v>
      </c>
    </row>
    <row r="366" spans="1:4" ht="14.5">
      <c r="A366" s="174" t="s">
        <v>733</v>
      </c>
      <c r="B366" s="174" t="s">
        <v>734</v>
      </c>
      <c r="C366" s="174" t="s">
        <v>712</v>
      </c>
      <c r="D366" s="170" t="s">
        <v>3</v>
      </c>
    </row>
    <row r="367" spans="1:4" ht="14.5">
      <c r="A367" s="174" t="s">
        <v>735</v>
      </c>
      <c r="B367" s="174" t="s">
        <v>736</v>
      </c>
      <c r="C367" s="174" t="s">
        <v>712</v>
      </c>
      <c r="D367" s="170" t="s">
        <v>3</v>
      </c>
    </row>
    <row r="368" spans="1:4" ht="14.5">
      <c r="A368" s="174" t="s">
        <v>737</v>
      </c>
      <c r="B368" s="174" t="s">
        <v>738</v>
      </c>
      <c r="C368" s="174" t="s">
        <v>712</v>
      </c>
      <c r="D368" s="170" t="s">
        <v>3</v>
      </c>
    </row>
    <row r="369" spans="1:4" ht="14.5">
      <c r="A369" s="174" t="s">
        <v>739</v>
      </c>
      <c r="B369" s="174" t="s">
        <v>740</v>
      </c>
      <c r="C369" s="174" t="s">
        <v>712</v>
      </c>
      <c r="D369" s="170" t="s">
        <v>3</v>
      </c>
    </row>
    <row r="370" spans="1:4" ht="14.5">
      <c r="A370" s="174" t="s">
        <v>741</v>
      </c>
      <c r="B370" s="174" t="s">
        <v>742</v>
      </c>
      <c r="C370" s="174" t="s">
        <v>712</v>
      </c>
      <c r="D370" s="170" t="s">
        <v>3</v>
      </c>
    </row>
    <row r="371" spans="1:4" ht="14.5">
      <c r="A371" s="174" t="s">
        <v>743</v>
      </c>
      <c r="B371" s="174" t="s">
        <v>744</v>
      </c>
      <c r="C371" s="174" t="s">
        <v>712</v>
      </c>
      <c r="D371" s="170" t="s">
        <v>3</v>
      </c>
    </row>
    <row r="372" spans="1:4" ht="14.5">
      <c r="A372" s="174" t="s">
        <v>745</v>
      </c>
      <c r="B372" s="174" t="s">
        <v>746</v>
      </c>
      <c r="C372" s="174" t="s">
        <v>712</v>
      </c>
      <c r="D372" s="170" t="s">
        <v>3</v>
      </c>
    </row>
    <row r="373" spans="1:4" ht="14.5">
      <c r="A373" s="174" t="s">
        <v>747</v>
      </c>
      <c r="B373" s="174" t="s">
        <v>748</v>
      </c>
      <c r="C373" s="174" t="s">
        <v>712</v>
      </c>
      <c r="D373" s="170" t="s">
        <v>3</v>
      </c>
    </row>
    <row r="374" spans="1:4" ht="14.5">
      <c r="A374" s="174" t="s">
        <v>749</v>
      </c>
      <c r="B374" s="174" t="s">
        <v>750</v>
      </c>
      <c r="C374" s="174" t="s">
        <v>712</v>
      </c>
      <c r="D374" s="170" t="s">
        <v>3</v>
      </c>
    </row>
    <row r="375" spans="1:4" ht="14.5">
      <c r="A375" s="174" t="s">
        <v>751</v>
      </c>
      <c r="B375" s="174" t="s">
        <v>752</v>
      </c>
      <c r="C375" s="174" t="s">
        <v>712</v>
      </c>
      <c r="D375" s="170" t="s">
        <v>3</v>
      </c>
    </row>
    <row r="376" spans="1:4" ht="14.5">
      <c r="A376" s="174" t="s">
        <v>753</v>
      </c>
      <c r="B376" s="174" t="s">
        <v>754</v>
      </c>
      <c r="C376" s="174" t="s">
        <v>712</v>
      </c>
      <c r="D376" s="170" t="s">
        <v>3</v>
      </c>
    </row>
    <row r="377" spans="1:4" ht="14.5">
      <c r="A377" s="174" t="s">
        <v>755</v>
      </c>
      <c r="B377" s="174" t="s">
        <v>756</v>
      </c>
      <c r="C377" s="174" t="s">
        <v>712</v>
      </c>
      <c r="D377" s="170" t="s">
        <v>3</v>
      </c>
    </row>
    <row r="378" spans="1:4" ht="14.5">
      <c r="A378" s="174" t="s">
        <v>757</v>
      </c>
      <c r="B378" s="174" t="s">
        <v>758</v>
      </c>
      <c r="C378" s="174" t="s">
        <v>712</v>
      </c>
      <c r="D378" s="170" t="s">
        <v>3</v>
      </c>
    </row>
    <row r="379" spans="1:4" ht="14.5">
      <c r="A379" s="174" t="s">
        <v>759</v>
      </c>
      <c r="B379" s="174" t="s">
        <v>760</v>
      </c>
      <c r="C379" s="174" t="s">
        <v>712</v>
      </c>
      <c r="D379" s="170" t="s">
        <v>3</v>
      </c>
    </row>
    <row r="380" spans="1:4" ht="14.5">
      <c r="A380" s="174" t="s">
        <v>761</v>
      </c>
      <c r="B380" s="174" t="s">
        <v>762</v>
      </c>
      <c r="C380" s="174" t="s">
        <v>712</v>
      </c>
      <c r="D380" s="170" t="s">
        <v>3</v>
      </c>
    </row>
    <row r="381" spans="1:4" ht="14.5">
      <c r="A381" s="174" t="s">
        <v>763</v>
      </c>
      <c r="B381" s="174" t="s">
        <v>764</v>
      </c>
      <c r="C381" s="174" t="s">
        <v>712</v>
      </c>
      <c r="D381" s="170" t="s">
        <v>3</v>
      </c>
    </row>
    <row r="382" spans="1:4" ht="14.5">
      <c r="A382" s="174" t="s">
        <v>765</v>
      </c>
      <c r="B382" s="174" t="s">
        <v>766</v>
      </c>
      <c r="C382" s="174" t="s">
        <v>712</v>
      </c>
      <c r="D382" s="170" t="s">
        <v>3</v>
      </c>
    </row>
    <row r="383" spans="1:4" ht="14.5">
      <c r="A383" s="174" t="s">
        <v>767</v>
      </c>
      <c r="B383" s="174" t="s">
        <v>768</v>
      </c>
      <c r="C383" s="174" t="s">
        <v>712</v>
      </c>
      <c r="D383" s="170" t="s">
        <v>3</v>
      </c>
    </row>
    <row r="384" spans="1:4" ht="14.5">
      <c r="A384" s="174" t="s">
        <v>769</v>
      </c>
      <c r="B384" s="174" t="s">
        <v>770</v>
      </c>
      <c r="C384" s="174" t="s">
        <v>771</v>
      </c>
      <c r="D384" s="170" t="s">
        <v>3</v>
      </c>
    </row>
    <row r="385" spans="1:4" ht="14.5">
      <c r="A385" s="174" t="s">
        <v>772</v>
      </c>
      <c r="B385" s="174" t="s">
        <v>773</v>
      </c>
      <c r="C385" s="174" t="s">
        <v>771</v>
      </c>
      <c r="D385" s="170" t="s">
        <v>3</v>
      </c>
    </row>
    <row r="386" spans="1:4" ht="14.5">
      <c r="A386" s="174" t="s">
        <v>774</v>
      </c>
      <c r="B386" s="174" t="s">
        <v>775</v>
      </c>
      <c r="C386" s="174" t="s">
        <v>771</v>
      </c>
      <c r="D386" s="170" t="s">
        <v>3</v>
      </c>
    </row>
    <row r="387" spans="1:4" ht="14.5">
      <c r="A387" s="174" t="s">
        <v>776</v>
      </c>
      <c r="B387" s="174" t="s">
        <v>777</v>
      </c>
      <c r="C387" s="174" t="s">
        <v>771</v>
      </c>
      <c r="D387" s="170" t="s">
        <v>3</v>
      </c>
    </row>
    <row r="388" spans="1:4" ht="14.5">
      <c r="A388" s="174" t="s">
        <v>778</v>
      </c>
      <c r="B388" s="174" t="s">
        <v>779</v>
      </c>
      <c r="C388" s="174" t="s">
        <v>771</v>
      </c>
      <c r="D388" s="170" t="s">
        <v>3</v>
      </c>
    </row>
    <row r="389" spans="1:4" ht="14.5">
      <c r="A389" s="174" t="s">
        <v>780</v>
      </c>
      <c r="B389" s="174" t="s">
        <v>781</v>
      </c>
      <c r="C389" s="174" t="s">
        <v>771</v>
      </c>
      <c r="D389" s="170" t="s">
        <v>3</v>
      </c>
    </row>
    <row r="390" spans="1:4" ht="14.5">
      <c r="A390" s="174" t="s">
        <v>782</v>
      </c>
      <c r="B390" s="174" t="s">
        <v>783</v>
      </c>
      <c r="C390" s="174" t="s">
        <v>771</v>
      </c>
      <c r="D390" s="170" t="s">
        <v>3</v>
      </c>
    </row>
    <row r="391" spans="1:4" ht="14.5">
      <c r="A391" s="174" t="s">
        <v>784</v>
      </c>
      <c r="B391" s="174" t="s">
        <v>785</v>
      </c>
      <c r="C391" s="174" t="s">
        <v>771</v>
      </c>
      <c r="D391" s="170" t="s">
        <v>3</v>
      </c>
    </row>
    <row r="392" spans="1:4" ht="14.5">
      <c r="A392" s="174" t="s">
        <v>786</v>
      </c>
      <c r="B392" s="174" t="s">
        <v>787</v>
      </c>
      <c r="C392" s="174" t="s">
        <v>771</v>
      </c>
      <c r="D392" s="170" t="s">
        <v>3</v>
      </c>
    </row>
    <row r="393" spans="1:4" ht="14.5">
      <c r="A393" s="174" t="s">
        <v>788</v>
      </c>
      <c r="B393" s="174" t="s">
        <v>789</v>
      </c>
      <c r="C393" s="174" t="s">
        <v>771</v>
      </c>
      <c r="D393" s="170" t="s">
        <v>3</v>
      </c>
    </row>
    <row r="394" spans="1:4" ht="14.5">
      <c r="A394" s="174" t="s">
        <v>790</v>
      </c>
      <c r="B394" s="174" t="s">
        <v>791</v>
      </c>
      <c r="C394" s="174" t="s">
        <v>771</v>
      </c>
      <c r="D394" s="170" t="s">
        <v>3</v>
      </c>
    </row>
    <row r="395" spans="1:4" ht="14.5">
      <c r="A395" s="174" t="s">
        <v>792</v>
      </c>
      <c r="B395" s="174" t="s">
        <v>793</v>
      </c>
      <c r="C395" s="174" t="s">
        <v>771</v>
      </c>
      <c r="D395" s="170" t="s">
        <v>3</v>
      </c>
    </row>
    <row r="396" spans="1:4" ht="14.5">
      <c r="A396" s="174" t="s">
        <v>794</v>
      </c>
      <c r="B396" s="174" t="s">
        <v>795</v>
      </c>
      <c r="C396" s="174" t="s">
        <v>771</v>
      </c>
      <c r="D396" s="170" t="s">
        <v>3</v>
      </c>
    </row>
    <row r="397" spans="1:4" ht="14.5">
      <c r="A397" s="174" t="s">
        <v>796</v>
      </c>
      <c r="B397" s="174" t="s">
        <v>797</v>
      </c>
      <c r="C397" s="174" t="s">
        <v>771</v>
      </c>
      <c r="D397" s="170" t="s">
        <v>3</v>
      </c>
    </row>
    <row r="398" spans="1:4" ht="14.5">
      <c r="A398" s="174" t="s">
        <v>798</v>
      </c>
      <c r="B398" s="174" t="s">
        <v>799</v>
      </c>
      <c r="C398" s="174" t="s">
        <v>771</v>
      </c>
      <c r="D398" s="170" t="s">
        <v>3</v>
      </c>
    </row>
    <row r="399" spans="1:4" ht="14.5">
      <c r="A399" s="174" t="s">
        <v>800</v>
      </c>
      <c r="B399" s="174" t="s">
        <v>801</v>
      </c>
      <c r="C399" s="174" t="s">
        <v>771</v>
      </c>
      <c r="D399" s="170" t="s">
        <v>3</v>
      </c>
    </row>
    <row r="400" spans="1:4" ht="14.5">
      <c r="A400" s="174" t="s">
        <v>802</v>
      </c>
      <c r="B400" s="174" t="s">
        <v>803</v>
      </c>
      <c r="C400" s="174" t="s">
        <v>771</v>
      </c>
      <c r="D400" s="170" t="s">
        <v>3</v>
      </c>
    </row>
    <row r="401" spans="1:4" ht="14.5">
      <c r="A401" s="174" t="s">
        <v>804</v>
      </c>
      <c r="B401" s="174" t="s">
        <v>805</v>
      </c>
      <c r="C401" s="174" t="s">
        <v>771</v>
      </c>
      <c r="D401" s="170" t="s">
        <v>3</v>
      </c>
    </row>
    <row r="402" spans="1:4" ht="14.5">
      <c r="A402" s="174" t="s">
        <v>806</v>
      </c>
      <c r="B402" s="174" t="s">
        <v>807</v>
      </c>
      <c r="C402" s="174" t="s">
        <v>771</v>
      </c>
      <c r="D402" s="170" t="s">
        <v>3</v>
      </c>
    </row>
    <row r="403" spans="1:4" ht="14.5">
      <c r="A403" s="174" t="s">
        <v>808</v>
      </c>
      <c r="B403" s="174" t="s">
        <v>809</v>
      </c>
      <c r="C403" s="174" t="s">
        <v>771</v>
      </c>
      <c r="D403" s="170" t="s">
        <v>3</v>
      </c>
    </row>
    <row r="404" spans="1:4" ht="14.5">
      <c r="A404" s="174" t="s">
        <v>810</v>
      </c>
      <c r="B404" s="174" t="s">
        <v>811</v>
      </c>
      <c r="C404" s="174" t="s">
        <v>771</v>
      </c>
      <c r="D404" s="170" t="s">
        <v>3</v>
      </c>
    </row>
    <row r="405" spans="1:4" ht="14.5">
      <c r="A405" s="174" t="s">
        <v>812</v>
      </c>
      <c r="B405" s="174" t="s">
        <v>813</v>
      </c>
      <c r="C405" s="174" t="s">
        <v>771</v>
      </c>
      <c r="D405" s="170" t="s">
        <v>3</v>
      </c>
    </row>
    <row r="406" spans="1:4" ht="14.5">
      <c r="A406" s="174" t="s">
        <v>814</v>
      </c>
      <c r="B406" s="174" t="s">
        <v>815</v>
      </c>
      <c r="C406" s="174" t="s">
        <v>771</v>
      </c>
      <c r="D406" s="170" t="s">
        <v>3</v>
      </c>
    </row>
    <row r="407" spans="1:4" ht="14.5">
      <c r="A407" s="174" t="s">
        <v>816</v>
      </c>
      <c r="B407" s="174" t="s">
        <v>817</v>
      </c>
      <c r="C407" s="174" t="s">
        <v>771</v>
      </c>
      <c r="D407" s="170" t="s">
        <v>3</v>
      </c>
    </row>
    <row r="408" spans="1:4" ht="14.5">
      <c r="A408" s="174" t="s">
        <v>818</v>
      </c>
      <c r="B408" s="174" t="s">
        <v>819</v>
      </c>
      <c r="C408" s="174" t="s">
        <v>771</v>
      </c>
      <c r="D408" s="170" t="s">
        <v>3</v>
      </c>
    </row>
    <row r="409" spans="1:4" ht="14.5">
      <c r="A409" s="174" t="s">
        <v>820</v>
      </c>
      <c r="B409" s="174" t="s">
        <v>821</v>
      </c>
      <c r="C409" s="174" t="s">
        <v>771</v>
      </c>
      <c r="D409" s="170" t="s">
        <v>3</v>
      </c>
    </row>
    <row r="410" spans="1:4" ht="14.5">
      <c r="A410" s="174" t="s">
        <v>822</v>
      </c>
      <c r="B410" s="174" t="s">
        <v>823</v>
      </c>
      <c r="C410" s="174" t="s">
        <v>771</v>
      </c>
      <c r="D410" s="170" t="s">
        <v>3</v>
      </c>
    </row>
    <row r="411" spans="1:4" ht="14.5">
      <c r="A411" s="174" t="s">
        <v>824</v>
      </c>
      <c r="B411" s="174" t="s">
        <v>825</v>
      </c>
      <c r="C411" s="174" t="s">
        <v>771</v>
      </c>
      <c r="D411" s="170" t="s">
        <v>3</v>
      </c>
    </row>
    <row r="412" spans="1:4" ht="14.5">
      <c r="A412" s="174" t="s">
        <v>826</v>
      </c>
      <c r="B412" s="174" t="s">
        <v>827</v>
      </c>
      <c r="C412" s="174" t="s">
        <v>771</v>
      </c>
      <c r="D412" s="170" t="s">
        <v>3</v>
      </c>
    </row>
    <row r="413" spans="1:4" ht="14.5">
      <c r="A413" s="174" t="s">
        <v>828</v>
      </c>
      <c r="B413" s="174" t="s">
        <v>829</v>
      </c>
      <c r="C413" s="174" t="s">
        <v>771</v>
      </c>
      <c r="D413" s="170" t="s">
        <v>3</v>
      </c>
    </row>
    <row r="414" spans="1:4" ht="14.5">
      <c r="A414" s="174" t="s">
        <v>830</v>
      </c>
      <c r="B414" s="174" t="s">
        <v>831</v>
      </c>
      <c r="C414" s="174" t="s">
        <v>771</v>
      </c>
      <c r="D414" s="170" t="s">
        <v>3</v>
      </c>
    </row>
    <row r="415" spans="1:4" ht="14.5">
      <c r="A415" s="174" t="s">
        <v>832</v>
      </c>
      <c r="B415" s="174" t="s">
        <v>833</v>
      </c>
      <c r="C415" s="174" t="s">
        <v>771</v>
      </c>
      <c r="D415" s="170" t="s">
        <v>3</v>
      </c>
    </row>
    <row r="416" spans="1:4" ht="14.5">
      <c r="A416" s="174" t="s">
        <v>834</v>
      </c>
      <c r="B416" s="174" t="s">
        <v>835</v>
      </c>
      <c r="C416" s="174" t="s">
        <v>771</v>
      </c>
      <c r="D416" s="170" t="s">
        <v>3</v>
      </c>
    </row>
    <row r="417" spans="1:4" ht="14.5">
      <c r="A417" s="174" t="s">
        <v>836</v>
      </c>
      <c r="B417" s="174" t="s">
        <v>837</v>
      </c>
      <c r="C417" s="174" t="s">
        <v>771</v>
      </c>
      <c r="D417" s="170" t="s">
        <v>3</v>
      </c>
    </row>
    <row r="418" spans="1:4" ht="14.5">
      <c r="A418" s="174" t="s">
        <v>838</v>
      </c>
      <c r="B418" s="174" t="s">
        <v>839</v>
      </c>
      <c r="C418" s="174" t="s">
        <v>771</v>
      </c>
      <c r="D418" s="170" t="s">
        <v>3</v>
      </c>
    </row>
    <row r="419" spans="1:4" ht="14.5">
      <c r="A419" s="174" t="s">
        <v>840</v>
      </c>
      <c r="B419" s="174" t="s">
        <v>841</v>
      </c>
      <c r="C419" s="174" t="s">
        <v>771</v>
      </c>
      <c r="D419" s="170" t="s">
        <v>3</v>
      </c>
    </row>
    <row r="420" spans="1:4" ht="14.5">
      <c r="A420" s="174" t="s">
        <v>842</v>
      </c>
      <c r="B420" s="174" t="s">
        <v>843</v>
      </c>
      <c r="C420" s="174" t="s">
        <v>771</v>
      </c>
      <c r="D420" s="170" t="s">
        <v>3</v>
      </c>
    </row>
    <row r="421" spans="1:4" ht="14.5">
      <c r="A421" s="174" t="s">
        <v>844</v>
      </c>
      <c r="B421" s="174" t="s">
        <v>845</v>
      </c>
      <c r="C421" s="174" t="s">
        <v>771</v>
      </c>
      <c r="D421" s="170" t="s">
        <v>3</v>
      </c>
    </row>
    <row r="422" spans="1:4" ht="14.5">
      <c r="A422" s="174" t="s">
        <v>846</v>
      </c>
      <c r="B422" s="174" t="s">
        <v>847</v>
      </c>
      <c r="C422" s="174" t="s">
        <v>771</v>
      </c>
      <c r="D422" s="170" t="s">
        <v>3</v>
      </c>
    </row>
    <row r="423" spans="1:4" ht="14.5">
      <c r="A423" s="174" t="s">
        <v>848</v>
      </c>
      <c r="B423" s="174" t="s">
        <v>849</v>
      </c>
      <c r="C423" s="174" t="s">
        <v>771</v>
      </c>
      <c r="D423" s="170" t="s">
        <v>3</v>
      </c>
    </row>
    <row r="424" spans="1:4" ht="14.5">
      <c r="A424" s="174" t="s">
        <v>850</v>
      </c>
      <c r="B424" s="174" t="s">
        <v>851</v>
      </c>
      <c r="C424" s="174" t="s">
        <v>771</v>
      </c>
      <c r="D424" s="170" t="s">
        <v>3</v>
      </c>
    </row>
    <row r="425" spans="1:4" ht="14.5">
      <c r="A425" s="174" t="s">
        <v>852</v>
      </c>
      <c r="B425" s="174" t="s">
        <v>853</v>
      </c>
      <c r="C425" s="174" t="s">
        <v>771</v>
      </c>
      <c r="D425" s="170" t="s">
        <v>3</v>
      </c>
    </row>
    <row r="426" spans="1:4" ht="14.5">
      <c r="A426" s="174" t="s">
        <v>854</v>
      </c>
      <c r="B426" s="174" t="s">
        <v>855</v>
      </c>
      <c r="C426" s="174" t="s">
        <v>771</v>
      </c>
      <c r="D426" s="170" t="s">
        <v>3</v>
      </c>
    </row>
    <row r="427" spans="1:4" ht="14.5">
      <c r="A427" s="174" t="s">
        <v>856</v>
      </c>
      <c r="B427" s="174" t="s">
        <v>857</v>
      </c>
      <c r="C427" s="174" t="s">
        <v>771</v>
      </c>
      <c r="D427" s="170" t="s">
        <v>3</v>
      </c>
    </row>
    <row r="428" spans="1:4" ht="14.5">
      <c r="A428" s="174" t="s">
        <v>858</v>
      </c>
      <c r="B428" s="174" t="s">
        <v>859</v>
      </c>
      <c r="C428" s="174" t="s">
        <v>771</v>
      </c>
      <c r="D428" s="170" t="s">
        <v>3</v>
      </c>
    </row>
    <row r="429" spans="1:4" ht="14.5">
      <c r="A429" s="174" t="s">
        <v>860</v>
      </c>
      <c r="B429" s="174" t="s">
        <v>861</v>
      </c>
      <c r="C429" s="174" t="s">
        <v>771</v>
      </c>
      <c r="D429" s="170" t="s">
        <v>3</v>
      </c>
    </row>
    <row r="430" spans="1:4" ht="14.5">
      <c r="A430" s="174" t="s">
        <v>862</v>
      </c>
      <c r="B430" s="174" t="s">
        <v>863</v>
      </c>
      <c r="C430" s="174" t="s">
        <v>771</v>
      </c>
      <c r="D430" s="170" t="s">
        <v>3</v>
      </c>
    </row>
    <row r="431" spans="1:4" ht="14.5">
      <c r="A431" s="174" t="s">
        <v>864</v>
      </c>
      <c r="B431" s="174" t="s">
        <v>865</v>
      </c>
      <c r="C431" s="174" t="s">
        <v>771</v>
      </c>
      <c r="D431" s="170" t="s">
        <v>3</v>
      </c>
    </row>
    <row r="432" spans="1:4" ht="14.5">
      <c r="A432" s="174" t="s">
        <v>866</v>
      </c>
      <c r="B432" s="174" t="s">
        <v>867</v>
      </c>
      <c r="C432" s="174" t="s">
        <v>771</v>
      </c>
      <c r="D432" s="170" t="s">
        <v>3</v>
      </c>
    </row>
    <row r="433" spans="1:4" ht="14.5">
      <c r="A433" s="174" t="s">
        <v>868</v>
      </c>
      <c r="B433" s="174" t="s">
        <v>869</v>
      </c>
      <c r="C433" s="174" t="s">
        <v>771</v>
      </c>
      <c r="D433" s="170" t="s">
        <v>3</v>
      </c>
    </row>
    <row r="434" spans="1:4" ht="14.5">
      <c r="A434" s="174" t="s">
        <v>870</v>
      </c>
      <c r="B434" s="174" t="s">
        <v>871</v>
      </c>
      <c r="C434" s="174" t="s">
        <v>771</v>
      </c>
      <c r="D434" s="170" t="s">
        <v>3</v>
      </c>
    </row>
    <row r="435" spans="1:4" ht="14.5">
      <c r="A435" s="174" t="s">
        <v>872</v>
      </c>
      <c r="B435" s="174" t="s">
        <v>873</v>
      </c>
      <c r="C435" s="174" t="s">
        <v>771</v>
      </c>
      <c r="D435" s="170" t="s">
        <v>3</v>
      </c>
    </row>
    <row r="436" spans="1:4" ht="14.5">
      <c r="A436" s="174" t="s">
        <v>874</v>
      </c>
      <c r="B436" s="174" t="s">
        <v>875</v>
      </c>
      <c r="C436" s="174" t="s">
        <v>771</v>
      </c>
      <c r="D436" s="170" t="s">
        <v>3</v>
      </c>
    </row>
    <row r="437" spans="1:4" ht="14.5">
      <c r="A437" s="174" t="s">
        <v>876</v>
      </c>
      <c r="B437" s="174" t="s">
        <v>877</v>
      </c>
      <c r="C437" s="174" t="s">
        <v>771</v>
      </c>
      <c r="D437" s="170" t="s">
        <v>3</v>
      </c>
    </row>
    <row r="438" spans="1:4" ht="14.5">
      <c r="A438" s="174" t="s">
        <v>878</v>
      </c>
      <c r="B438" s="174" t="s">
        <v>879</v>
      </c>
      <c r="C438" s="174" t="s">
        <v>771</v>
      </c>
      <c r="D438" s="170" t="s">
        <v>3</v>
      </c>
    </row>
    <row r="439" spans="1:4" ht="14.5">
      <c r="A439" s="174" t="s">
        <v>880</v>
      </c>
      <c r="B439" s="174" t="s">
        <v>881</v>
      </c>
      <c r="C439" s="174" t="s">
        <v>771</v>
      </c>
      <c r="D439" s="170" t="s">
        <v>3</v>
      </c>
    </row>
    <row r="440" spans="1:4" ht="14.5">
      <c r="A440" s="174" t="s">
        <v>882</v>
      </c>
      <c r="B440" s="174" t="s">
        <v>883</v>
      </c>
      <c r="C440" s="174" t="s">
        <v>771</v>
      </c>
      <c r="D440" s="170" t="s">
        <v>3</v>
      </c>
    </row>
    <row r="441" spans="1:4" ht="14.5">
      <c r="A441" s="174" t="s">
        <v>884</v>
      </c>
      <c r="B441" s="174" t="s">
        <v>885</v>
      </c>
      <c r="C441" s="174" t="s">
        <v>771</v>
      </c>
      <c r="D441" s="170" t="s">
        <v>3</v>
      </c>
    </row>
    <row r="442" spans="1:4" ht="14.5">
      <c r="A442" s="174" t="s">
        <v>886</v>
      </c>
      <c r="B442" s="174" t="s">
        <v>887</v>
      </c>
      <c r="C442" s="174" t="s">
        <v>771</v>
      </c>
      <c r="D442" s="170" t="s">
        <v>3</v>
      </c>
    </row>
    <row r="443" spans="1:4" ht="14.5">
      <c r="A443" s="174" t="s">
        <v>888</v>
      </c>
      <c r="B443" s="174" t="s">
        <v>889</v>
      </c>
      <c r="C443" s="174" t="s">
        <v>771</v>
      </c>
      <c r="D443" s="170" t="s">
        <v>3</v>
      </c>
    </row>
    <row r="444" spans="1:4" ht="14.5">
      <c r="A444" s="174" t="s">
        <v>890</v>
      </c>
      <c r="B444" s="174" t="s">
        <v>891</v>
      </c>
      <c r="C444" s="174" t="s">
        <v>771</v>
      </c>
      <c r="D444" s="170" t="s">
        <v>3</v>
      </c>
    </row>
    <row r="445" spans="1:4" ht="14.5">
      <c r="A445" s="174" t="s">
        <v>892</v>
      </c>
      <c r="B445" s="174" t="s">
        <v>893</v>
      </c>
      <c r="C445" s="174" t="s">
        <v>771</v>
      </c>
      <c r="D445" s="170" t="s">
        <v>3</v>
      </c>
    </row>
    <row r="446" spans="1:4" ht="14.5">
      <c r="A446" s="174" t="s">
        <v>894</v>
      </c>
      <c r="B446" s="174" t="s">
        <v>895</v>
      </c>
      <c r="C446" s="174" t="s">
        <v>771</v>
      </c>
      <c r="D446" s="170" t="s">
        <v>3</v>
      </c>
    </row>
    <row r="447" spans="1:4" ht="14.5">
      <c r="A447" s="174" t="s">
        <v>896</v>
      </c>
      <c r="B447" s="174" t="s">
        <v>897</v>
      </c>
      <c r="C447" s="174" t="s">
        <v>771</v>
      </c>
      <c r="D447" s="170" t="s">
        <v>3</v>
      </c>
    </row>
    <row r="448" spans="1:4" ht="14.5">
      <c r="A448" s="174" t="s">
        <v>898</v>
      </c>
      <c r="B448" s="174" t="s">
        <v>899</v>
      </c>
      <c r="C448" s="174" t="s">
        <v>771</v>
      </c>
      <c r="D448" s="170" t="s">
        <v>3</v>
      </c>
    </row>
    <row r="449" spans="1:4" ht="14.5">
      <c r="A449" s="174" t="s">
        <v>900</v>
      </c>
      <c r="B449" s="174" t="s">
        <v>901</v>
      </c>
      <c r="C449" s="174" t="s">
        <v>771</v>
      </c>
      <c r="D449" s="170" t="s">
        <v>3</v>
      </c>
    </row>
    <row r="450" spans="1:4" ht="14.5">
      <c r="A450" s="174" t="s">
        <v>902</v>
      </c>
      <c r="B450" s="174" t="s">
        <v>903</v>
      </c>
      <c r="C450" s="174" t="s">
        <v>771</v>
      </c>
      <c r="D450" s="170" t="s">
        <v>3</v>
      </c>
    </row>
    <row r="451" spans="1:4" ht="14.5">
      <c r="A451" s="174" t="s">
        <v>904</v>
      </c>
      <c r="B451" s="174" t="s">
        <v>905</v>
      </c>
      <c r="C451" s="174" t="s">
        <v>771</v>
      </c>
      <c r="D451" s="170" t="s">
        <v>3</v>
      </c>
    </row>
    <row r="452" spans="1:4" ht="14.5">
      <c r="A452" s="174" t="s">
        <v>906</v>
      </c>
      <c r="B452" s="174" t="s">
        <v>907</v>
      </c>
      <c r="C452" s="174" t="s">
        <v>771</v>
      </c>
      <c r="D452" s="170" t="s">
        <v>3</v>
      </c>
    </row>
    <row r="453" spans="1:4" ht="14.5">
      <c r="A453" s="174" t="s">
        <v>908</v>
      </c>
      <c r="B453" s="174" t="s">
        <v>909</v>
      </c>
      <c r="C453" s="174" t="s">
        <v>771</v>
      </c>
      <c r="D453" s="170" t="s">
        <v>3</v>
      </c>
    </row>
    <row r="454" spans="1:4" ht="14.5">
      <c r="A454" s="174" t="s">
        <v>910</v>
      </c>
      <c r="B454" s="174" t="s">
        <v>911</v>
      </c>
      <c r="C454" s="174" t="s">
        <v>771</v>
      </c>
      <c r="D454" s="170" t="s">
        <v>3</v>
      </c>
    </row>
    <row r="455" spans="1:4" ht="14.5">
      <c r="A455" s="174" t="s">
        <v>912</v>
      </c>
      <c r="B455" s="174" t="s">
        <v>913</v>
      </c>
      <c r="C455" s="174" t="s">
        <v>914</v>
      </c>
      <c r="D455" s="170" t="s">
        <v>3</v>
      </c>
    </row>
    <row r="456" spans="1:4" ht="14.5">
      <c r="A456" s="174" t="s">
        <v>915</v>
      </c>
      <c r="B456" s="174" t="s">
        <v>916</v>
      </c>
      <c r="C456" s="174" t="s">
        <v>914</v>
      </c>
      <c r="D456" s="170" t="s">
        <v>3</v>
      </c>
    </row>
    <row r="457" spans="1:4" ht="14.5">
      <c r="A457" s="174" t="s">
        <v>917</v>
      </c>
      <c r="B457" s="174" t="s">
        <v>918</v>
      </c>
      <c r="C457" s="174" t="s">
        <v>919</v>
      </c>
      <c r="D457" s="170" t="s">
        <v>3</v>
      </c>
    </row>
    <row r="458" spans="1:4" ht="14.5">
      <c r="A458" s="174" t="s">
        <v>920</v>
      </c>
      <c r="B458" s="174" t="s">
        <v>921</v>
      </c>
      <c r="C458" s="174" t="s">
        <v>919</v>
      </c>
      <c r="D458" s="170" t="s">
        <v>3</v>
      </c>
    </row>
    <row r="459" spans="1:4" ht="14.5">
      <c r="A459" s="174" t="s">
        <v>922</v>
      </c>
      <c r="B459" s="174" t="s">
        <v>923</v>
      </c>
      <c r="C459" s="174" t="s">
        <v>919</v>
      </c>
      <c r="D459" s="170" t="s">
        <v>3</v>
      </c>
    </row>
    <row r="460" spans="1:4" ht="14.5">
      <c r="A460" s="174" t="s">
        <v>924</v>
      </c>
      <c r="B460" s="174" t="s">
        <v>925</v>
      </c>
      <c r="C460" s="174" t="s">
        <v>919</v>
      </c>
      <c r="D460" s="170" t="s">
        <v>3</v>
      </c>
    </row>
    <row r="461" spans="1:4" ht="14.5">
      <c r="A461" s="174" t="s">
        <v>926</v>
      </c>
      <c r="B461" s="174" t="s">
        <v>927</v>
      </c>
      <c r="C461" s="174" t="s">
        <v>919</v>
      </c>
      <c r="D461" s="170" t="s">
        <v>3</v>
      </c>
    </row>
    <row r="462" spans="1:4" ht="14.5">
      <c r="A462" s="174" t="s">
        <v>928</v>
      </c>
      <c r="B462" s="174" t="s">
        <v>929</v>
      </c>
      <c r="C462" s="174" t="s">
        <v>919</v>
      </c>
      <c r="D462" s="170" t="s">
        <v>3</v>
      </c>
    </row>
    <row r="463" spans="1:4" ht="14.5">
      <c r="A463" s="174" t="s">
        <v>930</v>
      </c>
      <c r="B463" s="174" t="s">
        <v>931</v>
      </c>
      <c r="C463" s="174" t="s">
        <v>919</v>
      </c>
      <c r="D463" s="170" t="s">
        <v>3</v>
      </c>
    </row>
    <row r="464" spans="1:4" ht="14.5">
      <c r="A464" s="174" t="s">
        <v>932</v>
      </c>
      <c r="B464" s="174" t="s">
        <v>933</v>
      </c>
      <c r="C464" s="174" t="s">
        <v>919</v>
      </c>
      <c r="D464" s="170" t="s">
        <v>3</v>
      </c>
    </row>
    <row r="465" spans="1:4" ht="14.5">
      <c r="A465" s="174" t="s">
        <v>934</v>
      </c>
      <c r="B465" s="174" t="s">
        <v>935</v>
      </c>
      <c r="C465" s="174" t="s">
        <v>919</v>
      </c>
      <c r="D465" s="170" t="s">
        <v>3</v>
      </c>
    </row>
    <row r="466" spans="1:4" ht="14.5">
      <c r="A466" s="174" t="s">
        <v>936</v>
      </c>
      <c r="B466" s="174" t="s">
        <v>937</v>
      </c>
      <c r="C466" s="174" t="s">
        <v>919</v>
      </c>
      <c r="D466" s="170" t="s">
        <v>3</v>
      </c>
    </row>
    <row r="467" spans="1:4" ht="14.5">
      <c r="A467" s="174" t="s">
        <v>938</v>
      </c>
      <c r="B467" s="174" t="s">
        <v>939</v>
      </c>
      <c r="C467" s="174" t="s">
        <v>919</v>
      </c>
      <c r="D467" s="170" t="s">
        <v>3</v>
      </c>
    </row>
    <row r="468" spans="1:4" ht="14.5">
      <c r="A468" s="174" t="s">
        <v>940</v>
      </c>
      <c r="B468" s="174" t="s">
        <v>941</v>
      </c>
      <c r="C468" s="174" t="s">
        <v>919</v>
      </c>
      <c r="D468" s="170" t="s">
        <v>3</v>
      </c>
    </row>
    <row r="469" spans="1:4" ht="14.5">
      <c r="A469" s="174" t="s">
        <v>942</v>
      </c>
      <c r="B469" s="174" t="s">
        <v>943</v>
      </c>
      <c r="C469" s="174" t="s">
        <v>919</v>
      </c>
      <c r="D469" s="170" t="s">
        <v>3</v>
      </c>
    </row>
    <row r="470" spans="1:4" ht="14.5">
      <c r="A470" s="174" t="s">
        <v>944</v>
      </c>
      <c r="B470" s="174" t="s">
        <v>945</v>
      </c>
      <c r="C470" s="174" t="s">
        <v>919</v>
      </c>
      <c r="D470" s="170" t="s">
        <v>3</v>
      </c>
    </row>
    <row r="471" spans="1:4" ht="14.5">
      <c r="A471" s="174" t="s">
        <v>946</v>
      </c>
      <c r="B471" s="174" t="s">
        <v>947</v>
      </c>
      <c r="C471" s="174" t="s">
        <v>919</v>
      </c>
      <c r="D471" s="170" t="s">
        <v>3</v>
      </c>
    </row>
    <row r="472" spans="1:4" ht="14.5">
      <c r="A472" s="174" t="s">
        <v>948</v>
      </c>
      <c r="B472" s="174" t="s">
        <v>949</v>
      </c>
      <c r="C472" s="174" t="s">
        <v>919</v>
      </c>
      <c r="D472" s="170" t="s">
        <v>3</v>
      </c>
    </row>
    <row r="473" spans="1:4" ht="14.5">
      <c r="A473" s="174" t="s">
        <v>950</v>
      </c>
      <c r="B473" s="174" t="s">
        <v>951</v>
      </c>
      <c r="C473" s="174" t="s">
        <v>919</v>
      </c>
      <c r="D473" s="170" t="s">
        <v>3</v>
      </c>
    </row>
    <row r="474" spans="1:4" ht="14.5">
      <c r="A474" s="174" t="s">
        <v>952</v>
      </c>
      <c r="B474" s="174" t="s">
        <v>953</v>
      </c>
      <c r="C474" s="174" t="s">
        <v>919</v>
      </c>
      <c r="D474" s="170" t="s">
        <v>3</v>
      </c>
    </row>
    <row r="475" spans="1:4" ht="14.5">
      <c r="A475" s="174" t="s">
        <v>954</v>
      </c>
      <c r="B475" s="174" t="s">
        <v>955</v>
      </c>
      <c r="C475" s="174" t="s">
        <v>919</v>
      </c>
      <c r="D475" s="170" t="s">
        <v>3</v>
      </c>
    </row>
    <row r="476" spans="1:4" ht="14.5">
      <c r="A476" s="174" t="s">
        <v>956</v>
      </c>
      <c r="B476" s="174" t="s">
        <v>957</v>
      </c>
      <c r="C476" s="174" t="s">
        <v>919</v>
      </c>
      <c r="D476" s="170" t="s">
        <v>3</v>
      </c>
    </row>
    <row r="477" spans="1:4" ht="14.5">
      <c r="A477" s="174" t="s">
        <v>958</v>
      </c>
      <c r="B477" s="174" t="s">
        <v>959</v>
      </c>
      <c r="C477" s="174" t="s">
        <v>919</v>
      </c>
      <c r="D477" s="170" t="s">
        <v>3</v>
      </c>
    </row>
    <row r="478" spans="1:4" ht="14.5">
      <c r="A478" s="174" t="s">
        <v>960</v>
      </c>
      <c r="B478" s="174" t="s">
        <v>961</v>
      </c>
      <c r="C478" s="174" t="s">
        <v>919</v>
      </c>
      <c r="D478" s="170" t="s">
        <v>3</v>
      </c>
    </row>
    <row r="479" spans="1:4" ht="14.5">
      <c r="A479" s="174" t="s">
        <v>962</v>
      </c>
      <c r="B479" s="174" t="s">
        <v>963</v>
      </c>
      <c r="C479" s="174" t="s">
        <v>919</v>
      </c>
      <c r="D479" s="170" t="s">
        <v>3</v>
      </c>
    </row>
    <row r="480" spans="1:4" ht="14.5">
      <c r="A480" s="174" t="s">
        <v>964</v>
      </c>
      <c r="B480" s="174" t="s">
        <v>965</v>
      </c>
      <c r="C480" s="174" t="s">
        <v>919</v>
      </c>
      <c r="D480" s="170" t="s">
        <v>3</v>
      </c>
    </row>
    <row r="481" spans="1:4" ht="14.5">
      <c r="A481" s="174" t="s">
        <v>966</v>
      </c>
      <c r="B481" s="174" t="s">
        <v>967</v>
      </c>
      <c r="C481" s="174" t="s">
        <v>919</v>
      </c>
      <c r="D481" s="170" t="s">
        <v>3</v>
      </c>
    </row>
    <row r="482" spans="1:4" ht="14.5">
      <c r="A482" s="174" t="s">
        <v>968</v>
      </c>
      <c r="B482" s="174" t="s">
        <v>969</v>
      </c>
      <c r="C482" s="174" t="s">
        <v>919</v>
      </c>
      <c r="D482" s="170" t="s">
        <v>3</v>
      </c>
    </row>
    <row r="483" spans="1:4" ht="14.5">
      <c r="A483" s="174" t="s">
        <v>970</v>
      </c>
      <c r="B483" s="174" t="s">
        <v>971</v>
      </c>
      <c r="C483" s="174" t="s">
        <v>919</v>
      </c>
      <c r="D483" s="170" t="s">
        <v>3</v>
      </c>
    </row>
    <row r="484" spans="1:4" ht="14.5">
      <c r="A484" s="174" t="s">
        <v>972</v>
      </c>
      <c r="B484" s="174" t="s">
        <v>973</v>
      </c>
      <c r="C484" s="174" t="s">
        <v>919</v>
      </c>
      <c r="D484" s="170" t="s">
        <v>3</v>
      </c>
    </row>
    <row r="485" spans="1:4" ht="14.5">
      <c r="A485" s="174" t="s">
        <v>974</v>
      </c>
      <c r="B485" s="174" t="s">
        <v>975</v>
      </c>
      <c r="C485" s="174" t="s">
        <v>919</v>
      </c>
      <c r="D485" s="170" t="s">
        <v>3</v>
      </c>
    </row>
    <row r="486" spans="1:4" ht="14.5">
      <c r="A486" s="174" t="s">
        <v>976</v>
      </c>
      <c r="B486" s="174" t="s">
        <v>977</v>
      </c>
      <c r="C486" s="174" t="s">
        <v>919</v>
      </c>
      <c r="D486" s="170" t="s">
        <v>3</v>
      </c>
    </row>
    <row r="487" spans="1:4" ht="14.5">
      <c r="A487" s="174" t="s">
        <v>978</v>
      </c>
      <c r="B487" s="174" t="s">
        <v>979</v>
      </c>
      <c r="C487" s="174" t="s">
        <v>919</v>
      </c>
      <c r="D487" s="170" t="s">
        <v>3</v>
      </c>
    </row>
    <row r="488" spans="1:4" ht="14.5">
      <c r="A488" s="174" t="s">
        <v>980</v>
      </c>
      <c r="B488" s="174" t="s">
        <v>981</v>
      </c>
      <c r="C488" s="174" t="s">
        <v>919</v>
      </c>
      <c r="D488" s="170" t="s">
        <v>3</v>
      </c>
    </row>
    <row r="489" spans="1:4" ht="14.5">
      <c r="A489" s="174" t="s">
        <v>982</v>
      </c>
      <c r="B489" s="174" t="s">
        <v>983</v>
      </c>
      <c r="C489" s="174" t="s">
        <v>919</v>
      </c>
      <c r="D489" s="170" t="s">
        <v>3</v>
      </c>
    </row>
    <row r="490" spans="1:4" ht="14.5">
      <c r="A490" s="174" t="s">
        <v>984</v>
      </c>
      <c r="B490" s="174" t="s">
        <v>985</v>
      </c>
      <c r="C490" s="174" t="s">
        <v>919</v>
      </c>
      <c r="D490" s="170" t="s">
        <v>3</v>
      </c>
    </row>
    <row r="491" spans="1:4" ht="14.5">
      <c r="A491" s="174" t="s">
        <v>986</v>
      </c>
      <c r="B491" s="174" t="s">
        <v>987</v>
      </c>
      <c r="C491" s="174" t="s">
        <v>919</v>
      </c>
      <c r="D491" s="170" t="s">
        <v>3</v>
      </c>
    </row>
    <row r="492" spans="1:4" ht="14.5">
      <c r="A492" s="174" t="s">
        <v>988</v>
      </c>
      <c r="B492" s="174" t="s">
        <v>989</v>
      </c>
      <c r="C492" s="174" t="s">
        <v>919</v>
      </c>
      <c r="D492" s="170" t="s">
        <v>3</v>
      </c>
    </row>
    <row r="493" spans="1:4" ht="14.5">
      <c r="A493" s="174" t="s">
        <v>990</v>
      </c>
      <c r="B493" s="174" t="s">
        <v>991</v>
      </c>
      <c r="C493" s="174" t="s">
        <v>919</v>
      </c>
      <c r="D493" s="170" t="s">
        <v>3</v>
      </c>
    </row>
    <row r="494" spans="1:4" ht="14.5">
      <c r="A494" s="174" t="s">
        <v>992</v>
      </c>
      <c r="B494" s="174" t="s">
        <v>993</v>
      </c>
      <c r="C494" s="174" t="s">
        <v>919</v>
      </c>
      <c r="D494" s="170" t="s">
        <v>3</v>
      </c>
    </row>
    <row r="495" spans="1:4" ht="14.5">
      <c r="A495" s="174" t="s">
        <v>994</v>
      </c>
      <c r="B495" s="174" t="s">
        <v>995</v>
      </c>
      <c r="C495" s="174" t="s">
        <v>919</v>
      </c>
      <c r="D495" s="170" t="s">
        <v>3</v>
      </c>
    </row>
    <row r="496" spans="1:4" ht="14.5">
      <c r="A496" s="174" t="s">
        <v>996</v>
      </c>
      <c r="B496" s="174" t="s">
        <v>997</v>
      </c>
      <c r="C496" s="174" t="s">
        <v>919</v>
      </c>
      <c r="D496" s="170" t="s">
        <v>3</v>
      </c>
    </row>
    <row r="497" spans="1:4" ht="14.5">
      <c r="A497" s="174" t="s">
        <v>998</v>
      </c>
      <c r="B497" s="174" t="s">
        <v>999</v>
      </c>
      <c r="C497" s="174" t="s">
        <v>919</v>
      </c>
      <c r="D497" s="170" t="s">
        <v>3</v>
      </c>
    </row>
    <row r="498" spans="1:4" ht="14.5">
      <c r="A498" s="174" t="s">
        <v>1000</v>
      </c>
      <c r="B498" s="174" t="s">
        <v>1001</v>
      </c>
      <c r="C498" s="174" t="s">
        <v>919</v>
      </c>
      <c r="D498" s="170" t="s">
        <v>3</v>
      </c>
    </row>
    <row r="499" spans="1:4" ht="14.5">
      <c r="A499" s="174" t="s">
        <v>1002</v>
      </c>
      <c r="B499" s="174" t="s">
        <v>1003</v>
      </c>
      <c r="C499" s="174" t="s">
        <v>919</v>
      </c>
      <c r="D499" s="170" t="s">
        <v>3</v>
      </c>
    </row>
    <row r="500" spans="1:4" ht="14.5">
      <c r="A500" s="174" t="s">
        <v>1004</v>
      </c>
      <c r="B500" s="174" t="s">
        <v>1005</v>
      </c>
      <c r="C500" s="174" t="s">
        <v>919</v>
      </c>
      <c r="D500" s="170" t="s">
        <v>3</v>
      </c>
    </row>
    <row r="501" spans="1:4" ht="14.5">
      <c r="A501" s="174" t="s">
        <v>1006</v>
      </c>
      <c r="B501" s="174" t="s">
        <v>1007</v>
      </c>
      <c r="C501" s="174" t="s">
        <v>919</v>
      </c>
      <c r="D501" s="170" t="s">
        <v>3</v>
      </c>
    </row>
    <row r="502" spans="1:4" ht="14.5">
      <c r="A502" s="174" t="s">
        <v>1008</v>
      </c>
      <c r="B502" s="174" t="s">
        <v>1009</v>
      </c>
      <c r="C502" s="174" t="s">
        <v>919</v>
      </c>
      <c r="D502" s="170" t="s">
        <v>3</v>
      </c>
    </row>
    <row r="503" spans="1:4" ht="14.5">
      <c r="A503" s="174" t="s">
        <v>1010</v>
      </c>
      <c r="B503" s="174" t="s">
        <v>1011</v>
      </c>
      <c r="C503" s="174" t="s">
        <v>919</v>
      </c>
      <c r="D503" s="170" t="s">
        <v>3</v>
      </c>
    </row>
    <row r="504" spans="1:4" ht="14.5">
      <c r="A504" s="174" t="s">
        <v>1012</v>
      </c>
      <c r="B504" s="174" t="s">
        <v>1013</v>
      </c>
      <c r="C504" s="174" t="s">
        <v>919</v>
      </c>
      <c r="D504" s="170" t="s">
        <v>3</v>
      </c>
    </row>
    <row r="505" spans="1:4" ht="14.5">
      <c r="A505" s="174" t="s">
        <v>1014</v>
      </c>
      <c r="B505" s="174" t="s">
        <v>1015</v>
      </c>
      <c r="C505" s="174" t="s">
        <v>919</v>
      </c>
      <c r="D505" s="170" t="s">
        <v>3</v>
      </c>
    </row>
    <row r="506" spans="1:4" ht="14.5">
      <c r="A506" s="174" t="s">
        <v>1016</v>
      </c>
      <c r="B506" s="174" t="s">
        <v>1017</v>
      </c>
      <c r="C506" s="174" t="s">
        <v>919</v>
      </c>
      <c r="D506" s="170" t="s">
        <v>3</v>
      </c>
    </row>
    <row r="507" spans="1:4" ht="14.5">
      <c r="A507" s="174" t="s">
        <v>1018</v>
      </c>
      <c r="B507" s="174" t="s">
        <v>1019</v>
      </c>
      <c r="C507" s="174" t="s">
        <v>919</v>
      </c>
      <c r="D507" s="170" t="s">
        <v>3</v>
      </c>
    </row>
    <row r="508" spans="1:4" ht="14.5">
      <c r="A508" s="174" t="s">
        <v>1020</v>
      </c>
      <c r="B508" s="174" t="s">
        <v>1021</v>
      </c>
      <c r="C508" s="174" t="s">
        <v>919</v>
      </c>
      <c r="D508" s="170" t="s">
        <v>3</v>
      </c>
    </row>
    <row r="509" spans="1:4" ht="14.5">
      <c r="A509" s="174" t="s">
        <v>1022</v>
      </c>
      <c r="B509" s="174" t="s">
        <v>1023</v>
      </c>
      <c r="C509" s="174" t="s">
        <v>919</v>
      </c>
      <c r="D509" s="170" t="s">
        <v>3</v>
      </c>
    </row>
    <row r="510" spans="1:4" ht="14.5">
      <c r="A510" s="174" t="s">
        <v>1024</v>
      </c>
      <c r="B510" s="174" t="s">
        <v>1025</v>
      </c>
      <c r="C510" s="174" t="s">
        <v>919</v>
      </c>
      <c r="D510" s="170" t="s">
        <v>3</v>
      </c>
    </row>
    <row r="511" spans="1:4" ht="14.5">
      <c r="A511" s="174" t="s">
        <v>1026</v>
      </c>
      <c r="B511" s="174" t="s">
        <v>1027</v>
      </c>
      <c r="C511" s="174" t="s">
        <v>919</v>
      </c>
      <c r="D511" s="170" t="s">
        <v>3</v>
      </c>
    </row>
    <row r="512" spans="1:4" ht="14.5">
      <c r="A512" s="174" t="s">
        <v>1028</v>
      </c>
      <c r="B512" s="174" t="s">
        <v>1029</v>
      </c>
      <c r="C512" s="174" t="s">
        <v>919</v>
      </c>
      <c r="D512" s="170" t="s">
        <v>3</v>
      </c>
    </row>
    <row r="513" spans="1:4" ht="14.5">
      <c r="A513" s="174" t="s">
        <v>1030</v>
      </c>
      <c r="B513" s="174" t="s">
        <v>1031</v>
      </c>
      <c r="C513" s="174" t="s">
        <v>919</v>
      </c>
      <c r="D513" s="170" t="s">
        <v>3</v>
      </c>
    </row>
    <row r="514" spans="1:4" ht="14.5">
      <c r="A514" s="174" t="s">
        <v>1032</v>
      </c>
      <c r="B514" s="174" t="s">
        <v>1033</v>
      </c>
      <c r="C514" s="174" t="s">
        <v>919</v>
      </c>
      <c r="D514" s="170" t="s">
        <v>3</v>
      </c>
    </row>
    <row r="515" spans="1:4" ht="14.5">
      <c r="A515" s="174" t="s">
        <v>1034</v>
      </c>
      <c r="B515" s="174" t="s">
        <v>1035</v>
      </c>
      <c r="C515" s="174" t="s">
        <v>919</v>
      </c>
      <c r="D515" s="170" t="s">
        <v>3</v>
      </c>
    </row>
    <row r="516" spans="1:4" ht="14.5">
      <c r="A516" s="174" t="s">
        <v>1036</v>
      </c>
      <c r="B516" s="174" t="s">
        <v>1037</v>
      </c>
      <c r="C516" s="174" t="s">
        <v>919</v>
      </c>
      <c r="D516" s="170" t="s">
        <v>3</v>
      </c>
    </row>
    <row r="517" spans="1:4" ht="14.5">
      <c r="A517" s="174" t="s">
        <v>1038</v>
      </c>
      <c r="B517" s="174" t="s">
        <v>1039</v>
      </c>
      <c r="C517" s="174" t="s">
        <v>919</v>
      </c>
      <c r="D517" s="170" t="s">
        <v>3</v>
      </c>
    </row>
    <row r="518" spans="1:4" ht="14.5">
      <c r="A518" s="174" t="s">
        <v>1040</v>
      </c>
      <c r="B518" s="174" t="s">
        <v>1041</v>
      </c>
      <c r="C518" s="174" t="s">
        <v>919</v>
      </c>
      <c r="D518" s="170" t="s">
        <v>3</v>
      </c>
    </row>
    <row r="519" spans="1:4" ht="14.5">
      <c r="A519" s="174" t="s">
        <v>1042</v>
      </c>
      <c r="B519" s="174" t="s">
        <v>1043</v>
      </c>
      <c r="C519" s="174" t="s">
        <v>919</v>
      </c>
      <c r="D519" s="170" t="s">
        <v>3</v>
      </c>
    </row>
    <row r="520" spans="1:4" ht="14.5">
      <c r="A520" s="174" t="s">
        <v>1044</v>
      </c>
      <c r="B520" s="174" t="s">
        <v>1045</v>
      </c>
      <c r="C520" s="174" t="s">
        <v>919</v>
      </c>
      <c r="D520" s="170" t="s">
        <v>3</v>
      </c>
    </row>
    <row r="521" spans="1:4" ht="14.5">
      <c r="A521" s="174" t="s">
        <v>1046</v>
      </c>
      <c r="B521" s="174" t="s">
        <v>1047</v>
      </c>
      <c r="C521" s="174" t="s">
        <v>919</v>
      </c>
      <c r="D521" s="170" t="s">
        <v>3</v>
      </c>
    </row>
    <row r="522" spans="1:4" ht="14.5">
      <c r="A522" s="174" t="s">
        <v>1048</v>
      </c>
      <c r="B522" s="174" t="s">
        <v>1049</v>
      </c>
      <c r="C522" s="174" t="s">
        <v>919</v>
      </c>
      <c r="D522" s="170" t="s">
        <v>3</v>
      </c>
    </row>
    <row r="523" spans="1:4" ht="14.5">
      <c r="A523" s="174" t="s">
        <v>1050</v>
      </c>
      <c r="B523" s="174" t="s">
        <v>1051</v>
      </c>
      <c r="C523" s="174" t="s">
        <v>919</v>
      </c>
      <c r="D523" s="170" t="s">
        <v>3</v>
      </c>
    </row>
    <row r="524" spans="1:4" ht="14.5">
      <c r="A524" s="174" t="s">
        <v>1052</v>
      </c>
      <c r="B524" s="174" t="s">
        <v>1053</v>
      </c>
      <c r="C524" s="174" t="s">
        <v>919</v>
      </c>
      <c r="D524" s="170" t="s">
        <v>3</v>
      </c>
    </row>
    <row r="525" spans="1:4" ht="14.5">
      <c r="A525" s="174" t="s">
        <v>1054</v>
      </c>
      <c r="B525" s="174" t="s">
        <v>1055</v>
      </c>
      <c r="C525" s="174" t="s">
        <v>919</v>
      </c>
      <c r="D525" s="170" t="s">
        <v>3</v>
      </c>
    </row>
    <row r="526" spans="1:4" ht="14.5">
      <c r="A526" s="174" t="s">
        <v>1056</v>
      </c>
      <c r="B526" s="174" t="s">
        <v>1057</v>
      </c>
      <c r="C526" s="174" t="s">
        <v>919</v>
      </c>
      <c r="D526" s="170" t="s">
        <v>3</v>
      </c>
    </row>
    <row r="527" spans="1:4" ht="14.5">
      <c r="A527" s="174" t="s">
        <v>1058</v>
      </c>
      <c r="B527" s="174" t="s">
        <v>1059</v>
      </c>
      <c r="C527" s="174" t="s">
        <v>919</v>
      </c>
      <c r="D527" s="170" t="s">
        <v>3</v>
      </c>
    </row>
    <row r="528" spans="1:4" ht="14.5">
      <c r="A528" s="174" t="s">
        <v>1060</v>
      </c>
      <c r="B528" s="174" t="s">
        <v>1061</v>
      </c>
      <c r="C528" s="174" t="s">
        <v>919</v>
      </c>
      <c r="D528" s="170" t="s">
        <v>3</v>
      </c>
    </row>
    <row r="529" spans="1:4" ht="14.5">
      <c r="A529" s="174" t="s">
        <v>1062</v>
      </c>
      <c r="B529" s="174" t="s">
        <v>1063</v>
      </c>
      <c r="C529" s="174" t="s">
        <v>919</v>
      </c>
      <c r="D529" s="170" t="s">
        <v>3</v>
      </c>
    </row>
    <row r="530" spans="1:4" ht="14.5">
      <c r="A530" s="174" t="s">
        <v>1064</v>
      </c>
      <c r="B530" s="174" t="s">
        <v>1065</v>
      </c>
      <c r="C530" s="174" t="s">
        <v>919</v>
      </c>
      <c r="D530" s="170" t="s">
        <v>3</v>
      </c>
    </row>
    <row r="531" spans="1:4" ht="14.5">
      <c r="A531" s="174" t="s">
        <v>1066</v>
      </c>
      <c r="B531" s="174" t="s">
        <v>1067</v>
      </c>
      <c r="C531" s="174" t="s">
        <v>919</v>
      </c>
      <c r="D531" s="170" t="s">
        <v>3</v>
      </c>
    </row>
    <row r="532" spans="1:4" ht="14.5">
      <c r="A532" s="174" t="s">
        <v>1068</v>
      </c>
      <c r="B532" s="174" t="s">
        <v>1069</v>
      </c>
      <c r="C532" s="174" t="s">
        <v>919</v>
      </c>
      <c r="D532" s="170" t="s">
        <v>3</v>
      </c>
    </row>
    <row r="533" spans="1:4" ht="14.5">
      <c r="A533" s="174" t="s">
        <v>1070</v>
      </c>
      <c r="B533" s="174" t="s">
        <v>1071</v>
      </c>
      <c r="C533" s="174" t="s">
        <v>919</v>
      </c>
      <c r="D533" s="170" t="s">
        <v>3</v>
      </c>
    </row>
    <row r="534" spans="1:4" ht="14.5">
      <c r="A534" s="174" t="s">
        <v>1072</v>
      </c>
      <c r="B534" s="174" t="s">
        <v>1073</v>
      </c>
      <c r="C534" s="174" t="s">
        <v>919</v>
      </c>
      <c r="D534" s="170" t="s">
        <v>3</v>
      </c>
    </row>
    <row r="535" spans="1:4" ht="14.5">
      <c r="A535" s="174" t="s">
        <v>1074</v>
      </c>
      <c r="B535" s="174" t="s">
        <v>1075</v>
      </c>
      <c r="C535" s="174" t="s">
        <v>919</v>
      </c>
      <c r="D535" s="170" t="s">
        <v>3</v>
      </c>
    </row>
    <row r="536" spans="1:4" ht="14.5">
      <c r="A536" s="174" t="s">
        <v>1076</v>
      </c>
      <c r="B536" s="174" t="s">
        <v>1077</v>
      </c>
      <c r="C536" s="174" t="s">
        <v>919</v>
      </c>
      <c r="D536" s="170" t="s">
        <v>3</v>
      </c>
    </row>
    <row r="537" spans="1:4" ht="14.5">
      <c r="A537" s="174" t="s">
        <v>1078</v>
      </c>
      <c r="B537" s="174" t="s">
        <v>1079</v>
      </c>
      <c r="C537" s="174" t="s">
        <v>919</v>
      </c>
      <c r="D537" s="170" t="s">
        <v>3</v>
      </c>
    </row>
    <row r="538" spans="1:4" ht="14.5">
      <c r="A538" s="174" t="s">
        <v>1080</v>
      </c>
      <c r="B538" s="174" t="s">
        <v>1081</v>
      </c>
      <c r="C538" s="174" t="s">
        <v>919</v>
      </c>
      <c r="D538" s="170" t="s">
        <v>3</v>
      </c>
    </row>
    <row r="539" spans="1:4" ht="14.5">
      <c r="A539" s="174" t="s">
        <v>1082</v>
      </c>
      <c r="B539" s="174" t="s">
        <v>1083</v>
      </c>
      <c r="C539" s="174" t="s">
        <v>919</v>
      </c>
      <c r="D539" s="170" t="s">
        <v>3</v>
      </c>
    </row>
    <row r="540" spans="1:4" ht="14.5">
      <c r="A540" s="174" t="s">
        <v>1084</v>
      </c>
      <c r="B540" s="174" t="s">
        <v>1085</v>
      </c>
      <c r="C540" s="174" t="s">
        <v>919</v>
      </c>
      <c r="D540" s="170" t="s">
        <v>3</v>
      </c>
    </row>
    <row r="541" spans="1:4" ht="14.5">
      <c r="A541" s="174" t="s">
        <v>1086</v>
      </c>
      <c r="B541" s="174" t="s">
        <v>1087</v>
      </c>
      <c r="C541" s="174" t="s">
        <v>919</v>
      </c>
      <c r="D541" s="170" t="s">
        <v>3</v>
      </c>
    </row>
    <row r="542" spans="1:4" ht="14.5">
      <c r="A542" s="174" t="s">
        <v>1088</v>
      </c>
      <c r="B542" s="174" t="s">
        <v>1089</v>
      </c>
      <c r="C542" s="174" t="s">
        <v>919</v>
      </c>
      <c r="D542" s="170" t="s">
        <v>3</v>
      </c>
    </row>
    <row r="543" spans="1:4" ht="14.5">
      <c r="A543" s="174" t="s">
        <v>1090</v>
      </c>
      <c r="B543" s="174" t="s">
        <v>1091</v>
      </c>
      <c r="C543" s="174" t="s">
        <v>919</v>
      </c>
      <c r="D543" s="170" t="s">
        <v>3</v>
      </c>
    </row>
    <row r="544" spans="1:4" ht="14.5">
      <c r="A544" s="174" t="s">
        <v>1092</v>
      </c>
      <c r="B544" s="174" t="s">
        <v>1093</v>
      </c>
      <c r="C544" s="174" t="s">
        <v>919</v>
      </c>
      <c r="D544" s="170" t="s">
        <v>3</v>
      </c>
    </row>
    <row r="545" spans="1:4" ht="14.5">
      <c r="A545" s="174" t="s">
        <v>1094</v>
      </c>
      <c r="B545" s="174" t="s">
        <v>1095</v>
      </c>
      <c r="C545" s="174" t="s">
        <v>919</v>
      </c>
      <c r="D545" s="170" t="s">
        <v>3</v>
      </c>
    </row>
    <row r="546" spans="1:4" ht="14.5">
      <c r="A546" s="174" t="s">
        <v>1096</v>
      </c>
      <c r="B546" s="174" t="s">
        <v>1097</v>
      </c>
      <c r="C546" s="174" t="s">
        <v>919</v>
      </c>
      <c r="D546" s="170" t="s">
        <v>3</v>
      </c>
    </row>
    <row r="547" spans="1:4" ht="14.5">
      <c r="A547" s="174" t="s">
        <v>1098</v>
      </c>
      <c r="B547" s="174" t="s">
        <v>1099</v>
      </c>
      <c r="C547" s="174" t="s">
        <v>919</v>
      </c>
      <c r="D547" s="170" t="s">
        <v>3</v>
      </c>
    </row>
    <row r="548" spans="1:4" ht="14.5">
      <c r="A548" s="174" t="s">
        <v>1100</v>
      </c>
      <c r="B548" s="174" t="s">
        <v>1101</v>
      </c>
      <c r="C548" s="174" t="s">
        <v>919</v>
      </c>
      <c r="D548" s="170" t="s">
        <v>3</v>
      </c>
    </row>
    <row r="549" spans="1:4" ht="14.5">
      <c r="A549" s="174" t="s">
        <v>1102</v>
      </c>
      <c r="B549" s="174" t="s">
        <v>1103</v>
      </c>
      <c r="C549" s="174" t="s">
        <v>919</v>
      </c>
      <c r="D549" s="170" t="s">
        <v>3</v>
      </c>
    </row>
    <row r="550" spans="1:4" ht="14.5">
      <c r="A550" s="174" t="s">
        <v>1104</v>
      </c>
      <c r="B550" s="174" t="s">
        <v>1105</v>
      </c>
      <c r="C550" s="174" t="s">
        <v>919</v>
      </c>
      <c r="D550" s="170" t="s">
        <v>3</v>
      </c>
    </row>
    <row r="551" spans="1:4" ht="14.5">
      <c r="A551" s="174" t="s">
        <v>1106</v>
      </c>
      <c r="B551" s="174" t="s">
        <v>1107</v>
      </c>
      <c r="C551" s="174" t="s">
        <v>919</v>
      </c>
      <c r="D551" s="170" t="s">
        <v>3</v>
      </c>
    </row>
    <row r="552" spans="1:4" ht="14.5">
      <c r="A552" s="174" t="s">
        <v>1108</v>
      </c>
      <c r="B552" s="174" t="s">
        <v>1109</v>
      </c>
      <c r="C552" s="174" t="s">
        <v>919</v>
      </c>
      <c r="D552" s="170" t="s">
        <v>3</v>
      </c>
    </row>
    <row r="553" spans="1:4" ht="14.5">
      <c r="A553" s="174" t="s">
        <v>1110</v>
      </c>
      <c r="B553" s="174" t="s">
        <v>1111</v>
      </c>
      <c r="C553" s="174" t="s">
        <v>919</v>
      </c>
      <c r="D553" s="170" t="s">
        <v>3</v>
      </c>
    </row>
    <row r="554" spans="1:4" ht="14.5">
      <c r="A554" s="174" t="s">
        <v>1112</v>
      </c>
      <c r="B554" s="174" t="s">
        <v>1113</v>
      </c>
      <c r="C554" s="174" t="s">
        <v>919</v>
      </c>
      <c r="D554" s="170" t="s">
        <v>3</v>
      </c>
    </row>
    <row r="555" spans="1:4" ht="14.5">
      <c r="A555" s="174" t="s">
        <v>1114</v>
      </c>
      <c r="B555" s="174" t="s">
        <v>1115</v>
      </c>
      <c r="C555" s="174" t="s">
        <v>919</v>
      </c>
      <c r="D555" s="170" t="s">
        <v>3</v>
      </c>
    </row>
    <row r="556" spans="1:4" ht="14.5">
      <c r="A556" s="174" t="s">
        <v>1116</v>
      </c>
      <c r="B556" s="174" t="s">
        <v>1117</v>
      </c>
      <c r="C556" s="174" t="s">
        <v>919</v>
      </c>
      <c r="D556" s="170" t="s">
        <v>3</v>
      </c>
    </row>
    <row r="557" spans="1:4" ht="14.5">
      <c r="A557" s="174" t="s">
        <v>1118</v>
      </c>
      <c r="B557" s="174" t="s">
        <v>1119</v>
      </c>
      <c r="C557" s="174" t="s">
        <v>919</v>
      </c>
      <c r="D557" s="170" t="s">
        <v>3</v>
      </c>
    </row>
    <row r="558" spans="1:4" ht="14.5">
      <c r="A558" s="174" t="s">
        <v>1120</v>
      </c>
      <c r="B558" s="174" t="s">
        <v>1121</v>
      </c>
      <c r="C558" s="174" t="s">
        <v>919</v>
      </c>
      <c r="D558" s="170" t="s">
        <v>3</v>
      </c>
    </row>
    <row r="559" spans="1:4" ht="14.5">
      <c r="A559" s="174" t="s">
        <v>1122</v>
      </c>
      <c r="B559" s="174" t="s">
        <v>1123</v>
      </c>
      <c r="C559" s="174" t="s">
        <v>919</v>
      </c>
      <c r="D559" s="170" t="s">
        <v>3</v>
      </c>
    </row>
    <row r="560" spans="1:4" ht="14.5">
      <c r="A560" s="174" t="s">
        <v>1124</v>
      </c>
      <c r="B560" s="174" t="s">
        <v>1125</v>
      </c>
      <c r="C560" s="174" t="s">
        <v>1126</v>
      </c>
      <c r="D560" s="170" t="s">
        <v>3</v>
      </c>
    </row>
    <row r="561" spans="1:4" ht="14.5">
      <c r="A561" s="174" t="s">
        <v>1127</v>
      </c>
      <c r="B561" s="174" t="s">
        <v>1128</v>
      </c>
      <c r="C561" s="174" t="s">
        <v>1126</v>
      </c>
      <c r="D561" s="170" t="s">
        <v>3</v>
      </c>
    </row>
    <row r="562" spans="1:4" ht="14.5">
      <c r="A562" s="174" t="s">
        <v>1129</v>
      </c>
      <c r="B562" s="174" t="s">
        <v>1130</v>
      </c>
      <c r="C562" s="174" t="s">
        <v>1126</v>
      </c>
      <c r="D562" s="170" t="s">
        <v>3</v>
      </c>
    </row>
    <row r="563" spans="1:4" ht="14.5">
      <c r="A563" s="174" t="s">
        <v>1131</v>
      </c>
      <c r="B563" s="174" t="s">
        <v>1132</v>
      </c>
      <c r="C563" s="174" t="s">
        <v>1126</v>
      </c>
      <c r="D563" s="170" t="s">
        <v>3</v>
      </c>
    </row>
    <row r="564" spans="1:4" ht="14.5">
      <c r="A564" s="174" t="s">
        <v>1133</v>
      </c>
      <c r="B564" s="174" t="s">
        <v>1134</v>
      </c>
      <c r="C564" s="174" t="s">
        <v>1126</v>
      </c>
      <c r="D564" s="170" t="s">
        <v>3</v>
      </c>
    </row>
    <row r="565" spans="1:4" ht="14.5">
      <c r="A565" s="174" t="s">
        <v>1135</v>
      </c>
      <c r="B565" s="174" t="s">
        <v>1136</v>
      </c>
      <c r="C565" s="174" t="s">
        <v>1126</v>
      </c>
      <c r="D565" s="170" t="s">
        <v>3</v>
      </c>
    </row>
    <row r="566" spans="1:4" ht="14.5">
      <c r="A566" s="174" t="s">
        <v>1137</v>
      </c>
      <c r="B566" s="174" t="s">
        <v>1138</v>
      </c>
      <c r="C566" s="174" t="s">
        <v>1126</v>
      </c>
      <c r="D566" s="170" t="s">
        <v>3</v>
      </c>
    </row>
    <row r="567" spans="1:4" ht="14.5">
      <c r="A567" s="174" t="s">
        <v>1139</v>
      </c>
      <c r="B567" s="174" t="s">
        <v>1140</v>
      </c>
      <c r="C567" s="174" t="s">
        <v>1126</v>
      </c>
      <c r="D567" s="170" t="s">
        <v>3</v>
      </c>
    </row>
    <row r="568" spans="1:4" ht="14.5">
      <c r="A568" s="174" t="s">
        <v>1141</v>
      </c>
      <c r="B568" s="174" t="s">
        <v>1142</v>
      </c>
      <c r="C568" s="174" t="s">
        <v>1126</v>
      </c>
      <c r="D568" s="170" t="s">
        <v>3</v>
      </c>
    </row>
    <row r="569" spans="1:4" ht="14.5">
      <c r="A569" s="174" t="s">
        <v>1143</v>
      </c>
      <c r="B569" s="174" t="s">
        <v>1144</v>
      </c>
      <c r="C569" s="174" t="s">
        <v>1126</v>
      </c>
      <c r="D569" s="170" t="s">
        <v>3</v>
      </c>
    </row>
    <row r="570" spans="1:4" ht="14.5">
      <c r="A570" s="174" t="s">
        <v>1145</v>
      </c>
      <c r="B570" s="174" t="s">
        <v>1146</v>
      </c>
      <c r="C570" s="174" t="s">
        <v>1126</v>
      </c>
      <c r="D570" s="170" t="s">
        <v>3</v>
      </c>
    </row>
    <row r="571" spans="1:4" ht="14.5">
      <c r="A571" s="174" t="s">
        <v>1147</v>
      </c>
      <c r="B571" s="174" t="s">
        <v>1148</v>
      </c>
      <c r="C571" s="174" t="s">
        <v>1126</v>
      </c>
      <c r="D571" s="170" t="s">
        <v>3</v>
      </c>
    </row>
    <row r="572" spans="1:4" ht="14.5">
      <c r="A572" s="174" t="s">
        <v>1149</v>
      </c>
      <c r="B572" s="174" t="s">
        <v>1150</v>
      </c>
      <c r="C572" s="174" t="s">
        <v>1126</v>
      </c>
      <c r="D572" s="170" t="s">
        <v>3</v>
      </c>
    </row>
    <row r="573" spans="1:4" ht="14.5">
      <c r="A573" s="174" t="s">
        <v>1151</v>
      </c>
      <c r="B573" s="174" t="s">
        <v>1152</v>
      </c>
      <c r="C573" s="174" t="s">
        <v>1126</v>
      </c>
      <c r="D573" s="170" t="s">
        <v>3</v>
      </c>
    </row>
    <row r="574" spans="1:4" ht="14.5">
      <c r="A574" s="174" t="s">
        <v>1153</v>
      </c>
      <c r="B574" s="174" t="s">
        <v>1154</v>
      </c>
      <c r="C574" s="174" t="s">
        <v>1126</v>
      </c>
      <c r="D574" s="170" t="s">
        <v>3</v>
      </c>
    </row>
    <row r="575" spans="1:4" ht="14.5">
      <c r="A575" s="174" t="s">
        <v>1155</v>
      </c>
      <c r="B575" s="174" t="s">
        <v>1156</v>
      </c>
      <c r="C575" s="174" t="s">
        <v>1126</v>
      </c>
      <c r="D575" s="170" t="s">
        <v>3</v>
      </c>
    </row>
    <row r="576" spans="1:4" ht="14.5">
      <c r="A576" s="174" t="s">
        <v>1157</v>
      </c>
      <c r="B576" s="174" t="s">
        <v>1158</v>
      </c>
      <c r="C576" s="174" t="s">
        <v>1126</v>
      </c>
      <c r="D576" s="170" t="s">
        <v>3</v>
      </c>
    </row>
    <row r="577" spans="1:4" ht="14.5">
      <c r="A577" s="174" t="s">
        <v>1159</v>
      </c>
      <c r="B577" s="174" t="s">
        <v>1160</v>
      </c>
      <c r="C577" s="174" t="s">
        <v>1126</v>
      </c>
      <c r="D577" s="170" t="s">
        <v>3</v>
      </c>
    </row>
    <row r="578" spans="1:4" ht="14.5">
      <c r="A578" s="174" t="s">
        <v>1161</v>
      </c>
      <c r="B578" s="174" t="s">
        <v>1162</v>
      </c>
      <c r="C578" s="174" t="s">
        <v>1126</v>
      </c>
      <c r="D578" s="170" t="s">
        <v>3</v>
      </c>
    </row>
    <row r="579" spans="1:4" ht="14.5">
      <c r="A579" s="174" t="s">
        <v>1163</v>
      </c>
      <c r="B579" s="174" t="s">
        <v>1164</v>
      </c>
      <c r="C579" s="174" t="s">
        <v>1165</v>
      </c>
      <c r="D579" s="170" t="s">
        <v>3</v>
      </c>
    </row>
    <row r="580" spans="1:4" ht="14.5">
      <c r="A580" s="174" t="s">
        <v>1166</v>
      </c>
      <c r="B580" s="174" t="s">
        <v>1167</v>
      </c>
      <c r="C580" s="174" t="s">
        <v>1165</v>
      </c>
      <c r="D580" s="170" t="s">
        <v>3</v>
      </c>
    </row>
    <row r="581" spans="1:4" ht="14.5">
      <c r="A581" s="174" t="s">
        <v>1168</v>
      </c>
      <c r="B581" s="174" t="s">
        <v>1169</v>
      </c>
      <c r="C581" s="174" t="s">
        <v>1165</v>
      </c>
      <c r="D581" s="170" t="s">
        <v>3</v>
      </c>
    </row>
    <row r="582" spans="1:4" ht="14.5">
      <c r="A582" s="174" t="s">
        <v>1170</v>
      </c>
      <c r="B582" s="174" t="s">
        <v>1171</v>
      </c>
      <c r="C582" s="174" t="s">
        <v>1165</v>
      </c>
      <c r="D582" s="170" t="s">
        <v>3</v>
      </c>
    </row>
    <row r="583" spans="1:4" ht="14.5">
      <c r="A583" s="174" t="s">
        <v>1172</v>
      </c>
      <c r="B583" s="174" t="s">
        <v>1173</v>
      </c>
      <c r="C583" s="174" t="s">
        <v>1165</v>
      </c>
      <c r="D583" s="170" t="s">
        <v>3</v>
      </c>
    </row>
    <row r="584" spans="1:4" ht="14.5">
      <c r="A584" s="174" t="s">
        <v>1174</v>
      </c>
      <c r="B584" s="174" t="s">
        <v>1175</v>
      </c>
      <c r="C584" s="174" t="s">
        <v>1165</v>
      </c>
      <c r="D584" s="170" t="s">
        <v>3</v>
      </c>
    </row>
    <row r="585" spans="1:4" ht="14.5">
      <c r="A585" s="174" t="s">
        <v>1176</v>
      </c>
      <c r="B585" s="174" t="s">
        <v>1177</v>
      </c>
      <c r="C585" s="174" t="s">
        <v>1165</v>
      </c>
      <c r="D585" s="170" t="s">
        <v>3</v>
      </c>
    </row>
    <row r="586" spans="1:4" ht="14.5">
      <c r="A586" s="174" t="s">
        <v>1178</v>
      </c>
      <c r="B586" s="174" t="s">
        <v>1179</v>
      </c>
      <c r="C586" s="174" t="s">
        <v>1165</v>
      </c>
      <c r="D586" s="170" t="s">
        <v>3</v>
      </c>
    </row>
    <row r="587" spans="1:4" ht="14.5">
      <c r="A587" s="174" t="s">
        <v>1180</v>
      </c>
      <c r="B587" s="174" t="s">
        <v>1181</v>
      </c>
      <c r="C587" s="174" t="s">
        <v>1165</v>
      </c>
      <c r="D587" s="170" t="s">
        <v>3</v>
      </c>
    </row>
    <row r="588" spans="1:4" ht="14.5">
      <c r="A588" s="174" t="s">
        <v>1182</v>
      </c>
      <c r="B588" s="174" t="s">
        <v>1183</v>
      </c>
      <c r="C588" s="174" t="s">
        <v>1165</v>
      </c>
      <c r="D588" s="170" t="s">
        <v>3</v>
      </c>
    </row>
    <row r="589" spans="1:4" ht="14.5">
      <c r="A589" s="174" t="s">
        <v>1184</v>
      </c>
      <c r="B589" s="174" t="s">
        <v>1185</v>
      </c>
      <c r="C589" s="174" t="s">
        <v>1186</v>
      </c>
      <c r="D589" s="170" t="s">
        <v>3</v>
      </c>
    </row>
    <row r="590" spans="1:4" ht="14.5">
      <c r="A590" s="174" t="s">
        <v>1187</v>
      </c>
      <c r="B590" s="174" t="s">
        <v>1188</v>
      </c>
      <c r="C590" s="174" t="s">
        <v>1186</v>
      </c>
      <c r="D590" s="170" t="s">
        <v>3</v>
      </c>
    </row>
    <row r="591" spans="1:4" ht="14.5">
      <c r="A591" s="174" t="s">
        <v>1189</v>
      </c>
      <c r="B591" s="174" t="s">
        <v>1190</v>
      </c>
      <c r="C591" s="174" t="s">
        <v>1186</v>
      </c>
      <c r="D591" s="170" t="s">
        <v>3</v>
      </c>
    </row>
    <row r="592" spans="1:4" ht="14.5">
      <c r="A592" s="174" t="s">
        <v>1191</v>
      </c>
      <c r="B592" s="174" t="s">
        <v>1192</v>
      </c>
      <c r="C592" s="174" t="s">
        <v>1193</v>
      </c>
      <c r="D592" s="170" t="s">
        <v>3</v>
      </c>
    </row>
    <row r="593" spans="1:4" ht="14.5">
      <c r="A593" s="174" t="s">
        <v>1194</v>
      </c>
      <c r="B593" s="174" t="s">
        <v>1195</v>
      </c>
      <c r="C593" s="174" t="s">
        <v>1193</v>
      </c>
      <c r="D593" s="170" t="s">
        <v>3</v>
      </c>
    </row>
    <row r="594" spans="1:4" ht="14.5">
      <c r="A594" s="174" t="s">
        <v>1196</v>
      </c>
      <c r="B594" s="174" t="s">
        <v>1197</v>
      </c>
      <c r="C594" s="174" t="s">
        <v>1193</v>
      </c>
      <c r="D594" s="170" t="s">
        <v>3</v>
      </c>
    </row>
    <row r="595" spans="1:4" ht="14.5">
      <c r="A595" s="174" t="s">
        <v>1198</v>
      </c>
      <c r="B595" s="174" t="s">
        <v>1199</v>
      </c>
      <c r="C595" s="174" t="s">
        <v>1193</v>
      </c>
      <c r="D595" s="170" t="s">
        <v>3</v>
      </c>
    </row>
    <row r="596" spans="1:4" ht="14.5">
      <c r="A596" s="174" t="s">
        <v>1200</v>
      </c>
      <c r="B596" s="174" t="s">
        <v>1201</v>
      </c>
      <c r="C596" s="174" t="s">
        <v>1193</v>
      </c>
      <c r="D596" s="170" t="s">
        <v>3</v>
      </c>
    </row>
    <row r="597" spans="1:4" ht="14.5">
      <c r="A597" s="174" t="s">
        <v>1202</v>
      </c>
      <c r="B597" s="174" t="s">
        <v>1203</v>
      </c>
      <c r="C597" s="174" t="s">
        <v>1193</v>
      </c>
      <c r="D597" s="170" t="s">
        <v>3</v>
      </c>
    </row>
    <row r="598" spans="1:4" ht="14.5">
      <c r="A598" s="174" t="s">
        <v>1204</v>
      </c>
      <c r="B598" s="174" t="s">
        <v>1205</v>
      </c>
      <c r="C598" s="174" t="s">
        <v>1193</v>
      </c>
      <c r="D598" s="170" t="s">
        <v>3</v>
      </c>
    </row>
    <row r="599" spans="1:4" ht="14.5">
      <c r="A599" s="174" t="s">
        <v>1206</v>
      </c>
      <c r="B599" s="174" t="s">
        <v>1207</v>
      </c>
      <c r="C599" s="174" t="s">
        <v>1208</v>
      </c>
      <c r="D599" s="170" t="s">
        <v>3</v>
      </c>
    </row>
    <row r="600" spans="1:4" ht="14.5">
      <c r="A600" s="174" t="s">
        <v>1209</v>
      </c>
      <c r="B600" s="174" t="s">
        <v>1210</v>
      </c>
      <c r="C600" s="174" t="s">
        <v>1208</v>
      </c>
      <c r="D600" s="170" t="s">
        <v>3</v>
      </c>
    </row>
    <row r="601" spans="1:4" ht="14.5">
      <c r="A601" s="174" t="s">
        <v>1211</v>
      </c>
      <c r="B601" s="174" t="s">
        <v>1212</v>
      </c>
      <c r="C601" s="174" t="s">
        <v>1208</v>
      </c>
      <c r="D601" s="170" t="s">
        <v>3</v>
      </c>
    </row>
    <row r="602" spans="1:4" ht="14.5">
      <c r="A602" s="174" t="s">
        <v>1213</v>
      </c>
      <c r="B602" s="174" t="s">
        <v>1214</v>
      </c>
      <c r="C602" s="174" t="s">
        <v>1208</v>
      </c>
      <c r="D602" s="170" t="s">
        <v>3</v>
      </c>
    </row>
    <row r="603" spans="1:4" ht="14.5">
      <c r="A603" s="174" t="s">
        <v>1215</v>
      </c>
      <c r="B603" s="174" t="s">
        <v>1216</v>
      </c>
      <c r="C603" s="174" t="s">
        <v>1208</v>
      </c>
      <c r="D603" s="170" t="s">
        <v>3</v>
      </c>
    </row>
    <row r="604" spans="1:4" ht="14.5">
      <c r="A604" s="174" t="s">
        <v>1217</v>
      </c>
      <c r="B604" s="174" t="s">
        <v>1218</v>
      </c>
      <c r="C604" s="174" t="s">
        <v>1208</v>
      </c>
      <c r="D604" s="170" t="s">
        <v>3</v>
      </c>
    </row>
    <row r="605" spans="1:4" ht="14.5">
      <c r="A605" s="174" t="s">
        <v>1252</v>
      </c>
      <c r="B605" s="174" t="s">
        <v>1252</v>
      </c>
      <c r="C605" s="174" t="s">
        <v>1253</v>
      </c>
      <c r="D605" s="170" t="s">
        <v>25</v>
      </c>
    </row>
    <row r="606" spans="1:4" ht="14.5">
      <c r="A606" s="174" t="s">
        <v>1254</v>
      </c>
      <c r="B606" s="174" t="s">
        <v>1254</v>
      </c>
      <c r="C606" s="174" t="s">
        <v>1253</v>
      </c>
      <c r="D606" s="170" t="s">
        <v>25</v>
      </c>
    </row>
    <row r="607" spans="1:4" ht="14.5">
      <c r="A607" s="174" t="s">
        <v>1255</v>
      </c>
      <c r="B607" s="174" t="s">
        <v>1255</v>
      </c>
      <c r="C607" s="174" t="s">
        <v>1253</v>
      </c>
      <c r="D607" s="170" t="s">
        <v>25</v>
      </c>
    </row>
    <row r="608" spans="1:4" ht="14.5">
      <c r="A608" s="174" t="s">
        <v>1256</v>
      </c>
      <c r="B608" s="174" t="s">
        <v>1256</v>
      </c>
      <c r="C608" s="174" t="s">
        <v>1253</v>
      </c>
      <c r="D608" s="170" t="s">
        <v>25</v>
      </c>
    </row>
    <row r="609" spans="1:4" ht="14.5">
      <c r="A609" s="174" t="s">
        <v>1257</v>
      </c>
      <c r="B609" s="174" t="s">
        <v>1257</v>
      </c>
      <c r="C609" s="174" t="s">
        <v>1253</v>
      </c>
      <c r="D609" s="170" t="s">
        <v>25</v>
      </c>
    </row>
    <row r="610" spans="1:4" ht="14.5">
      <c r="A610" s="174" t="s">
        <v>1258</v>
      </c>
      <c r="B610" s="174" t="s">
        <v>1258</v>
      </c>
      <c r="C610" s="174" t="s">
        <v>1253</v>
      </c>
      <c r="D610" s="170" t="s">
        <v>25</v>
      </c>
    </row>
    <row r="611" spans="1:4" ht="14.5">
      <c r="A611" s="174" t="s">
        <v>1259</v>
      </c>
      <c r="B611" s="174" t="s">
        <v>1259</v>
      </c>
      <c r="C611" s="174" t="s">
        <v>1253</v>
      </c>
      <c r="D611" s="170" t="s">
        <v>25</v>
      </c>
    </row>
    <row r="612" spans="1:4" ht="14.5">
      <c r="A612" s="174" t="s">
        <v>1260</v>
      </c>
      <c r="B612" s="174" t="s">
        <v>1260</v>
      </c>
      <c r="C612" s="174" t="s">
        <v>1253</v>
      </c>
      <c r="D612" s="170" t="s">
        <v>25</v>
      </c>
    </row>
    <row r="613" spans="1:4" ht="14.5">
      <c r="A613" s="174" t="s">
        <v>1261</v>
      </c>
      <c r="B613" s="174" t="s">
        <v>1261</v>
      </c>
      <c r="C613" s="174" t="s">
        <v>1253</v>
      </c>
      <c r="D613" s="170" t="s">
        <v>25</v>
      </c>
    </row>
    <row r="614" spans="1:4" ht="14.5">
      <c r="A614" s="174" t="s">
        <v>1262</v>
      </c>
      <c r="B614" s="174" t="s">
        <v>1262</v>
      </c>
      <c r="C614" s="174" t="s">
        <v>1253</v>
      </c>
      <c r="D614" s="170" t="s">
        <v>25</v>
      </c>
    </row>
    <row r="615" spans="1:4" ht="14.5">
      <c r="A615" s="174" t="s">
        <v>1263</v>
      </c>
      <c r="B615" s="174" t="s">
        <v>1263</v>
      </c>
      <c r="C615" s="174" t="s">
        <v>1253</v>
      </c>
      <c r="D615" s="170" t="s">
        <v>25</v>
      </c>
    </row>
    <row r="616" spans="1:4" ht="14.5">
      <c r="A616" s="174" t="s">
        <v>1264</v>
      </c>
      <c r="B616" s="174" t="s">
        <v>1264</v>
      </c>
      <c r="C616" s="174" t="s">
        <v>1253</v>
      </c>
      <c r="D616" s="170" t="s">
        <v>25</v>
      </c>
    </row>
    <row r="617" spans="1:4" ht="14.5">
      <c r="A617" s="174" t="s">
        <v>1265</v>
      </c>
      <c r="B617" s="174" t="s">
        <v>1265</v>
      </c>
      <c r="C617" s="174" t="s">
        <v>1253</v>
      </c>
      <c r="D617" s="170" t="s">
        <v>25</v>
      </c>
    </row>
    <row r="618" spans="1:4" ht="14.5">
      <c r="A618" s="174" t="s">
        <v>1266</v>
      </c>
      <c r="B618" s="174" t="s">
        <v>1266</v>
      </c>
      <c r="C618" s="174" t="s">
        <v>1253</v>
      </c>
      <c r="D618" s="170" t="s">
        <v>25</v>
      </c>
    </row>
    <row r="619" spans="1:4" ht="14.5">
      <c r="A619" s="174" t="s">
        <v>1267</v>
      </c>
      <c r="B619" s="174" t="s">
        <v>1267</v>
      </c>
      <c r="C619" s="174" t="s">
        <v>1253</v>
      </c>
      <c r="D619" s="170" t="s">
        <v>25</v>
      </c>
    </row>
    <row r="620" spans="1:4" ht="14.5">
      <c r="A620" s="174" t="s">
        <v>1268</v>
      </c>
      <c r="B620" s="174" t="s">
        <v>1268</v>
      </c>
      <c r="C620" s="174" t="s">
        <v>1253</v>
      </c>
      <c r="D620" s="170" t="s">
        <v>25</v>
      </c>
    </row>
    <row r="621" spans="1:4" ht="14.5">
      <c r="A621" s="174" t="s">
        <v>1269</v>
      </c>
      <c r="B621" s="174" t="s">
        <v>1269</v>
      </c>
      <c r="C621" s="174" t="s">
        <v>1253</v>
      </c>
      <c r="D621" s="170" t="s">
        <v>25</v>
      </c>
    </row>
    <row r="622" spans="1:4" ht="14.5">
      <c r="A622" s="174" t="s">
        <v>1270</v>
      </c>
      <c r="B622" s="174" t="s">
        <v>1270</v>
      </c>
      <c r="C622" s="174" t="s">
        <v>1253</v>
      </c>
      <c r="D622" s="170" t="s">
        <v>25</v>
      </c>
    </row>
    <row r="623" spans="1:4" ht="14.5">
      <c r="A623" s="174" t="s">
        <v>1271</v>
      </c>
      <c r="B623" s="174" t="s">
        <v>1271</v>
      </c>
      <c r="C623" s="174" t="s">
        <v>1253</v>
      </c>
      <c r="D623" s="170" t="s">
        <v>25</v>
      </c>
    </row>
    <row r="624" spans="1:4" ht="14.5">
      <c r="A624" s="174" t="s">
        <v>1272</v>
      </c>
      <c r="B624" s="174" t="s">
        <v>1272</v>
      </c>
      <c r="C624" s="174" t="s">
        <v>1253</v>
      </c>
      <c r="D624" s="170" t="s">
        <v>25</v>
      </c>
    </row>
    <row r="625" spans="1:4" ht="14.5">
      <c r="A625" s="174" t="s">
        <v>1273</v>
      </c>
      <c r="B625" s="174" t="s">
        <v>1273</v>
      </c>
      <c r="C625" s="174" t="s">
        <v>1253</v>
      </c>
      <c r="D625" s="170" t="s">
        <v>25</v>
      </c>
    </row>
    <row r="626" spans="1:4" ht="14.5">
      <c r="A626" s="174" t="s">
        <v>1274</v>
      </c>
      <c r="B626" s="174" t="s">
        <v>1274</v>
      </c>
      <c r="C626" s="174" t="s">
        <v>1253</v>
      </c>
      <c r="D626" s="170" t="s">
        <v>25</v>
      </c>
    </row>
    <row r="627" spans="1:4" ht="14.5">
      <c r="A627" s="174" t="s">
        <v>1275</v>
      </c>
      <c r="B627" s="174" t="s">
        <v>1275</v>
      </c>
      <c r="C627" s="174" t="s">
        <v>1253</v>
      </c>
      <c r="D627" s="170" t="s">
        <v>25</v>
      </c>
    </row>
    <row r="628" spans="1:4" ht="14.5">
      <c r="A628" s="174" t="s">
        <v>1276</v>
      </c>
      <c r="B628" s="174" t="s">
        <v>1276</v>
      </c>
      <c r="C628" s="174" t="s">
        <v>1253</v>
      </c>
      <c r="D628" s="170" t="s">
        <v>25</v>
      </c>
    </row>
    <row r="629" spans="1:4" ht="14.5">
      <c r="A629" s="174" t="s">
        <v>1277</v>
      </c>
      <c r="B629" s="174" t="s">
        <v>1277</v>
      </c>
      <c r="C629" s="174" t="s">
        <v>1253</v>
      </c>
      <c r="D629" s="170" t="s">
        <v>25</v>
      </c>
    </row>
    <row r="630" spans="1:4" ht="14.5">
      <c r="A630" s="174" t="s">
        <v>1278</v>
      </c>
      <c r="B630" s="174" t="s">
        <v>1278</v>
      </c>
      <c r="C630" s="174" t="s">
        <v>1253</v>
      </c>
      <c r="D630" s="170" t="s">
        <v>25</v>
      </c>
    </row>
    <row r="631" spans="1:4" ht="14.5">
      <c r="A631" s="174" t="s">
        <v>1279</v>
      </c>
      <c r="B631" s="174" t="s">
        <v>1279</v>
      </c>
      <c r="C631" s="174" t="s">
        <v>1280</v>
      </c>
      <c r="D631" s="170" t="s">
        <v>25</v>
      </c>
    </row>
    <row r="632" spans="1:4" ht="14.5">
      <c r="A632" s="174" t="s">
        <v>1281</v>
      </c>
      <c r="B632" s="174" t="s">
        <v>1281</v>
      </c>
      <c r="C632" s="174" t="s">
        <v>1282</v>
      </c>
      <c r="D632" s="170" t="s">
        <v>25</v>
      </c>
    </row>
    <row r="633" spans="1:4" ht="14.5">
      <c r="A633" s="174" t="s">
        <v>1283</v>
      </c>
      <c r="B633" s="174" t="s">
        <v>1283</v>
      </c>
      <c r="C633" s="174" t="s">
        <v>1282</v>
      </c>
      <c r="D633" s="170" t="s">
        <v>25</v>
      </c>
    </row>
    <row r="634" spans="1:4" ht="14.5">
      <c r="A634" s="174" t="s">
        <v>1284</v>
      </c>
      <c r="B634" s="174" t="s">
        <v>1284</v>
      </c>
      <c r="C634" s="174" t="s">
        <v>1282</v>
      </c>
      <c r="D634" s="170" t="s">
        <v>25</v>
      </c>
    </row>
    <row r="635" spans="1:4" ht="14.5">
      <c r="A635" s="174" t="s">
        <v>1285</v>
      </c>
      <c r="B635" s="174" t="s">
        <v>1285</v>
      </c>
      <c r="C635" s="174" t="s">
        <v>1282</v>
      </c>
      <c r="D635" s="170" t="s">
        <v>25</v>
      </c>
    </row>
    <row r="636" spans="1:4" ht="14.5">
      <c r="A636" s="174" t="s">
        <v>1286</v>
      </c>
      <c r="B636" s="174" t="s">
        <v>1286</v>
      </c>
      <c r="C636" s="174" t="s">
        <v>1282</v>
      </c>
      <c r="D636" s="170" t="s">
        <v>25</v>
      </c>
    </row>
    <row r="637" spans="1:4" ht="14.5">
      <c r="A637" s="174" t="s">
        <v>1287</v>
      </c>
      <c r="B637" s="174" t="s">
        <v>1287</v>
      </c>
      <c r="C637" s="174" t="s">
        <v>1282</v>
      </c>
      <c r="D637" s="170" t="s">
        <v>25</v>
      </c>
    </row>
    <row r="638" spans="1:4" ht="14.5">
      <c r="A638" s="174" t="s">
        <v>1288</v>
      </c>
      <c r="B638" s="174" t="s">
        <v>1288</v>
      </c>
      <c r="C638" s="174" t="s">
        <v>1289</v>
      </c>
      <c r="D638" s="170" t="s">
        <v>25</v>
      </c>
    </row>
    <row r="639" spans="1:4" ht="14.5">
      <c r="A639" s="174" t="s">
        <v>1290</v>
      </c>
      <c r="B639" s="174" t="s">
        <v>1290</v>
      </c>
      <c r="C639" s="174" t="s">
        <v>1289</v>
      </c>
      <c r="D639" s="170" t="s">
        <v>25</v>
      </c>
    </row>
    <row r="640" spans="1:4" ht="14.5">
      <c r="A640" s="174" t="s">
        <v>1291</v>
      </c>
      <c r="B640" s="174" t="s">
        <v>1291</v>
      </c>
      <c r="C640" s="174" t="s">
        <v>1289</v>
      </c>
      <c r="D640" s="170" t="s">
        <v>25</v>
      </c>
    </row>
    <row r="641" spans="1:4" ht="14.5">
      <c r="A641" s="174" t="s">
        <v>1292</v>
      </c>
      <c r="B641" s="174" t="s">
        <v>1292</v>
      </c>
      <c r="C641" s="174" t="s">
        <v>1289</v>
      </c>
      <c r="D641" s="170" t="s">
        <v>25</v>
      </c>
    </row>
    <row r="642" spans="1:4" ht="14.5">
      <c r="A642" s="174" t="s">
        <v>1293</v>
      </c>
      <c r="B642" s="174" t="s">
        <v>1293</v>
      </c>
      <c r="C642" s="174" t="s">
        <v>1289</v>
      </c>
      <c r="D642" s="170" t="s">
        <v>25</v>
      </c>
    </row>
    <row r="643" spans="1:4" ht="14.5">
      <c r="A643" s="174" t="s">
        <v>1294</v>
      </c>
      <c r="B643" s="174" t="s">
        <v>1294</v>
      </c>
      <c r="C643" s="174" t="s">
        <v>1289</v>
      </c>
      <c r="D643" s="170" t="s">
        <v>25</v>
      </c>
    </row>
    <row r="644" spans="1:4" ht="14.5">
      <c r="A644" s="174" t="s">
        <v>1295</v>
      </c>
      <c r="B644" s="174" t="s">
        <v>1295</v>
      </c>
      <c r="C644" s="174" t="s">
        <v>1289</v>
      </c>
      <c r="D644" s="170" t="s">
        <v>25</v>
      </c>
    </row>
    <row r="645" spans="1:4" ht="14.5">
      <c r="A645" s="174" t="s">
        <v>1296</v>
      </c>
      <c r="B645" s="174" t="s">
        <v>1296</v>
      </c>
      <c r="C645" s="174" t="s">
        <v>1297</v>
      </c>
      <c r="D645" s="170" t="s">
        <v>25</v>
      </c>
    </row>
    <row r="646" spans="1:4" ht="14.5">
      <c r="A646" s="174" t="s">
        <v>1298</v>
      </c>
      <c r="B646" s="174" t="s">
        <v>1298</v>
      </c>
      <c r="C646" s="174" t="s">
        <v>1297</v>
      </c>
      <c r="D646" s="170" t="s">
        <v>25</v>
      </c>
    </row>
    <row r="647" spans="1:4" ht="14.5">
      <c r="A647" s="174" t="s">
        <v>1299</v>
      </c>
      <c r="B647" s="174" t="s">
        <v>1299</v>
      </c>
      <c r="C647" s="174" t="s">
        <v>1300</v>
      </c>
      <c r="D647" s="170" t="s">
        <v>25</v>
      </c>
    </row>
    <row r="648" spans="1:4" ht="14.5">
      <c r="A648" s="174" t="s">
        <v>1301</v>
      </c>
      <c r="B648" s="174" t="s">
        <v>1301</v>
      </c>
      <c r="C648" s="174" t="s">
        <v>1300</v>
      </c>
      <c r="D648" s="170" t="s">
        <v>25</v>
      </c>
    </row>
    <row r="649" spans="1:4" ht="14.5">
      <c r="A649" s="174" t="s">
        <v>1302</v>
      </c>
      <c r="B649" s="174" t="s">
        <v>1302</v>
      </c>
      <c r="C649" s="174" t="s">
        <v>1300</v>
      </c>
      <c r="D649" s="170" t="s">
        <v>25</v>
      </c>
    </row>
    <row r="650" spans="1:4" ht="14.5">
      <c r="A650" s="174" t="s">
        <v>1303</v>
      </c>
      <c r="B650" s="174" t="s">
        <v>1303</v>
      </c>
      <c r="C650" s="174" t="s">
        <v>1300</v>
      </c>
      <c r="D650" s="170" t="s">
        <v>25</v>
      </c>
    </row>
    <row r="651" spans="1:4" ht="14.5">
      <c r="A651" s="174" t="s">
        <v>1304</v>
      </c>
      <c r="B651" s="174" t="s">
        <v>1304</v>
      </c>
      <c r="C651" s="174" t="s">
        <v>1300</v>
      </c>
      <c r="D651" s="170" t="s">
        <v>25</v>
      </c>
    </row>
    <row r="652" spans="1:4" ht="14.5">
      <c r="A652" s="174" t="s">
        <v>1305</v>
      </c>
      <c r="B652" s="174" t="s">
        <v>1305</v>
      </c>
      <c r="C652" s="174" t="s">
        <v>1300</v>
      </c>
      <c r="D652" s="170" t="s">
        <v>25</v>
      </c>
    </row>
    <row r="653" spans="1:4" ht="14.5">
      <c r="A653" s="174" t="s">
        <v>1306</v>
      </c>
      <c r="B653" s="174" t="s">
        <v>1306</v>
      </c>
      <c r="C653" s="174" t="s">
        <v>1300</v>
      </c>
      <c r="D653" s="170" t="s">
        <v>25</v>
      </c>
    </row>
    <row r="654" spans="1:4" ht="14.5">
      <c r="A654" s="174" t="s">
        <v>1307</v>
      </c>
      <c r="B654" s="174" t="s">
        <v>1307</v>
      </c>
      <c r="C654" s="174" t="s">
        <v>1300</v>
      </c>
      <c r="D654" s="170" t="s">
        <v>25</v>
      </c>
    </row>
    <row r="655" spans="1:4" ht="14.5">
      <c r="A655" s="174" t="s">
        <v>1308</v>
      </c>
      <c r="B655" s="174" t="s">
        <v>1308</v>
      </c>
      <c r="C655" s="174" t="s">
        <v>1300</v>
      </c>
      <c r="D655" s="170" t="s">
        <v>25</v>
      </c>
    </row>
    <row r="656" spans="1:4" ht="14.5">
      <c r="A656" s="174" t="s">
        <v>1309</v>
      </c>
      <c r="B656" s="174" t="s">
        <v>1309</v>
      </c>
      <c r="C656" s="174" t="s">
        <v>1300</v>
      </c>
      <c r="D656" s="170" t="s">
        <v>25</v>
      </c>
    </row>
    <row r="657" spans="1:4" ht="14.5">
      <c r="A657" s="174" t="s">
        <v>1310</v>
      </c>
      <c r="B657" s="174" t="s">
        <v>1310</v>
      </c>
      <c r="C657" s="174" t="s">
        <v>1300</v>
      </c>
      <c r="D657" s="170" t="s">
        <v>25</v>
      </c>
    </row>
    <row r="658" spans="1:4" ht="14.5">
      <c r="A658" s="174" t="s">
        <v>1311</v>
      </c>
      <c r="B658" s="174" t="s">
        <v>1311</v>
      </c>
      <c r="C658" s="174" t="s">
        <v>1300</v>
      </c>
      <c r="D658" s="170" t="s">
        <v>25</v>
      </c>
    </row>
    <row r="659" spans="1:4" ht="14.5">
      <c r="A659" s="174" t="s">
        <v>1312</v>
      </c>
      <c r="B659" s="174" t="s">
        <v>1312</v>
      </c>
      <c r="C659" s="174" t="s">
        <v>1300</v>
      </c>
      <c r="D659" s="170" t="s">
        <v>25</v>
      </c>
    </row>
    <row r="660" spans="1:4" ht="14.5">
      <c r="A660" s="174" t="s">
        <v>1313</v>
      </c>
      <c r="B660" s="174" t="s">
        <v>1313</v>
      </c>
      <c r="C660" s="174" t="s">
        <v>1300</v>
      </c>
      <c r="D660" s="170" t="s">
        <v>25</v>
      </c>
    </row>
    <row r="661" spans="1:4" ht="14.5">
      <c r="A661" s="174" t="s">
        <v>1314</v>
      </c>
      <c r="B661" s="174" t="s">
        <v>1314</v>
      </c>
      <c r="C661" s="174" t="s">
        <v>1300</v>
      </c>
      <c r="D661" s="170" t="s">
        <v>25</v>
      </c>
    </row>
    <row r="662" spans="1:4" ht="14.5">
      <c r="A662" s="174" t="s">
        <v>1315</v>
      </c>
      <c r="B662" s="174" t="s">
        <v>1315</v>
      </c>
      <c r="C662" s="174" t="s">
        <v>1300</v>
      </c>
      <c r="D662" s="170" t="s">
        <v>25</v>
      </c>
    </row>
    <row r="663" spans="1:4" ht="14.5">
      <c r="A663" s="174" t="s">
        <v>1316</v>
      </c>
      <c r="B663" s="174" t="s">
        <v>1316</v>
      </c>
      <c r="C663" s="174" t="s">
        <v>1300</v>
      </c>
      <c r="D663" s="170" t="s">
        <v>25</v>
      </c>
    </row>
    <row r="664" spans="1:4" ht="14.5">
      <c r="A664" s="174" t="s">
        <v>1317</v>
      </c>
      <c r="B664" s="174" t="s">
        <v>1317</v>
      </c>
      <c r="C664" s="174" t="s">
        <v>1300</v>
      </c>
      <c r="D664" s="170" t="s">
        <v>25</v>
      </c>
    </row>
    <row r="665" spans="1:4" ht="14.5">
      <c r="A665" s="174" t="s">
        <v>1318</v>
      </c>
      <c r="B665" s="174" t="s">
        <v>1318</v>
      </c>
      <c r="C665" s="174" t="s">
        <v>1300</v>
      </c>
      <c r="D665" s="170" t="s">
        <v>25</v>
      </c>
    </row>
    <row r="666" spans="1:4" ht="14.5">
      <c r="A666" s="174" t="s">
        <v>1319</v>
      </c>
      <c r="B666" s="174" t="s">
        <v>1319</v>
      </c>
      <c r="C666" s="174" t="s">
        <v>1300</v>
      </c>
      <c r="D666" s="170" t="s">
        <v>25</v>
      </c>
    </row>
    <row r="667" spans="1:4" ht="14.5">
      <c r="A667" s="174" t="s">
        <v>1320</v>
      </c>
      <c r="B667" s="174" t="s">
        <v>1320</v>
      </c>
      <c r="C667" s="174" t="s">
        <v>1300</v>
      </c>
      <c r="D667" s="170" t="s">
        <v>25</v>
      </c>
    </row>
    <row r="668" spans="1:4" ht="14.5">
      <c r="A668" s="174" t="s">
        <v>1321</v>
      </c>
      <c r="B668" s="174" t="s">
        <v>1321</v>
      </c>
      <c r="C668" s="174" t="s">
        <v>1300</v>
      </c>
      <c r="D668" s="170" t="s">
        <v>25</v>
      </c>
    </row>
    <row r="669" spans="1:4" ht="14.5">
      <c r="A669" s="174" t="s">
        <v>1322</v>
      </c>
      <c r="B669" s="174" t="s">
        <v>1322</v>
      </c>
      <c r="C669" s="174" t="s">
        <v>1300</v>
      </c>
      <c r="D669" s="170" t="s">
        <v>25</v>
      </c>
    </row>
    <row r="670" spans="1:4" ht="14.5">
      <c r="A670" s="174" t="s">
        <v>1323</v>
      </c>
      <c r="B670" s="174" t="s">
        <v>1323</v>
      </c>
      <c r="C670" s="174" t="s">
        <v>1253</v>
      </c>
      <c r="D670" s="170" t="s">
        <v>25</v>
      </c>
    </row>
    <row r="671" spans="1:4" ht="14.5">
      <c r="A671" s="174" t="s">
        <v>1324</v>
      </c>
      <c r="B671" s="174" t="s">
        <v>1324</v>
      </c>
      <c r="C671" s="174" t="s">
        <v>1325</v>
      </c>
      <c r="D671" s="170" t="s">
        <v>25</v>
      </c>
    </row>
    <row r="672" spans="1:4" ht="14.5">
      <c r="A672" s="174" t="s">
        <v>1326</v>
      </c>
      <c r="B672" s="174" t="s">
        <v>1326</v>
      </c>
      <c r="C672" s="174" t="s">
        <v>1325</v>
      </c>
      <c r="D672" s="170" t="s">
        <v>25</v>
      </c>
    </row>
    <row r="673" spans="1:4" ht="14.5">
      <c r="A673" s="174" t="s">
        <v>1327</v>
      </c>
      <c r="B673" s="174" t="s">
        <v>1327</v>
      </c>
      <c r="C673" s="174" t="s">
        <v>1328</v>
      </c>
      <c r="D673" s="170" t="s">
        <v>25</v>
      </c>
    </row>
    <row r="674" spans="1:4" ht="14.5">
      <c r="A674" s="174" t="s">
        <v>1329</v>
      </c>
      <c r="B674" s="174" t="s">
        <v>1329</v>
      </c>
      <c r="C674" s="174" t="s">
        <v>1328</v>
      </c>
      <c r="D674" s="170" t="s">
        <v>25</v>
      </c>
    </row>
    <row r="675" spans="1:4" ht="14.5">
      <c r="A675" s="174" t="s">
        <v>1330</v>
      </c>
      <c r="B675" s="174" t="s">
        <v>1330</v>
      </c>
      <c r="C675" s="174" t="s">
        <v>1328</v>
      </c>
      <c r="D675" s="170" t="s">
        <v>25</v>
      </c>
    </row>
    <row r="676" spans="1:4" ht="14.5">
      <c r="A676" s="174" t="s">
        <v>1331</v>
      </c>
      <c r="B676" s="174" t="s">
        <v>1331</v>
      </c>
      <c r="C676" s="174" t="s">
        <v>1328</v>
      </c>
      <c r="D676" s="170" t="s">
        <v>25</v>
      </c>
    </row>
    <row r="677" spans="1:4" ht="14.5">
      <c r="A677" s="174" t="s">
        <v>1332</v>
      </c>
      <c r="B677" s="174" t="s">
        <v>1332</v>
      </c>
      <c r="C677" s="174" t="s">
        <v>1328</v>
      </c>
      <c r="D677" s="170" t="s">
        <v>25</v>
      </c>
    </row>
    <row r="678" spans="1:4" ht="14.5">
      <c r="A678" s="174" t="s">
        <v>1333</v>
      </c>
      <c r="B678" s="174" t="s">
        <v>1333</v>
      </c>
      <c r="C678" s="174" t="s">
        <v>1328</v>
      </c>
      <c r="D678" s="170" t="s">
        <v>25</v>
      </c>
    </row>
    <row r="679" spans="1:4" ht="14.5">
      <c r="A679" s="174" t="s">
        <v>1334</v>
      </c>
      <c r="B679" s="174" t="s">
        <v>1334</v>
      </c>
      <c r="C679" s="174" t="s">
        <v>1328</v>
      </c>
      <c r="D679" s="170" t="s">
        <v>25</v>
      </c>
    </row>
    <row r="680" spans="1:4" ht="14.5">
      <c r="A680" s="174" t="s">
        <v>1335</v>
      </c>
      <c r="B680" s="174" t="s">
        <v>1335</v>
      </c>
      <c r="C680" s="174" t="s">
        <v>1328</v>
      </c>
      <c r="D680" s="170" t="s">
        <v>25</v>
      </c>
    </row>
    <row r="681" spans="1:4" ht="14.5">
      <c r="A681" s="174" t="s">
        <v>1336</v>
      </c>
      <c r="B681" s="174" t="s">
        <v>1336</v>
      </c>
      <c r="C681" s="174" t="s">
        <v>1328</v>
      </c>
      <c r="D681" s="170" t="s">
        <v>25</v>
      </c>
    </row>
    <row r="682" spans="1:4" ht="14.5">
      <c r="A682" s="174" t="s">
        <v>1337</v>
      </c>
      <c r="B682" s="174" t="s">
        <v>1337</v>
      </c>
      <c r="C682" s="174" t="s">
        <v>1328</v>
      </c>
      <c r="D682" s="170" t="s">
        <v>25</v>
      </c>
    </row>
    <row r="683" spans="1:4" ht="14.5">
      <c r="A683" s="174" t="s">
        <v>1338</v>
      </c>
      <c r="B683" s="174" t="s">
        <v>1338</v>
      </c>
      <c r="C683" s="174" t="s">
        <v>1328</v>
      </c>
      <c r="D683" s="170" t="s">
        <v>25</v>
      </c>
    </row>
    <row r="684" spans="1:4" ht="14.5">
      <c r="A684" s="174" t="s">
        <v>1339</v>
      </c>
      <c r="B684" s="174" t="s">
        <v>1339</v>
      </c>
      <c r="C684" s="174" t="s">
        <v>1328</v>
      </c>
      <c r="D684" s="170" t="s">
        <v>25</v>
      </c>
    </row>
    <row r="685" spans="1:4" ht="14.5">
      <c r="A685" s="174" t="s">
        <v>1340</v>
      </c>
      <c r="B685" s="174" t="s">
        <v>1340</v>
      </c>
      <c r="C685" s="174" t="s">
        <v>1328</v>
      </c>
      <c r="D685" s="170" t="s">
        <v>25</v>
      </c>
    </row>
    <row r="686" spans="1:4" ht="14.5">
      <c r="A686" s="174" t="s">
        <v>1341</v>
      </c>
      <c r="B686" s="174" t="s">
        <v>1341</v>
      </c>
      <c r="C686" s="174" t="s">
        <v>1328</v>
      </c>
      <c r="D686" s="170" t="s">
        <v>25</v>
      </c>
    </row>
    <row r="687" spans="1:4" ht="14.5">
      <c r="A687" s="174" t="s">
        <v>1342</v>
      </c>
      <c r="B687" s="174" t="s">
        <v>1342</v>
      </c>
      <c r="C687" s="174" t="s">
        <v>1328</v>
      </c>
      <c r="D687" s="170" t="s">
        <v>25</v>
      </c>
    </row>
    <row r="688" spans="1:4" ht="14.5">
      <c r="A688" s="174" t="s">
        <v>1343</v>
      </c>
      <c r="B688" s="174" t="s">
        <v>1343</v>
      </c>
      <c r="C688" s="174" t="s">
        <v>1328</v>
      </c>
      <c r="D688" s="170" t="s">
        <v>25</v>
      </c>
    </row>
    <row r="689" spans="1:4" ht="14.5">
      <c r="A689" s="174" t="s">
        <v>1344</v>
      </c>
      <c r="B689" s="174" t="s">
        <v>1344</v>
      </c>
      <c r="C689" s="174" t="s">
        <v>1328</v>
      </c>
      <c r="D689" s="170" t="s">
        <v>25</v>
      </c>
    </row>
    <row r="690" spans="1:4" ht="14.5">
      <c r="A690" s="174" t="s">
        <v>1345</v>
      </c>
      <c r="B690" s="174" t="s">
        <v>1345</v>
      </c>
      <c r="C690" s="174" t="s">
        <v>1328</v>
      </c>
      <c r="D690" s="170" t="s">
        <v>25</v>
      </c>
    </row>
    <row r="691" spans="1:4" ht="14.5">
      <c r="A691" s="174" t="s">
        <v>1346</v>
      </c>
      <c r="B691" s="174" t="s">
        <v>1346</v>
      </c>
      <c r="C691" s="174" t="s">
        <v>1328</v>
      </c>
      <c r="D691" s="170" t="s">
        <v>25</v>
      </c>
    </row>
    <row r="692" spans="1:4" ht="14.5">
      <c r="A692" s="174" t="s">
        <v>1347</v>
      </c>
      <c r="B692" s="174" t="s">
        <v>1347</v>
      </c>
      <c r="C692" s="174" t="s">
        <v>1328</v>
      </c>
      <c r="D692" s="170" t="s">
        <v>25</v>
      </c>
    </row>
    <row r="693" spans="1:4" ht="14.5">
      <c r="A693" s="174" t="s">
        <v>1348</v>
      </c>
      <c r="B693" s="174" t="s">
        <v>1348</v>
      </c>
      <c r="C693" s="174" t="s">
        <v>1328</v>
      </c>
      <c r="D693" s="170" t="s">
        <v>25</v>
      </c>
    </row>
    <row r="694" spans="1:4" ht="14.5">
      <c r="A694" s="174" t="s">
        <v>1349</v>
      </c>
      <c r="B694" s="174" t="s">
        <v>1349</v>
      </c>
      <c r="C694" s="174" t="s">
        <v>1328</v>
      </c>
      <c r="D694" s="170" t="s">
        <v>25</v>
      </c>
    </row>
    <row r="695" spans="1:4" ht="14.5">
      <c r="A695" s="174" t="s">
        <v>1350</v>
      </c>
      <c r="B695" s="174" t="s">
        <v>1350</v>
      </c>
      <c r="C695" s="174" t="s">
        <v>1328</v>
      </c>
      <c r="D695" s="170" t="s">
        <v>25</v>
      </c>
    </row>
    <row r="696" spans="1:4" ht="14.5">
      <c r="A696" s="174" t="s">
        <v>1351</v>
      </c>
      <c r="B696" s="174" t="s">
        <v>1351</v>
      </c>
      <c r="C696" s="174" t="s">
        <v>1328</v>
      </c>
      <c r="D696" s="170" t="s">
        <v>25</v>
      </c>
    </row>
    <row r="697" spans="1:4" ht="14.5">
      <c r="A697" s="174" t="s">
        <v>1352</v>
      </c>
      <c r="B697" s="174" t="s">
        <v>1352</v>
      </c>
      <c r="C697" s="174" t="s">
        <v>1328</v>
      </c>
      <c r="D697" s="170" t="s">
        <v>25</v>
      </c>
    </row>
    <row r="698" spans="1:4" ht="14.5">
      <c r="A698" s="174" t="s">
        <v>1353</v>
      </c>
      <c r="B698" s="174" t="s">
        <v>1353</v>
      </c>
      <c r="C698" s="174" t="s">
        <v>1328</v>
      </c>
      <c r="D698" s="170" t="s">
        <v>25</v>
      </c>
    </row>
    <row r="699" spans="1:4" ht="14.5">
      <c r="A699" s="174" t="s">
        <v>1354</v>
      </c>
      <c r="B699" s="174" t="s">
        <v>1354</v>
      </c>
      <c r="C699" s="174" t="s">
        <v>1328</v>
      </c>
      <c r="D699" s="170" t="s">
        <v>25</v>
      </c>
    </row>
    <row r="700" spans="1:4" ht="14.5">
      <c r="A700" s="174" t="s">
        <v>1355</v>
      </c>
      <c r="B700" s="174" t="s">
        <v>1355</v>
      </c>
      <c r="C700" s="174" t="s">
        <v>1328</v>
      </c>
      <c r="D700" s="170" t="s">
        <v>25</v>
      </c>
    </row>
    <row r="701" spans="1:4" ht="14.5">
      <c r="A701" s="174" t="s">
        <v>1356</v>
      </c>
      <c r="B701" s="174" t="s">
        <v>1356</v>
      </c>
      <c r="C701" s="174" t="s">
        <v>1328</v>
      </c>
      <c r="D701" s="170" t="s">
        <v>25</v>
      </c>
    </row>
    <row r="702" spans="1:4" ht="14.5">
      <c r="A702" s="174" t="s">
        <v>1436</v>
      </c>
      <c r="B702" s="174" t="s">
        <v>1430</v>
      </c>
      <c r="C702" s="174" t="s">
        <v>1431</v>
      </c>
      <c r="D702" s="175" t="s">
        <v>3</v>
      </c>
    </row>
    <row r="703" spans="1:4" ht="14.5">
      <c r="A703" s="174" t="s">
        <v>1435</v>
      </c>
      <c r="B703" s="174" t="s">
        <v>1432</v>
      </c>
      <c r="C703" s="174" t="s">
        <v>1431</v>
      </c>
      <c r="D703" s="170" t="s">
        <v>3</v>
      </c>
    </row>
    <row r="704" spans="1:4" ht="14.5">
      <c r="A704" s="174" t="s">
        <v>1437</v>
      </c>
      <c r="B704" s="174" t="s">
        <v>1433</v>
      </c>
      <c r="C704" s="174" t="s">
        <v>1431</v>
      </c>
      <c r="D704" s="170" t="s">
        <v>3</v>
      </c>
    </row>
    <row r="705" spans="1:4" ht="14.5">
      <c r="A705" s="174" t="s">
        <v>1438</v>
      </c>
      <c r="B705" s="174" t="s">
        <v>1434</v>
      </c>
      <c r="C705" s="174" t="s">
        <v>1431</v>
      </c>
      <c r="D705" s="170" t="s">
        <v>3</v>
      </c>
    </row>
    <row r="706" spans="1:4" ht="14.5">
      <c r="A706" s="174" t="s">
        <v>1439</v>
      </c>
      <c r="B706" s="174" t="s">
        <v>1440</v>
      </c>
      <c r="C706" s="174" t="s">
        <v>1550</v>
      </c>
      <c r="D706" s="170" t="s">
        <v>3</v>
      </c>
    </row>
    <row r="707" spans="1:4" ht="14.5">
      <c r="A707" s="174" t="s">
        <v>1441</v>
      </c>
      <c r="B707" s="174" t="s">
        <v>1442</v>
      </c>
      <c r="C707" s="174" t="s">
        <v>1443</v>
      </c>
      <c r="D707" s="170" t="s">
        <v>3</v>
      </c>
    </row>
    <row r="708" spans="1:4" ht="14.5">
      <c r="A708" s="174" t="s">
        <v>1444</v>
      </c>
      <c r="B708" s="174" t="s">
        <v>1445</v>
      </c>
      <c r="C708" s="174" t="s">
        <v>85</v>
      </c>
      <c r="D708" s="170" t="s">
        <v>3</v>
      </c>
    </row>
    <row r="709" spans="1:4" ht="14.5">
      <c r="A709" s="175" t="s">
        <v>1459</v>
      </c>
      <c r="B709" s="175" t="s">
        <v>1460</v>
      </c>
      <c r="C709" s="175" t="s">
        <v>378</v>
      </c>
      <c r="D709" s="170" t="s">
        <v>3</v>
      </c>
    </row>
    <row r="710" spans="1:4" ht="14.5">
      <c r="A710" s="175" t="s">
        <v>1463</v>
      </c>
      <c r="B710" s="170" t="s">
        <v>1462</v>
      </c>
      <c r="C710" s="170" t="s">
        <v>85</v>
      </c>
      <c r="D710" s="170" t="s">
        <v>3</v>
      </c>
    </row>
    <row r="711" spans="1:4" ht="14.5">
      <c r="A711" s="170" t="s">
        <v>1464</v>
      </c>
      <c r="B711" s="170" t="s">
        <v>1465</v>
      </c>
      <c r="C711" s="170" t="s">
        <v>85</v>
      </c>
      <c r="D711" s="170" t="s">
        <v>3</v>
      </c>
    </row>
    <row r="712" spans="1:4" ht="14.5">
      <c r="A712" s="170" t="s">
        <v>1466</v>
      </c>
      <c r="B712" s="170" t="s">
        <v>1467</v>
      </c>
      <c r="C712" s="170" t="s">
        <v>378</v>
      </c>
      <c r="D712" s="170" t="s">
        <v>3</v>
      </c>
    </row>
    <row r="713" spans="1:4" ht="14.5">
      <c r="A713" s="170" t="s">
        <v>1471</v>
      </c>
      <c r="B713" s="170" t="s">
        <v>1472</v>
      </c>
      <c r="C713" s="170" t="s">
        <v>85</v>
      </c>
      <c r="D713" s="170" t="s">
        <v>3</v>
      </c>
    </row>
    <row r="714" spans="1:4" ht="14.5">
      <c r="A714" s="170" t="s">
        <v>1473</v>
      </c>
      <c r="B714" s="170" t="s">
        <v>1474</v>
      </c>
      <c r="C714" s="170" t="s">
        <v>85</v>
      </c>
      <c r="D714" s="170" t="s">
        <v>3</v>
      </c>
    </row>
    <row r="715" spans="1:4" ht="14.5">
      <c r="A715" s="170" t="s">
        <v>1475</v>
      </c>
      <c r="B715" s="170" t="s">
        <v>1476</v>
      </c>
      <c r="C715" s="170" t="s">
        <v>85</v>
      </c>
      <c r="D715" s="170" t="s">
        <v>3</v>
      </c>
    </row>
    <row r="716" spans="1:4" ht="14.5">
      <c r="A716" s="170" t="s">
        <v>1477</v>
      </c>
      <c r="B716" s="170" t="s">
        <v>1478</v>
      </c>
      <c r="C716" s="170" t="s">
        <v>85</v>
      </c>
      <c r="D716" s="170" t="s">
        <v>3</v>
      </c>
    </row>
    <row r="717" spans="1:4" ht="14.5">
      <c r="A717" s="170" t="s">
        <v>1479</v>
      </c>
      <c r="B717" s="170" t="s">
        <v>1480</v>
      </c>
      <c r="C717" s="170" t="s">
        <v>85</v>
      </c>
      <c r="D717" s="170" t="s">
        <v>3</v>
      </c>
    </row>
    <row r="718" spans="1:4" ht="14.5">
      <c r="A718" s="170" t="s">
        <v>1481</v>
      </c>
      <c r="B718" s="170" t="s">
        <v>1482</v>
      </c>
      <c r="C718" s="170" t="s">
        <v>85</v>
      </c>
      <c r="D718" s="170" t="s">
        <v>3</v>
      </c>
    </row>
    <row r="719" spans="1:4" ht="14.5">
      <c r="A719" s="170" t="s">
        <v>1483</v>
      </c>
      <c r="B719" s="170" t="s">
        <v>1484</v>
      </c>
      <c r="C719" s="170" t="s">
        <v>1186</v>
      </c>
      <c r="D719" s="170" t="s">
        <v>3</v>
      </c>
    </row>
    <row r="720" spans="1:4" ht="14.5">
      <c r="A720" s="170" t="s">
        <v>1502</v>
      </c>
      <c r="B720" s="170" t="s">
        <v>1503</v>
      </c>
      <c r="C720" s="170" t="s">
        <v>85</v>
      </c>
      <c r="D720" s="170" t="s">
        <v>3</v>
      </c>
    </row>
    <row r="721" spans="1:4" ht="14.5">
      <c r="A721" s="170" t="s">
        <v>1504</v>
      </c>
      <c r="B721" s="170" t="s">
        <v>1505</v>
      </c>
      <c r="C721" s="170" t="s">
        <v>85</v>
      </c>
      <c r="D721" s="170" t="s">
        <v>3</v>
      </c>
    </row>
    <row r="722" spans="1:4" ht="14.5">
      <c r="A722" s="170" t="s">
        <v>1506</v>
      </c>
      <c r="B722" s="170" t="s">
        <v>1507</v>
      </c>
      <c r="C722" s="170" t="s">
        <v>919</v>
      </c>
      <c r="D722" s="170" t="s">
        <v>3</v>
      </c>
    </row>
    <row r="723" spans="1:4" ht="14.5">
      <c r="A723" s="170" t="s">
        <v>1508</v>
      </c>
      <c r="B723" s="170" t="s">
        <v>1509</v>
      </c>
      <c r="C723" s="170" t="s">
        <v>919</v>
      </c>
      <c r="D723" s="170" t="s">
        <v>3</v>
      </c>
    </row>
    <row r="724" spans="1:4" ht="14.5">
      <c r="A724" s="170" t="s">
        <v>1510</v>
      </c>
      <c r="B724" s="170" t="s">
        <v>1510</v>
      </c>
      <c r="C724" s="170" t="s">
        <v>1253</v>
      </c>
      <c r="D724" s="170" t="s">
        <v>25</v>
      </c>
    </row>
    <row r="725" spans="1:4" ht="14.5">
      <c r="A725" s="176" t="s">
        <v>1511</v>
      </c>
      <c r="B725" s="177" t="s">
        <v>1512</v>
      </c>
      <c r="C725" s="178" t="s">
        <v>1513</v>
      </c>
      <c r="D725" s="179" t="s">
        <v>3</v>
      </c>
    </row>
    <row r="726" spans="1:4" ht="15.75">
      <c r="A726" s="180" t="s">
        <v>1518</v>
      </c>
      <c r="B726" s="181" t="s">
        <v>1519</v>
      </c>
      <c r="C726" s="182" t="s">
        <v>1549</v>
      </c>
      <c r="D726" s="170" t="s">
        <v>3</v>
      </c>
    </row>
    <row r="727" spans="1:4" ht="14.5">
      <c r="A727" s="174" t="s">
        <v>1520</v>
      </c>
      <c r="B727" s="174" t="s">
        <v>1521</v>
      </c>
      <c r="C727" s="174" t="s">
        <v>1549</v>
      </c>
      <c r="D727" s="170" t="s">
        <v>3</v>
      </c>
    </row>
    <row r="728" spans="1:4" ht="14.5">
      <c r="A728" s="174" t="s">
        <v>1522</v>
      </c>
      <c r="B728" s="174" t="s">
        <v>1523</v>
      </c>
      <c r="C728" s="174" t="s">
        <v>1548</v>
      </c>
      <c r="D728" s="170" t="s">
        <v>3</v>
      </c>
    </row>
    <row r="729" spans="1:4" ht="14.5">
      <c r="A729" s="174" t="s">
        <v>1524</v>
      </c>
      <c r="B729" s="174" t="s">
        <v>1525</v>
      </c>
      <c r="C729" s="174" t="s">
        <v>85</v>
      </c>
      <c r="D729" s="170" t="s">
        <v>3</v>
      </c>
    </row>
    <row r="730" spans="1:4" ht="14.5">
      <c r="A730" s="174" t="s">
        <v>1526</v>
      </c>
      <c r="B730" s="174" t="s">
        <v>1527</v>
      </c>
      <c r="C730" s="174" t="s">
        <v>378</v>
      </c>
      <c r="D730" s="170" t="s">
        <v>3</v>
      </c>
    </row>
    <row r="731" spans="1:4" ht="14.5">
      <c r="A731" s="174" t="s">
        <v>1528</v>
      </c>
      <c r="B731" s="174" t="s">
        <v>1529</v>
      </c>
      <c r="C731" s="174" t="s">
        <v>919</v>
      </c>
      <c r="D731" s="170" t="s">
        <v>3</v>
      </c>
    </row>
    <row r="732" spans="1:4" ht="14.5">
      <c r="A732" s="174" t="s">
        <v>1530</v>
      </c>
      <c r="B732" s="174" t="s">
        <v>1531</v>
      </c>
      <c r="C732" s="174" t="s">
        <v>919</v>
      </c>
      <c r="D732" s="170" t="s">
        <v>3</v>
      </c>
    </row>
    <row r="733" spans="1:4" ht="14.5">
      <c r="A733" s="174" t="s">
        <v>1532</v>
      </c>
      <c r="B733" s="174" t="s">
        <v>1533</v>
      </c>
      <c r="C733" s="174" t="s">
        <v>919</v>
      </c>
      <c r="D733" s="170" t="s">
        <v>3</v>
      </c>
    </row>
    <row r="734" spans="1:4" ht="14.5">
      <c r="A734" s="174" t="s">
        <v>1534</v>
      </c>
      <c r="B734" s="174" t="s">
        <v>1535</v>
      </c>
      <c r="C734" s="174" t="s">
        <v>919</v>
      </c>
      <c r="D734" s="170" t="s">
        <v>3</v>
      </c>
    </row>
    <row r="735" spans="1:4" ht="14.5">
      <c r="A735" s="174" t="s">
        <v>1536</v>
      </c>
      <c r="B735" s="174" t="s">
        <v>1537</v>
      </c>
      <c r="C735" s="174" t="s">
        <v>919</v>
      </c>
      <c r="D735" s="170" t="s">
        <v>3</v>
      </c>
    </row>
    <row r="736" spans="1:4" ht="14.5">
      <c r="A736" s="174" t="s">
        <v>1538</v>
      </c>
      <c r="B736" s="174" t="s">
        <v>1539</v>
      </c>
      <c r="C736" s="174" t="s">
        <v>919</v>
      </c>
      <c r="D736" s="170" t="s">
        <v>3</v>
      </c>
    </row>
    <row r="737" spans="1:4" ht="14.5">
      <c r="A737" s="174" t="s">
        <v>1540</v>
      </c>
      <c r="B737" s="174" t="s">
        <v>1541</v>
      </c>
      <c r="C737" s="174" t="s">
        <v>1186</v>
      </c>
      <c r="D737" s="170" t="s">
        <v>3</v>
      </c>
    </row>
    <row r="738" spans="1:4" ht="15.75">
      <c r="A738" s="180" t="s">
        <v>1542</v>
      </c>
      <c r="B738" s="181" t="s">
        <v>1543</v>
      </c>
      <c r="C738" s="182" t="s">
        <v>1513</v>
      </c>
      <c r="D738" s="170" t="s">
        <v>3</v>
      </c>
    </row>
    <row r="739" spans="1:4" ht="15.75">
      <c r="A739" s="180" t="s">
        <v>1551</v>
      </c>
      <c r="B739" s="183" t="s">
        <v>1552</v>
      </c>
      <c r="C739" s="174" t="s">
        <v>1186</v>
      </c>
      <c r="D739" s="170" t="s">
        <v>3</v>
      </c>
    </row>
    <row r="740" spans="1:4" ht="15.75">
      <c r="A740" s="184" t="s">
        <v>1553</v>
      </c>
      <c r="B740" s="185" t="s">
        <v>1554</v>
      </c>
      <c r="C740" s="186" t="s">
        <v>85</v>
      </c>
      <c r="D740" s="170" t="s">
        <v>3</v>
      </c>
    </row>
    <row r="741" spans="1:4" ht="15.75">
      <c r="A741" s="180" t="s">
        <v>1556</v>
      </c>
      <c r="B741" s="180" t="s">
        <v>1556</v>
      </c>
      <c r="C741" s="174" t="s">
        <v>1328</v>
      </c>
      <c r="D741" s="170" t="s">
        <v>25</v>
      </c>
    </row>
    <row r="742" spans="1:4" ht="14.5">
      <c r="A742" s="165" t="s">
        <v>1557</v>
      </c>
      <c r="B742" s="165" t="s">
        <v>1557</v>
      </c>
      <c r="C742" s="174" t="s">
        <v>1253</v>
      </c>
      <c r="D742" s="170" t="s">
        <v>25</v>
      </c>
    </row>
    <row r="743" spans="1:4" ht="14.5">
      <c r="A743" s="174" t="s">
        <v>1558</v>
      </c>
      <c r="B743" s="174" t="s">
        <v>1558</v>
      </c>
      <c r="C743" s="174" t="s">
        <v>1289</v>
      </c>
      <c r="D743" s="170" t="s">
        <v>25</v>
      </c>
    </row>
    <row r="744" spans="1:4">
      <c r="A744" s="51"/>
      <c r="B744" s="51"/>
      <c r="C744" s="51"/>
    </row>
    <row r="745" spans="1:4">
      <c r="A745" s="51"/>
      <c r="B745" s="51"/>
      <c r="C745" s="51"/>
    </row>
    <row r="746" spans="1:4">
      <c r="A746" s="51"/>
      <c r="B746" s="51"/>
      <c r="C746" s="51"/>
    </row>
    <row r="747" spans="1:4">
      <c r="A747" s="51"/>
      <c r="B747" s="51"/>
      <c r="C747" s="51"/>
    </row>
    <row r="748" spans="1:4">
      <c r="A748" s="51"/>
      <c r="B748" s="51"/>
      <c r="C748" s="51"/>
    </row>
    <row r="749" spans="1:4">
      <c r="A749" s="51"/>
      <c r="B749" s="51"/>
      <c r="C749" s="51"/>
    </row>
    <row r="750" spans="1:4">
      <c r="A750" s="51"/>
      <c r="B750" s="51"/>
      <c r="C750" s="51"/>
    </row>
    <row r="751" spans="1:4">
      <c r="A751" s="51"/>
      <c r="B751" s="51"/>
      <c r="C751" s="51"/>
    </row>
    <row r="752" spans="1:4">
      <c r="A752" s="51"/>
      <c r="B752" s="51"/>
      <c r="C752" s="51"/>
    </row>
  </sheetData>
  <autoFilter ref="A1:E69" xr:uid="{A4C4D616-D517-434C-95BE-C848EFDE672F}"/>
  <phoneticPr fontId="12"/>
  <conditionalFormatting sqref="A739">
    <cfRule type="duplicateValues" dxfId="9" priority="3"/>
    <cfRule type="duplicateValues" dxfId="8" priority="4"/>
  </conditionalFormatting>
  <conditionalFormatting sqref="B739">
    <cfRule type="duplicateValues" dxfId="7" priority="5"/>
  </conditionalFormatting>
  <conditionalFormatting sqref="B742">
    <cfRule type="expression" dxfId="6" priority="2">
      <formula>IF($C745&lt;&gt;"",TRUE)</formula>
    </cfRule>
  </conditionalFormatting>
  <conditionalFormatting sqref="A742">
    <cfRule type="expression" dxfId="5" priority="1">
      <formula>IF($C745&lt;&gt;"",TRUE)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3FB9F-6CBF-44F4-9C51-4B687712D5E1}">
  <sheetPr codeName="Sheet1"/>
  <dimension ref="A2:H1608"/>
  <sheetViews>
    <sheetView topLeftCell="A731" workbookViewId="0">
      <selection activeCell="C746" sqref="C746"/>
    </sheetView>
  </sheetViews>
  <sheetFormatPr defaultColWidth="9" defaultRowHeight="14.5"/>
  <cols>
    <col min="1" max="1" width="14.5" style="170" customWidth="1"/>
    <col min="2" max="2" width="31.375" style="170" bestFit="1" customWidth="1"/>
    <col min="3" max="3" width="31.5" style="170" bestFit="1" customWidth="1"/>
    <col min="4" max="16384" width="9" style="170"/>
  </cols>
  <sheetData>
    <row r="2" spans="1:8">
      <c r="A2" s="168" t="s">
        <v>34</v>
      </c>
      <c r="B2" s="169" t="s">
        <v>35</v>
      </c>
      <c r="C2" s="169" t="s">
        <v>36</v>
      </c>
      <c r="D2" s="170">
        <f>IF(ISNUMBER(SEARCH(Checksheet!$U$11,B2)),MAX($D$1:D1)+1,"")</f>
        <v>1</v>
      </c>
      <c r="E2" s="170" t="str">
        <f>IFERROR(INDEX($B:$B,MATCH(ROW()-1,$D:$D,0),1),"")</f>
        <v>0405569100/W5348MCP1C</v>
      </c>
      <c r="H2" s="170">
        <v>3050</v>
      </c>
    </row>
    <row r="3" spans="1:8">
      <c r="A3" s="168" t="s">
        <v>37</v>
      </c>
      <c r="B3" s="169" t="s">
        <v>38</v>
      </c>
      <c r="C3" s="169" t="s">
        <v>36</v>
      </c>
      <c r="D3" s="170">
        <f>IF(ISNUMBER(SEARCH(Checksheet!$U$11,B3)),MAX($D$1:D2)+1,"")</f>
        <v>2</v>
      </c>
      <c r="E3" s="170" t="str">
        <f t="shared" ref="E3:E66" si="0">IFERROR(INDEX($B:$B,MATCH(ROW()-1,$D:$D,0),1),"")</f>
        <v>1002404800/W5351MCP1C</v>
      </c>
    </row>
    <row r="4" spans="1:8">
      <c r="A4" s="168" t="s">
        <v>39</v>
      </c>
      <c r="B4" s="169" t="s">
        <v>40</v>
      </c>
      <c r="C4" s="169" t="s">
        <v>36</v>
      </c>
      <c r="D4" s="170">
        <f>IF(ISNUMBER(SEARCH(Checksheet!$U$11,B4)),MAX($D$1:D3)+1,"")</f>
        <v>3</v>
      </c>
      <c r="E4" s="170" t="str">
        <f t="shared" si="0"/>
        <v>7063042700/W5350MCP1</v>
      </c>
    </row>
    <row r="5" spans="1:8">
      <c r="A5" s="168" t="s">
        <v>41</v>
      </c>
      <c r="B5" s="169" t="s">
        <v>42</v>
      </c>
      <c r="C5" s="169" t="s">
        <v>36</v>
      </c>
      <c r="D5" s="170">
        <f>IF(ISNUMBER(SEARCH(Checksheet!$U$11,B5)),MAX($D$1:D4)+1,"")</f>
        <v>4</v>
      </c>
      <c r="E5" s="170" t="str">
        <f t="shared" si="0"/>
        <v>0528865700/W5350MCP2</v>
      </c>
    </row>
    <row r="6" spans="1:8">
      <c r="A6" s="168" t="s">
        <v>43</v>
      </c>
      <c r="B6" s="169" t="s">
        <v>44</v>
      </c>
      <c r="C6" s="169" t="s">
        <v>36</v>
      </c>
      <c r="D6" s="170">
        <f>IF(ISNUMBER(SEARCH(Checksheet!$U$11,B6)),MAX($D$1:D5)+1,"")</f>
        <v>5</v>
      </c>
      <c r="E6" s="170" t="str">
        <f t="shared" si="0"/>
        <v>7063042700/W5350MCP1C</v>
      </c>
    </row>
    <row r="7" spans="1:8">
      <c r="A7" s="168" t="s">
        <v>45</v>
      </c>
      <c r="B7" s="169" t="s">
        <v>46</v>
      </c>
      <c r="C7" s="169" t="s">
        <v>36</v>
      </c>
      <c r="D7" s="170">
        <f>IF(ISNUMBER(SEARCH(Checksheet!$U$11,B7)),MAX($D$1:D6)+1,"")</f>
        <v>6</v>
      </c>
      <c r="E7" s="170" t="str">
        <f t="shared" si="0"/>
        <v>2250354500W2966MCP1B-S</v>
      </c>
    </row>
    <row r="8" spans="1:8">
      <c r="A8" s="168" t="s">
        <v>47</v>
      </c>
      <c r="B8" s="169" t="s">
        <v>48</v>
      </c>
      <c r="C8" s="169" t="s">
        <v>36</v>
      </c>
      <c r="D8" s="170">
        <f>IF(ISNUMBER(SEARCH(Checksheet!$U$11,B8)),MAX($D$1:D7)+1,"")</f>
        <v>7</v>
      </c>
      <c r="E8" s="170" t="str">
        <f t="shared" si="0"/>
        <v>W2966MCP1Bｾｯﾍﾟﾝ-S ｼｻｸ</v>
      </c>
    </row>
    <row r="9" spans="1:8">
      <c r="A9" s="168" t="s">
        <v>49</v>
      </c>
      <c r="B9" s="169" t="s">
        <v>50</v>
      </c>
      <c r="C9" s="169" t="s">
        <v>36</v>
      </c>
      <c r="D9" s="170">
        <f>IF(ISNUMBER(SEARCH(Checksheet!$U$11,B9)),MAX($D$1:D8)+1,"")</f>
        <v>8</v>
      </c>
      <c r="E9" s="170" t="str">
        <f t="shared" si="0"/>
        <v>W2966MCP1B-S ｼｻｸ</v>
      </c>
    </row>
    <row r="10" spans="1:8">
      <c r="A10" s="168" t="s">
        <v>51</v>
      </c>
      <c r="B10" s="169" t="s">
        <v>52</v>
      </c>
      <c r="C10" s="169" t="s">
        <v>36</v>
      </c>
      <c r="D10" s="170">
        <f>IF(ISNUMBER(SEARCH(Checksheet!$U$11,B10)),MAX($D$1:D9)+1,"")</f>
        <v>9</v>
      </c>
      <c r="E10" s="170" t="str">
        <f t="shared" si="0"/>
        <v>W2966MCP1B-S ｸﾐﾀﾃ ｼｻｸ</v>
      </c>
    </row>
    <row r="11" spans="1:8">
      <c r="A11" s="168" t="s">
        <v>53</v>
      </c>
      <c r="B11" s="169" t="s">
        <v>54</v>
      </c>
      <c r="C11" s="169" t="s">
        <v>36</v>
      </c>
      <c r="D11" s="170">
        <f>IF(ISNUMBER(SEARCH(Checksheet!$U$11,B11)),MAX($D$1:D10)+1,"")</f>
        <v>10</v>
      </c>
      <c r="E11" s="170" t="str">
        <f t="shared" si="0"/>
        <v>0590190101W2356MCP1B-S</v>
      </c>
    </row>
    <row r="12" spans="1:8">
      <c r="A12" s="168" t="s">
        <v>55</v>
      </c>
      <c r="B12" s="169" t="s">
        <v>56</v>
      </c>
      <c r="C12" s="169" t="s">
        <v>36</v>
      </c>
      <c r="D12" s="170">
        <f>IF(ISNUMBER(SEARCH(Checksheet!$U$11,B12)),MAX($D$1:D11)+1,"")</f>
        <v>11</v>
      </c>
      <c r="E12" s="170" t="str">
        <f t="shared" si="0"/>
        <v>8642416901/W3049MCPD-S</v>
      </c>
    </row>
    <row r="13" spans="1:8">
      <c r="A13" s="168" t="s">
        <v>57</v>
      </c>
      <c r="B13" s="169" t="s">
        <v>58</v>
      </c>
      <c r="C13" s="169" t="s">
        <v>36</v>
      </c>
      <c r="D13" s="170">
        <f>IF(ISNUMBER(SEARCH(Checksheet!$U$11,B13)),MAX($D$1:D12)+1,"")</f>
        <v>12</v>
      </c>
      <c r="E13" s="170" t="str">
        <f t="shared" si="0"/>
        <v>8119542000W2967MCP2B-S</v>
      </c>
    </row>
    <row r="14" spans="1:8">
      <c r="A14" s="168" t="s">
        <v>59</v>
      </c>
      <c r="B14" s="169" t="s">
        <v>60</v>
      </c>
      <c r="C14" s="169" t="s">
        <v>36</v>
      </c>
      <c r="D14" s="170">
        <f>IF(ISNUMBER(SEARCH(Checksheet!$U$11,B14)),MAX($D$1:D13)+1,"")</f>
        <v>13</v>
      </c>
      <c r="E14" s="170" t="str">
        <f t="shared" si="0"/>
        <v>W4043MCP1-M ｸﾐﾀﾃ ｼｻｸ</v>
      </c>
    </row>
    <row r="15" spans="1:8">
      <c r="A15" s="168" t="s">
        <v>61</v>
      </c>
      <c r="B15" s="169" t="s">
        <v>62</v>
      </c>
      <c r="C15" s="169" t="s">
        <v>36</v>
      </c>
      <c r="D15" s="170">
        <f>IF(ISNUMBER(SEARCH(Checksheet!$U$11,B15)),MAX($D$1:D14)+1,"")</f>
        <v>14</v>
      </c>
      <c r="E15" s="170" t="str">
        <f t="shared" si="0"/>
        <v>W4043MCP1-M SEMI ｼｻｸ</v>
      </c>
    </row>
    <row r="16" spans="1:8">
      <c r="A16" s="168" t="s">
        <v>63</v>
      </c>
      <c r="B16" s="169" t="s">
        <v>64</v>
      </c>
      <c r="C16" s="169" t="s">
        <v>36</v>
      </c>
      <c r="D16" s="170">
        <f>IF(ISNUMBER(SEARCH(Checksheet!$U$11,B16)),MAX($D$1:D15)+1,"")</f>
        <v>15</v>
      </c>
      <c r="E16" s="170" t="str">
        <f t="shared" si="0"/>
        <v>W4415-3 ｸﾐﾀﾃ ｼｻｸ</v>
      </c>
    </row>
    <row r="17" spans="1:5">
      <c r="A17" s="168" t="s">
        <v>65</v>
      </c>
      <c r="B17" s="169" t="s">
        <v>66</v>
      </c>
      <c r="C17" s="169" t="s">
        <v>36</v>
      </c>
      <c r="D17" s="170">
        <f>IF(ISNUMBER(SEARCH(Checksheet!$U$11,B17)),MAX($D$1:D16)+1,"")</f>
        <v>16</v>
      </c>
      <c r="E17" s="170" t="str">
        <f t="shared" si="0"/>
        <v>W4415MCP1C-M ｸﾐﾀﾃ ｼｻｸ</v>
      </c>
    </row>
    <row r="18" spans="1:5">
      <c r="A18" s="168" t="s">
        <v>67</v>
      </c>
      <c r="B18" s="169" t="s">
        <v>68</v>
      </c>
      <c r="C18" s="169" t="s">
        <v>69</v>
      </c>
      <c r="D18" s="170">
        <f>IF(ISNUMBER(SEARCH(Checksheet!$U$11,B18)),MAX($D$1:D17)+1,"")</f>
        <v>17</v>
      </c>
      <c r="E18" s="170" t="str">
        <f t="shared" si="0"/>
        <v>TTR-40</v>
      </c>
    </row>
    <row r="19" spans="1:5">
      <c r="A19" s="168" t="s">
        <v>70</v>
      </c>
      <c r="B19" s="169" t="s">
        <v>71</v>
      </c>
      <c r="C19" s="169" t="s">
        <v>69</v>
      </c>
      <c r="D19" s="170">
        <f>IF(ISNUMBER(SEARCH(Checksheet!$U$11,B19)),MAX($D$1:D18)+1,"")</f>
        <v>18</v>
      </c>
      <c r="E19" s="170" t="str">
        <f t="shared" si="0"/>
        <v>TTR-40-1-S</v>
      </c>
    </row>
    <row r="20" spans="1:5">
      <c r="A20" s="168" t="s">
        <v>72</v>
      </c>
      <c r="B20" s="169" t="s">
        <v>73</v>
      </c>
      <c r="C20" s="169" t="s">
        <v>74</v>
      </c>
      <c r="D20" s="170">
        <f>IF(ISNUMBER(SEARCH(Checksheet!$U$11,B20)),MAX($D$1:D19)+1,"")</f>
        <v>19</v>
      </c>
      <c r="E20" s="170" t="str">
        <f t="shared" si="0"/>
        <v>M349400</v>
      </c>
    </row>
    <row r="21" spans="1:5">
      <c r="A21" s="168" t="s">
        <v>75</v>
      </c>
      <c r="B21" s="169" t="s">
        <v>76</v>
      </c>
      <c r="C21" s="169" t="s">
        <v>74</v>
      </c>
      <c r="D21" s="170">
        <f>IF(ISNUMBER(SEARCH(Checksheet!$U$11,B21)),MAX($D$1:D20)+1,"")</f>
        <v>20</v>
      </c>
      <c r="E21" s="170" t="str">
        <f t="shared" si="0"/>
        <v>M342496</v>
      </c>
    </row>
    <row r="22" spans="1:5">
      <c r="A22" s="168" t="s">
        <v>77</v>
      </c>
      <c r="B22" s="169" t="s">
        <v>78</v>
      </c>
      <c r="C22" s="169" t="s">
        <v>74</v>
      </c>
      <c r="D22" s="170">
        <f>IF(ISNUMBER(SEARCH(Checksheet!$U$11,B22)),MAX($D$1:D21)+1,"")</f>
        <v>21</v>
      </c>
      <c r="E22" s="170" t="str">
        <f t="shared" si="0"/>
        <v xml:space="preserve">M342498-S </v>
      </c>
    </row>
    <row r="23" spans="1:5">
      <c r="A23" s="168" t="s">
        <v>79</v>
      </c>
      <c r="B23" s="169" t="s">
        <v>80</v>
      </c>
      <c r="C23" s="169" t="s">
        <v>74</v>
      </c>
      <c r="D23" s="170">
        <f>IF(ISNUMBER(SEARCH(Checksheet!$U$11,B23)),MAX($D$1:D22)+1,"")</f>
        <v>22</v>
      </c>
      <c r="E23" s="170" t="str">
        <f t="shared" si="0"/>
        <v>M342499</v>
      </c>
    </row>
    <row r="24" spans="1:5">
      <c r="A24" s="168" t="s">
        <v>81</v>
      </c>
      <c r="B24" s="169" t="s">
        <v>82</v>
      </c>
      <c r="C24" s="169" t="s">
        <v>74</v>
      </c>
      <c r="D24" s="170">
        <f>IF(ISNUMBER(SEARCH(Checksheet!$U$11,B24)),MAX($D$1:D23)+1,"")</f>
        <v>23</v>
      </c>
      <c r="E24" s="170" t="str">
        <f t="shared" si="0"/>
        <v>2M16882 3.5MM</v>
      </c>
    </row>
    <row r="25" spans="1:5">
      <c r="A25" s="168" t="s">
        <v>83</v>
      </c>
      <c r="B25" s="169" t="s">
        <v>84</v>
      </c>
      <c r="C25" s="169" t="s">
        <v>74</v>
      </c>
      <c r="D25" s="170">
        <f>IF(ISNUMBER(SEARCH(Checksheet!$U$11,B25)),MAX($D$1:D24)+1,"")</f>
        <v>24</v>
      </c>
      <c r="E25" s="170" t="str">
        <f t="shared" si="0"/>
        <v>F127810-S</v>
      </c>
    </row>
    <row r="26" spans="1:5">
      <c r="A26" s="171" t="s">
        <v>1516</v>
      </c>
      <c r="B26" s="172" t="s">
        <v>1517</v>
      </c>
      <c r="C26" s="173" t="s">
        <v>1513</v>
      </c>
      <c r="D26" s="170">
        <f>IF(ISNUMBER(SEARCH(Checksheet!$U$11,B26)),MAX($D$1:D25)+1,"")</f>
        <v>25</v>
      </c>
      <c r="E26" s="170" t="str">
        <f t="shared" si="0"/>
        <v>CCA18160=3HIW-S</v>
      </c>
    </row>
    <row r="27" spans="1:5">
      <c r="A27" s="168" t="s">
        <v>86</v>
      </c>
      <c r="B27" s="169" t="s">
        <v>87</v>
      </c>
      <c r="C27" s="169" t="s">
        <v>85</v>
      </c>
      <c r="D27" s="170">
        <f>IF(ISNUMBER(SEARCH(Checksheet!$U$11,B27)),MAX($D$1:D26)+1,"")</f>
        <v>26</v>
      </c>
      <c r="E27" s="170" t="str">
        <f t="shared" si="0"/>
        <v>CCA18004=4-S</v>
      </c>
    </row>
    <row r="28" spans="1:5">
      <c r="A28" s="168" t="s">
        <v>88</v>
      </c>
      <c r="B28" s="169" t="s">
        <v>89</v>
      </c>
      <c r="C28" s="169" t="s">
        <v>85</v>
      </c>
      <c r="D28" s="170">
        <f>IF(ISNUMBER(SEARCH(Checksheet!$U$11,B28)),MAX($D$1:D27)+1,"")</f>
        <v>27</v>
      </c>
      <c r="E28" s="170" t="str">
        <f t="shared" si="0"/>
        <v>CSA19003=4HIW-S</v>
      </c>
    </row>
    <row r="29" spans="1:5">
      <c r="A29" s="168" t="s">
        <v>90</v>
      </c>
      <c r="B29" s="169" t="s">
        <v>91</v>
      </c>
      <c r="C29" s="169" t="s">
        <v>85</v>
      </c>
      <c r="D29" s="170">
        <f>IF(ISNUMBER(SEARCH(Checksheet!$U$11,B29)),MAX($D$1:D28)+1,"")</f>
        <v>28</v>
      </c>
      <c r="E29" s="170" t="str">
        <f t="shared" si="0"/>
        <v>CSA19004=5HIW-S</v>
      </c>
    </row>
    <row r="30" spans="1:5">
      <c r="A30" s="168" t="s">
        <v>92</v>
      </c>
      <c r="B30" s="169" t="s">
        <v>93</v>
      </c>
      <c r="C30" s="169" t="s">
        <v>85</v>
      </c>
      <c r="D30" s="170">
        <f>IF(ISNUMBER(SEARCH(Checksheet!$U$11,B30)),MAX($D$1:D29)+1,"")</f>
        <v>29</v>
      </c>
      <c r="E30" s="170" t="str">
        <f t="shared" si="0"/>
        <v>CSA19008=5HIW-S</v>
      </c>
    </row>
    <row r="31" spans="1:5">
      <c r="A31" s="168" t="s">
        <v>94</v>
      </c>
      <c r="B31" s="169" t="s">
        <v>95</v>
      </c>
      <c r="C31" s="169" t="s">
        <v>85</v>
      </c>
      <c r="D31" s="170">
        <f>IF(ISNUMBER(SEARCH(Checksheet!$U$11,B31)),MAX($D$1:D30)+1,"")</f>
        <v>30</v>
      </c>
      <c r="E31" s="170" t="str">
        <f t="shared" si="0"/>
        <v>CSA19009=4HIW-S</v>
      </c>
    </row>
    <row r="32" spans="1:5">
      <c r="A32" s="168" t="s">
        <v>96</v>
      </c>
      <c r="B32" s="169" t="s">
        <v>97</v>
      </c>
      <c r="C32" s="169" t="s">
        <v>85</v>
      </c>
      <c r="D32" s="170">
        <f>IF(ISNUMBER(SEARCH(Checksheet!$U$11,B32)),MAX($D$1:D31)+1,"")</f>
        <v>31</v>
      </c>
      <c r="E32" s="170" t="str">
        <f t="shared" si="0"/>
        <v>CSB15153=3HIW-S</v>
      </c>
    </row>
    <row r="33" spans="1:5">
      <c r="A33" s="168" t="s">
        <v>98</v>
      </c>
      <c r="B33" s="169" t="s">
        <v>99</v>
      </c>
      <c r="C33" s="169" t="s">
        <v>85</v>
      </c>
      <c r="D33" s="170">
        <f>IF(ISNUMBER(SEARCH(Checksheet!$U$11,B33)),MAX($D$1:D32)+1,"")</f>
        <v>32</v>
      </c>
      <c r="E33" s="170" t="str">
        <f t="shared" si="0"/>
        <v>CSB15154=3HIW-S</v>
      </c>
    </row>
    <row r="34" spans="1:5">
      <c r="A34" s="168" t="s">
        <v>100</v>
      </c>
      <c r="B34" s="169" t="s">
        <v>101</v>
      </c>
      <c r="C34" s="169" t="s">
        <v>85</v>
      </c>
      <c r="D34" s="170">
        <f>IF(ISNUMBER(SEARCH(Checksheet!$U$11,B34)),MAX($D$1:D33)+1,"")</f>
        <v>33</v>
      </c>
      <c r="E34" s="170" t="str">
        <f t="shared" si="0"/>
        <v>CCA18160=3NSK-S</v>
      </c>
    </row>
    <row r="35" spans="1:5">
      <c r="A35" s="168" t="s">
        <v>102</v>
      </c>
      <c r="B35" s="169" t="s">
        <v>103</v>
      </c>
      <c r="C35" s="169" t="s">
        <v>85</v>
      </c>
      <c r="D35" s="170">
        <f>IF(ISNUMBER(SEARCH(Checksheet!$U$11,B35)),MAX($D$1:D34)+1,"")</f>
        <v>34</v>
      </c>
      <c r="E35" s="170" t="str">
        <f t="shared" si="0"/>
        <v>CSB15152=2HIW-S</v>
      </c>
    </row>
    <row r="36" spans="1:5">
      <c r="A36" s="168" t="s">
        <v>104</v>
      </c>
      <c r="B36" s="169" t="s">
        <v>105</v>
      </c>
      <c r="C36" s="169" t="s">
        <v>85</v>
      </c>
      <c r="D36" s="170">
        <f>IF(ISNUMBER(SEARCH(Checksheet!$U$11,B36)),MAX($D$1:D35)+1,"")</f>
        <v>35</v>
      </c>
      <c r="E36" s="170" t="str">
        <f t="shared" si="0"/>
        <v>CSB15150=2HIW-S</v>
      </c>
    </row>
    <row r="37" spans="1:5">
      <c r="A37" s="168" t="s">
        <v>106</v>
      </c>
      <c r="B37" s="169" t="s">
        <v>107</v>
      </c>
      <c r="C37" s="169" t="s">
        <v>85</v>
      </c>
      <c r="D37" s="170">
        <f>IF(ISNUMBER(SEARCH(Checksheet!$U$11,B37)),MAX($D$1:D36)+1,"")</f>
        <v>36</v>
      </c>
      <c r="E37" s="170" t="str">
        <f t="shared" si="0"/>
        <v>CSA18102=4HIW-S</v>
      </c>
    </row>
    <row r="38" spans="1:5">
      <c r="A38" s="168" t="s">
        <v>108</v>
      </c>
      <c r="B38" s="169" t="s">
        <v>109</v>
      </c>
      <c r="C38" s="169" t="s">
        <v>85</v>
      </c>
      <c r="D38" s="170">
        <f>IF(ISNUMBER(SEARCH(Checksheet!$U$11,B38)),MAX($D$1:D37)+1,"")</f>
        <v>37</v>
      </c>
      <c r="E38" s="170" t="str">
        <f t="shared" si="0"/>
        <v>CSA18103=2HIW-S</v>
      </c>
    </row>
    <row r="39" spans="1:5">
      <c r="A39" s="168" t="s">
        <v>110</v>
      </c>
      <c r="B39" s="169" t="s">
        <v>111</v>
      </c>
      <c r="C39" s="169" t="s">
        <v>85</v>
      </c>
      <c r="D39" s="170">
        <f>IF(ISNUMBER(SEARCH(Checksheet!$U$11,B39)),MAX($D$1:D38)+1,"")</f>
        <v>38</v>
      </c>
      <c r="E39" s="170" t="str">
        <f t="shared" si="0"/>
        <v>CSA18127=2HIW-S</v>
      </c>
    </row>
    <row r="40" spans="1:5">
      <c r="A40" s="168" t="s">
        <v>112</v>
      </c>
      <c r="B40" s="169" t="s">
        <v>113</v>
      </c>
      <c r="C40" s="169" t="s">
        <v>85</v>
      </c>
      <c r="D40" s="170">
        <f>IF(ISNUMBER(SEARCH(Checksheet!$U$11,B40)),MAX($D$1:D39)+1,"")</f>
        <v>39</v>
      </c>
      <c r="E40" s="170" t="str">
        <f t="shared" si="0"/>
        <v>CSC18311=2HIW-S</v>
      </c>
    </row>
    <row r="41" spans="1:5">
      <c r="A41" s="168" t="s">
        <v>114</v>
      </c>
      <c r="B41" s="169" t="s">
        <v>115</v>
      </c>
      <c r="C41" s="169" t="s">
        <v>85</v>
      </c>
      <c r="D41" s="170">
        <f>IF(ISNUMBER(SEARCH(Checksheet!$U$11,B41)),MAX($D$1:D40)+1,"")</f>
        <v>40</v>
      </c>
      <c r="E41" s="170" t="str">
        <f t="shared" si="0"/>
        <v>CSC18312=3HIW-S</v>
      </c>
    </row>
    <row r="42" spans="1:5">
      <c r="A42" s="168" t="s">
        <v>116</v>
      </c>
      <c r="B42" s="169" t="s">
        <v>117</v>
      </c>
      <c r="C42" s="169" t="s">
        <v>85</v>
      </c>
      <c r="D42" s="170">
        <f>IF(ISNUMBER(SEARCH(Checksheet!$U$11,B42)),MAX($D$1:D41)+1,"")</f>
        <v>41</v>
      </c>
      <c r="E42" s="170" t="str">
        <f t="shared" si="0"/>
        <v>CSA18124=1HIW-S</v>
      </c>
    </row>
    <row r="43" spans="1:5">
      <c r="A43" s="168" t="s">
        <v>118</v>
      </c>
      <c r="B43" s="169" t="s">
        <v>119</v>
      </c>
      <c r="C43" s="169" t="s">
        <v>85</v>
      </c>
      <c r="D43" s="170">
        <f>IF(ISNUMBER(SEARCH(Checksheet!$U$11,B43)),MAX($D$1:D42)+1,"")</f>
        <v>42</v>
      </c>
      <c r="E43" s="170" t="str">
        <f t="shared" si="0"/>
        <v>CSA18125=1HIW-S</v>
      </c>
    </row>
    <row r="44" spans="1:5">
      <c r="A44" s="168" t="s">
        <v>120</v>
      </c>
      <c r="B44" s="169" t="s">
        <v>121</v>
      </c>
      <c r="C44" s="169" t="s">
        <v>85</v>
      </c>
      <c r="D44" s="170">
        <f>IF(ISNUMBER(SEARCH(Checksheet!$U$11,B44)),MAX($D$1:D43)+1,"")</f>
        <v>43</v>
      </c>
      <c r="E44" s="170" t="str">
        <f t="shared" si="0"/>
        <v>CSA18126=1HIW-S</v>
      </c>
    </row>
    <row r="45" spans="1:5">
      <c r="A45" s="168" t="s">
        <v>122</v>
      </c>
      <c r="B45" s="169" t="s">
        <v>123</v>
      </c>
      <c r="C45" s="169" t="s">
        <v>85</v>
      </c>
      <c r="D45" s="170">
        <f>IF(ISNUMBER(SEARCH(Checksheet!$U$11,B45)),MAX($D$1:D44)+1,"")</f>
        <v>44</v>
      </c>
      <c r="E45" s="170" t="str">
        <f t="shared" si="0"/>
        <v>CSC18306=1HIW-S</v>
      </c>
    </row>
    <row r="46" spans="1:5">
      <c r="A46" s="168" t="s">
        <v>124</v>
      </c>
      <c r="B46" s="169" t="s">
        <v>125</v>
      </c>
      <c r="C46" s="169" t="s">
        <v>85</v>
      </c>
      <c r="D46" s="170">
        <f>IF(ISNUMBER(SEARCH(Checksheet!$U$11,B46)),MAX($D$1:D45)+1,"")</f>
        <v>45</v>
      </c>
      <c r="E46" s="170" t="str">
        <f t="shared" si="0"/>
        <v>CSC18307=1HIW-S</v>
      </c>
    </row>
    <row r="47" spans="1:5">
      <c r="A47" s="168" t="s">
        <v>126</v>
      </c>
      <c r="B47" s="169" t="s">
        <v>127</v>
      </c>
      <c r="C47" s="169" t="s">
        <v>85</v>
      </c>
      <c r="D47" s="170">
        <f>IF(ISNUMBER(SEARCH(Checksheet!$U$11,B47)),MAX($D$1:D46)+1,"")</f>
        <v>46</v>
      </c>
      <c r="E47" s="170" t="str">
        <f t="shared" si="0"/>
        <v>CSC18308=1HIW-S</v>
      </c>
    </row>
    <row r="48" spans="1:5">
      <c r="A48" s="168" t="s">
        <v>128</v>
      </c>
      <c r="B48" s="169" t="s">
        <v>129</v>
      </c>
      <c r="C48" s="169" t="s">
        <v>85</v>
      </c>
      <c r="D48" s="170">
        <f>IF(ISNUMBER(SEARCH(Checksheet!$U$11,B48)),MAX($D$1:D47)+1,"")</f>
        <v>47</v>
      </c>
      <c r="E48" s="170" t="str">
        <f t="shared" si="0"/>
        <v>CSC18309=1HIW-S</v>
      </c>
    </row>
    <row r="49" spans="1:5">
      <c r="A49" s="168" t="s">
        <v>130</v>
      </c>
      <c r="B49" s="169" t="s">
        <v>131</v>
      </c>
      <c r="C49" s="169" t="s">
        <v>85</v>
      </c>
      <c r="D49" s="170">
        <f>IF(ISNUMBER(SEARCH(Checksheet!$U$11,B49)),MAX($D$1:D48)+1,"")</f>
        <v>48</v>
      </c>
      <c r="E49" s="170" t="str">
        <f t="shared" si="0"/>
        <v>CSC18310=3HIW-S</v>
      </c>
    </row>
    <row r="50" spans="1:5">
      <c r="A50" s="168" t="s">
        <v>132</v>
      </c>
      <c r="B50" s="169" t="s">
        <v>133</v>
      </c>
      <c r="C50" s="169" t="s">
        <v>85</v>
      </c>
      <c r="D50" s="170">
        <f>IF(ISNUMBER(SEARCH(Checksheet!$U$11,B50)),MAX($D$1:D49)+1,"")</f>
        <v>49</v>
      </c>
      <c r="E50" s="170" t="str">
        <f t="shared" si="0"/>
        <v>CSA19002=4HIW-S</v>
      </c>
    </row>
    <row r="51" spans="1:5">
      <c r="A51" s="168" t="s">
        <v>134</v>
      </c>
      <c r="B51" s="169" t="s">
        <v>135</v>
      </c>
      <c r="C51" s="169" t="s">
        <v>85</v>
      </c>
      <c r="D51" s="170">
        <f>IF(ISNUMBER(SEARCH(Checksheet!$U$11,B51)),MAX($D$1:D50)+1,"")</f>
        <v>50</v>
      </c>
      <c r="E51" s="170" t="str">
        <f t="shared" si="0"/>
        <v>CSA18020=1HIW-S</v>
      </c>
    </row>
    <row r="52" spans="1:5">
      <c r="A52" s="168" t="s">
        <v>136</v>
      </c>
      <c r="B52" s="169" t="s">
        <v>137</v>
      </c>
      <c r="C52" s="169" t="s">
        <v>85</v>
      </c>
      <c r="D52" s="170">
        <f>IF(ISNUMBER(SEARCH(Checksheet!$U$11,B52)),MAX($D$1:D51)+1,"")</f>
        <v>51</v>
      </c>
      <c r="E52" s="170" t="str">
        <f t="shared" si="0"/>
        <v>CSA18110=3HIW-S</v>
      </c>
    </row>
    <row r="53" spans="1:5">
      <c r="A53" s="168" t="s">
        <v>138</v>
      </c>
      <c r="B53" s="169" t="s">
        <v>139</v>
      </c>
      <c r="C53" s="169" t="s">
        <v>85</v>
      </c>
      <c r="D53" s="170">
        <f>IF(ISNUMBER(SEARCH(Checksheet!$U$11,B53)),MAX($D$1:D52)+1,"")</f>
        <v>52</v>
      </c>
      <c r="E53" s="170" t="str">
        <f t="shared" si="0"/>
        <v>CSA18111=2HIW-S</v>
      </c>
    </row>
    <row r="54" spans="1:5">
      <c r="A54" s="168" t="s">
        <v>140</v>
      </c>
      <c r="B54" s="169" t="s">
        <v>141</v>
      </c>
      <c r="C54" s="169" t="s">
        <v>85</v>
      </c>
      <c r="D54" s="170">
        <f>IF(ISNUMBER(SEARCH(Checksheet!$U$11,B54)),MAX($D$1:D53)+1,"")</f>
        <v>53</v>
      </c>
      <c r="E54" s="170" t="str">
        <f t="shared" si="0"/>
        <v>CS15007=4HIW-S</v>
      </c>
    </row>
    <row r="55" spans="1:5">
      <c r="A55" s="168" t="s">
        <v>142</v>
      </c>
      <c r="B55" s="169" t="s">
        <v>143</v>
      </c>
      <c r="C55" s="169" t="s">
        <v>85</v>
      </c>
      <c r="D55" s="170">
        <f>IF(ISNUMBER(SEARCH(Checksheet!$U$11,B55)),MAX($D$1:D54)+1,"")</f>
        <v>54</v>
      </c>
      <c r="E55" s="170" t="str">
        <f t="shared" si="0"/>
        <v>CS15006=4HIW-S</v>
      </c>
    </row>
    <row r="56" spans="1:5">
      <c r="A56" s="168" t="s">
        <v>144</v>
      </c>
      <c r="B56" s="169" t="s">
        <v>145</v>
      </c>
      <c r="C56" s="169" t="s">
        <v>85</v>
      </c>
      <c r="D56" s="170">
        <f>IF(ISNUMBER(SEARCH(Checksheet!$U$11,B56)),MAX($D$1:D55)+1,"")</f>
        <v>55</v>
      </c>
      <c r="E56" s="170" t="str">
        <f t="shared" si="0"/>
        <v>CS15102=3HIW-S</v>
      </c>
    </row>
    <row r="57" spans="1:5">
      <c r="A57" s="168" t="s">
        <v>146</v>
      </c>
      <c r="B57" s="169" t="s">
        <v>147</v>
      </c>
      <c r="C57" s="169" t="s">
        <v>85</v>
      </c>
      <c r="D57" s="170">
        <f>IF(ISNUMBER(SEARCH(Checksheet!$U$11,B57)),MAX($D$1:D56)+1,"")</f>
        <v>56</v>
      </c>
      <c r="E57" s="170" t="str">
        <f t="shared" si="0"/>
        <v>CS15034=1HIW-S</v>
      </c>
    </row>
    <row r="58" spans="1:5">
      <c r="A58" s="168" t="s">
        <v>148</v>
      </c>
      <c r="B58" s="169" t="s">
        <v>149</v>
      </c>
      <c r="C58" s="169" t="s">
        <v>85</v>
      </c>
      <c r="D58" s="170">
        <f>IF(ISNUMBER(SEARCH(Checksheet!$U$11,B58)),MAX($D$1:D57)+1,"")</f>
        <v>57</v>
      </c>
      <c r="E58" s="170" t="str">
        <f t="shared" si="0"/>
        <v>CS15172=1HIW-S</v>
      </c>
    </row>
    <row r="59" spans="1:5">
      <c r="A59" s="168" t="s">
        <v>150</v>
      </c>
      <c r="B59" s="169" t="s">
        <v>151</v>
      </c>
      <c r="C59" s="169" t="s">
        <v>85</v>
      </c>
      <c r="D59" s="170">
        <f>IF(ISNUMBER(SEARCH(Checksheet!$U$11,B59)),MAX($D$1:D58)+1,"")</f>
        <v>58</v>
      </c>
      <c r="E59" s="170" t="str">
        <f t="shared" si="0"/>
        <v>CSA18116=1HIW-S</v>
      </c>
    </row>
    <row r="60" spans="1:5">
      <c r="A60" s="168" t="s">
        <v>152</v>
      </c>
      <c r="B60" s="169" t="s">
        <v>153</v>
      </c>
      <c r="C60" s="169" t="s">
        <v>85</v>
      </c>
      <c r="D60" s="170">
        <f>IF(ISNUMBER(SEARCH(Checksheet!$U$11,B60)),MAX($D$1:D59)+1,"")</f>
        <v>59</v>
      </c>
      <c r="E60" s="170" t="str">
        <f t="shared" si="0"/>
        <v>CSA18113=2HIW-S</v>
      </c>
    </row>
    <row r="61" spans="1:5">
      <c r="A61" s="168" t="s">
        <v>154</v>
      </c>
      <c r="B61" s="169" t="s">
        <v>155</v>
      </c>
      <c r="C61" s="169" t="s">
        <v>85</v>
      </c>
      <c r="D61" s="170">
        <f>IF(ISNUMBER(SEARCH(Checksheet!$U$11,B61)),MAX($D$1:D60)+1,"")</f>
        <v>60</v>
      </c>
      <c r="E61" s="170" t="str">
        <f t="shared" si="0"/>
        <v>CSA18013=5HIW-S</v>
      </c>
    </row>
    <row r="62" spans="1:5">
      <c r="A62" s="168" t="s">
        <v>156</v>
      </c>
      <c r="B62" s="169" t="s">
        <v>157</v>
      </c>
      <c r="C62" s="169" t="s">
        <v>85</v>
      </c>
      <c r="D62" s="170">
        <f>IF(ISNUMBER(SEARCH(Checksheet!$U$11,B62)),MAX($D$1:D61)+1,"")</f>
        <v>61</v>
      </c>
      <c r="E62" s="170" t="str">
        <f t="shared" si="0"/>
        <v>CSA18022=3HIW-S</v>
      </c>
    </row>
    <row r="63" spans="1:5">
      <c r="A63" s="168" t="s">
        <v>158</v>
      </c>
      <c r="B63" s="169" t="s">
        <v>159</v>
      </c>
      <c r="C63" s="169" t="s">
        <v>85</v>
      </c>
      <c r="D63" s="170">
        <f>IF(ISNUMBER(SEARCH(Checksheet!$U$11,B63)),MAX($D$1:D62)+1,"")</f>
        <v>62</v>
      </c>
      <c r="E63" s="170" t="str">
        <f t="shared" si="0"/>
        <v>CSA18023=3HIW-S</v>
      </c>
    </row>
    <row r="64" spans="1:5">
      <c r="A64" s="168" t="s">
        <v>160</v>
      </c>
      <c r="B64" s="169" t="s">
        <v>161</v>
      </c>
      <c r="C64" s="169" t="s">
        <v>85</v>
      </c>
      <c r="D64" s="170">
        <f>IF(ISNUMBER(SEARCH(Checksheet!$U$11,B64)),MAX($D$1:D63)+1,"")</f>
        <v>63</v>
      </c>
      <c r="E64" s="170" t="str">
        <f t="shared" si="0"/>
        <v>CSA18024=3HIW-S</v>
      </c>
    </row>
    <row r="65" spans="1:5">
      <c r="A65" s="168" t="s">
        <v>162</v>
      </c>
      <c r="B65" s="169" t="s">
        <v>163</v>
      </c>
      <c r="C65" s="169" t="s">
        <v>85</v>
      </c>
      <c r="D65" s="170">
        <f>IF(ISNUMBER(SEARCH(Checksheet!$U$11,B65)),MAX($D$1:D64)+1,"")</f>
        <v>64</v>
      </c>
      <c r="E65" s="170" t="str">
        <f t="shared" si="0"/>
        <v>CSA18006=2HIW-S</v>
      </c>
    </row>
    <row r="66" spans="1:5">
      <c r="A66" s="168" t="s">
        <v>164</v>
      </c>
      <c r="B66" s="169" t="s">
        <v>165</v>
      </c>
      <c r="C66" s="169" t="s">
        <v>85</v>
      </c>
      <c r="D66" s="170">
        <f>IF(ISNUMBER(SEARCH(Checksheet!$U$11,B66)),MAX($D$1:D65)+1,"")</f>
        <v>65</v>
      </c>
      <c r="E66" s="170" t="str">
        <f t="shared" si="0"/>
        <v>CSA18011=3HIW-S</v>
      </c>
    </row>
    <row r="67" spans="1:5">
      <c r="A67" s="168" t="s">
        <v>166</v>
      </c>
      <c r="B67" s="169" t="s">
        <v>167</v>
      </c>
      <c r="C67" s="169" t="s">
        <v>85</v>
      </c>
      <c r="D67" s="170">
        <f>IF(ISNUMBER(SEARCH(Checksheet!$U$11,B67)),MAX($D$1:D66)+1,"")</f>
        <v>66</v>
      </c>
      <c r="E67" s="170" t="str">
        <f t="shared" ref="E67:E130" si="1">IFERROR(INDEX($B:$B,MATCH(ROW()-1,$D:$D,0),1),"")</f>
        <v>CSA18012=4HIW-S</v>
      </c>
    </row>
    <row r="68" spans="1:5">
      <c r="A68" s="168" t="s">
        <v>168</v>
      </c>
      <c r="B68" s="169" t="s">
        <v>169</v>
      </c>
      <c r="C68" s="169" t="s">
        <v>85</v>
      </c>
      <c r="D68" s="170">
        <f>IF(ISNUMBER(SEARCH(Checksheet!$U$11,B68)),MAX($D$1:D67)+1,"")</f>
        <v>67</v>
      </c>
      <c r="E68" s="170" t="str">
        <f t="shared" si="1"/>
        <v>CSC18340=1HIW-S</v>
      </c>
    </row>
    <row r="69" spans="1:5">
      <c r="A69" s="168" t="s">
        <v>170</v>
      </c>
      <c r="B69" s="169" t="s">
        <v>171</v>
      </c>
      <c r="C69" s="169" t="s">
        <v>85</v>
      </c>
      <c r="D69" s="170">
        <f>IF(ISNUMBER(SEARCH(Checksheet!$U$11,B69)),MAX($D$1:D68)+1,"")</f>
        <v>68</v>
      </c>
      <c r="E69" s="170" t="str">
        <f t="shared" si="1"/>
        <v>CSC18337=1HIW-S</v>
      </c>
    </row>
    <row r="70" spans="1:5">
      <c r="A70" s="174" t="s">
        <v>172</v>
      </c>
      <c r="B70" s="174" t="s">
        <v>173</v>
      </c>
      <c r="C70" s="174" t="s">
        <v>85</v>
      </c>
      <c r="D70" s="170">
        <f>IF(ISNUMBER(SEARCH(Checksheet!$U$11,B70)),MAX($D$1:D69)+1,"")</f>
        <v>69</v>
      </c>
      <c r="E70" s="170" t="str">
        <f t="shared" si="1"/>
        <v>CSC18339=1HIW-S</v>
      </c>
    </row>
    <row r="71" spans="1:5">
      <c r="A71" s="174" t="s">
        <v>174</v>
      </c>
      <c r="B71" s="174" t="s">
        <v>175</v>
      </c>
      <c r="C71" s="174" t="s">
        <v>85</v>
      </c>
      <c r="D71" s="170">
        <f>IF(ISNUMBER(SEARCH(Checksheet!$U$11,B71)),MAX($D$1:D70)+1,"")</f>
        <v>70</v>
      </c>
      <c r="E71" s="170" t="str">
        <f t="shared" si="1"/>
        <v>CSA18072=2HIW-S</v>
      </c>
    </row>
    <row r="72" spans="1:5">
      <c r="A72" s="174" t="s">
        <v>176</v>
      </c>
      <c r="B72" s="174" t="s">
        <v>177</v>
      </c>
      <c r="C72" s="174" t="s">
        <v>85</v>
      </c>
      <c r="D72" s="170">
        <f>IF(ISNUMBER(SEARCH(Checksheet!$U$11,B72)),MAX($D$1:D71)+1,"")</f>
        <v>71</v>
      </c>
      <c r="E72" s="170" t="str">
        <f t="shared" si="1"/>
        <v>CSA18075=2HIW-S</v>
      </c>
    </row>
    <row r="73" spans="1:5">
      <c r="A73" s="174" t="s">
        <v>178</v>
      </c>
      <c r="B73" s="174" t="s">
        <v>179</v>
      </c>
      <c r="C73" s="174" t="s">
        <v>85</v>
      </c>
      <c r="D73" s="170">
        <f>IF(ISNUMBER(SEARCH(Checksheet!$U$11,B73)),MAX($D$1:D72)+1,"")</f>
        <v>72</v>
      </c>
      <c r="E73" s="170" t="str">
        <f t="shared" si="1"/>
        <v>CSA18070=3HIW-S</v>
      </c>
    </row>
    <row r="74" spans="1:5">
      <c r="A74" s="174" t="s">
        <v>180</v>
      </c>
      <c r="B74" s="174" t="s">
        <v>181</v>
      </c>
      <c r="C74" s="174" t="s">
        <v>85</v>
      </c>
      <c r="D74" s="170">
        <f>IF(ISNUMBER(SEARCH(Checksheet!$U$11,B74)),MAX($D$1:D73)+1,"")</f>
        <v>73</v>
      </c>
      <c r="E74" s="170" t="str">
        <f t="shared" si="1"/>
        <v>CSA18071=4HIW-S</v>
      </c>
    </row>
    <row r="75" spans="1:5">
      <c r="A75" s="174" t="s">
        <v>182</v>
      </c>
      <c r="B75" s="174" t="s">
        <v>183</v>
      </c>
      <c r="C75" s="174" t="s">
        <v>85</v>
      </c>
      <c r="D75" s="170">
        <f>IF(ISNUMBER(SEARCH(Checksheet!$U$11,B75)),MAX($D$1:D74)+1,"")</f>
        <v>74</v>
      </c>
      <c r="E75" s="170" t="str">
        <f t="shared" si="1"/>
        <v>CCA18052=1HIW-S</v>
      </c>
    </row>
    <row r="76" spans="1:5">
      <c r="A76" s="174" t="s">
        <v>184</v>
      </c>
      <c r="B76" s="174" t="s">
        <v>185</v>
      </c>
      <c r="C76" s="174" t="s">
        <v>85</v>
      </c>
      <c r="D76" s="170">
        <f>IF(ISNUMBER(SEARCH(Checksheet!$U$11,B76)),MAX($D$1:D75)+1,"")</f>
        <v>75</v>
      </c>
      <c r="E76" s="170" t="str">
        <f t="shared" si="1"/>
        <v>CSA18109=2HIWｺﾈｸﾀﾍﾝｺｳS</v>
      </c>
    </row>
    <row r="77" spans="1:5">
      <c r="A77" s="174" t="s">
        <v>186</v>
      </c>
      <c r="B77" s="174" t="s">
        <v>187</v>
      </c>
      <c r="C77" s="174" t="s">
        <v>188</v>
      </c>
      <c r="D77" s="170">
        <f>IF(ISNUMBER(SEARCH(Checksheet!$U$11,B77)),MAX($D$1:D76)+1,"")</f>
        <v>76</v>
      </c>
      <c r="E77" s="170" t="str">
        <f t="shared" si="1"/>
        <v>CCA18005=3AIW-S</v>
      </c>
    </row>
    <row r="78" spans="1:5">
      <c r="A78" s="174" t="s">
        <v>189</v>
      </c>
      <c r="B78" s="174" t="s">
        <v>190</v>
      </c>
      <c r="C78" s="174" t="s">
        <v>188</v>
      </c>
      <c r="D78" s="170">
        <f>IF(ISNUMBER(SEARCH(Checksheet!$U$11,B78)),MAX($D$1:D77)+1,"")</f>
        <v>77</v>
      </c>
      <c r="E78" s="170" t="str">
        <f t="shared" si="1"/>
        <v>CCA18006=2AIW-S</v>
      </c>
    </row>
    <row r="79" spans="1:5">
      <c r="A79" s="174" t="s">
        <v>191</v>
      </c>
      <c r="B79" s="174" t="s">
        <v>192</v>
      </c>
      <c r="C79" s="174" t="s">
        <v>188</v>
      </c>
      <c r="D79" s="170">
        <f>IF(ISNUMBER(SEARCH(Checksheet!$U$11,B79)),MAX($D$1:D78)+1,"")</f>
        <v>78</v>
      </c>
      <c r="E79" s="170" t="str">
        <f t="shared" si="1"/>
        <v>CCA18008=3AIW-S</v>
      </c>
    </row>
    <row r="80" spans="1:5">
      <c r="A80" s="174" t="s">
        <v>193</v>
      </c>
      <c r="B80" s="174" t="s">
        <v>194</v>
      </c>
      <c r="C80" s="174" t="s">
        <v>188</v>
      </c>
      <c r="D80" s="170">
        <f>IF(ISNUMBER(SEARCH(Checksheet!$U$11,B80)),MAX($D$1:D79)+1,"")</f>
        <v>79</v>
      </c>
      <c r="E80" s="170" t="str">
        <f t="shared" si="1"/>
        <v>CCA18014=2AIW-S</v>
      </c>
    </row>
    <row r="81" spans="1:5">
      <c r="A81" s="174" t="s">
        <v>195</v>
      </c>
      <c r="B81" s="174" t="s">
        <v>196</v>
      </c>
      <c r="C81" s="174" t="s">
        <v>188</v>
      </c>
      <c r="D81" s="170">
        <f>IF(ISNUMBER(SEARCH(Checksheet!$U$11,B81)),MAX($D$1:D80)+1,"")</f>
        <v>80</v>
      </c>
      <c r="E81" s="170" t="str">
        <f t="shared" si="1"/>
        <v>CCA18004=4AIW-S</v>
      </c>
    </row>
    <row r="82" spans="1:5">
      <c r="A82" s="174" t="s">
        <v>197</v>
      </c>
      <c r="B82" s="174" t="s">
        <v>198</v>
      </c>
      <c r="C82" s="174" t="s">
        <v>188</v>
      </c>
      <c r="D82" s="170">
        <f>IF(ISNUMBER(SEARCH(Checksheet!$U$11,B82)),MAX($D$1:D81)+1,"")</f>
        <v>81</v>
      </c>
      <c r="E82" s="170" t="str">
        <f t="shared" si="1"/>
        <v>CCA19005=4AIW-S</v>
      </c>
    </row>
    <row r="83" spans="1:5">
      <c r="A83" s="174" t="s">
        <v>199</v>
      </c>
      <c r="B83" s="174" t="s">
        <v>200</v>
      </c>
      <c r="C83" s="174" t="s">
        <v>188</v>
      </c>
      <c r="D83" s="170">
        <f>IF(ISNUMBER(SEARCH(Checksheet!$U$11,B83)),MAX($D$1:D82)+1,"")</f>
        <v>82</v>
      </c>
      <c r="E83" s="170" t="str">
        <f t="shared" si="1"/>
        <v>CCA18009=3AIW-S</v>
      </c>
    </row>
    <row r="84" spans="1:5">
      <c r="A84" s="174" t="s">
        <v>201</v>
      </c>
      <c r="B84" s="174" t="s">
        <v>202</v>
      </c>
      <c r="C84" s="174" t="s">
        <v>188</v>
      </c>
      <c r="D84" s="170">
        <f>IF(ISNUMBER(SEARCH(Checksheet!$U$11,B84)),MAX($D$1:D83)+1,"")</f>
        <v>83</v>
      </c>
      <c r="E84" s="170" t="str">
        <f t="shared" si="1"/>
        <v>CCA18016=2AIW-S</v>
      </c>
    </row>
    <row r="85" spans="1:5">
      <c r="A85" s="174" t="s">
        <v>203</v>
      </c>
      <c r="B85" s="174" t="s">
        <v>204</v>
      </c>
      <c r="C85" s="174" t="s">
        <v>205</v>
      </c>
      <c r="D85" s="170">
        <f>IF(ISNUMBER(SEARCH(Checksheet!$U$11,B85)),MAX($D$1:D84)+1,"")</f>
        <v>84</v>
      </c>
      <c r="E85" s="170" t="str">
        <f t="shared" si="1"/>
        <v>CCA19050=3NSK-S</v>
      </c>
    </row>
    <row r="86" spans="1:5">
      <c r="A86" s="174" t="s">
        <v>206</v>
      </c>
      <c r="B86" s="174" t="s">
        <v>207</v>
      </c>
      <c r="C86" s="174" t="s">
        <v>205</v>
      </c>
      <c r="D86" s="170">
        <f>IF(ISNUMBER(SEARCH(Checksheet!$U$11,B86)),MAX($D$1:D85)+1,"")</f>
        <v>85</v>
      </c>
      <c r="E86" s="170" t="str">
        <f t="shared" si="1"/>
        <v>CCA18155=2NSK-S</v>
      </c>
    </row>
    <row r="87" spans="1:5">
      <c r="A87" s="174" t="s">
        <v>208</v>
      </c>
      <c r="B87" s="174" t="s">
        <v>209</v>
      </c>
      <c r="C87" s="174" t="s">
        <v>205</v>
      </c>
      <c r="D87" s="170">
        <f>IF(ISNUMBER(SEARCH(Checksheet!$U$11,B87)),MAX($D$1:D86)+1,"")</f>
        <v>86</v>
      </c>
      <c r="E87" s="170" t="str">
        <f t="shared" si="1"/>
        <v>CCA18157=3NSK-S</v>
      </c>
    </row>
    <row r="88" spans="1:5">
      <c r="A88" s="174" t="s">
        <v>210</v>
      </c>
      <c r="B88" s="174" t="s">
        <v>211</v>
      </c>
      <c r="C88" s="174" t="s">
        <v>205</v>
      </c>
      <c r="D88" s="170">
        <f>IF(ISNUMBER(SEARCH(Checksheet!$U$11,B88)),MAX($D$1:D87)+1,"")</f>
        <v>87</v>
      </c>
      <c r="E88" s="170" t="str">
        <f t="shared" si="1"/>
        <v>CCA18159=3NSK-S</v>
      </c>
    </row>
    <row r="89" spans="1:5">
      <c r="A89" s="174">
        <v>1354100140</v>
      </c>
      <c r="B89" s="174" t="s">
        <v>212</v>
      </c>
      <c r="C89" s="174" t="s">
        <v>213</v>
      </c>
      <c r="D89" s="170">
        <f>IF(ISNUMBER(SEARCH(Checksheet!$U$11,B89)),MAX($D$1:D88)+1,"")</f>
        <v>88</v>
      </c>
      <c r="E89" s="170" t="str">
        <f t="shared" si="1"/>
        <v>3P5JQ9549Aﾜｲﾔｰﾆﾎﾝｾｲ-S</v>
      </c>
    </row>
    <row r="90" spans="1:5">
      <c r="A90" s="174">
        <v>1354100139</v>
      </c>
      <c r="B90" s="174" t="s">
        <v>214</v>
      </c>
      <c r="C90" s="174" t="s">
        <v>213</v>
      </c>
      <c r="D90" s="170">
        <f>IF(ISNUMBER(SEARCH(Checksheet!$U$11,B90)),MAX($D$1:D89)+1,"")</f>
        <v>89</v>
      </c>
      <c r="E90" s="170" t="str">
        <f t="shared" si="1"/>
        <v>3P5JQ9549Bﾜｲﾔｰﾆﾎﾝｾｲ-S</v>
      </c>
    </row>
    <row r="91" spans="1:5">
      <c r="A91" s="174">
        <v>1354100143</v>
      </c>
      <c r="B91" s="174" t="s">
        <v>215</v>
      </c>
      <c r="C91" s="174" t="s">
        <v>213</v>
      </c>
      <c r="D91" s="170">
        <f>IF(ISNUMBER(SEARCH(Checksheet!$U$11,B91)),MAX($D$1:D90)+1,"")</f>
        <v>90</v>
      </c>
      <c r="E91" s="170" t="str">
        <f t="shared" si="1"/>
        <v>3P5JR0528A-S</v>
      </c>
    </row>
    <row r="92" spans="1:5">
      <c r="A92" s="174">
        <v>1354100111</v>
      </c>
      <c r="B92" s="174" t="s">
        <v>216</v>
      </c>
      <c r="C92" s="174" t="s">
        <v>213</v>
      </c>
      <c r="D92" s="170">
        <f>IF(ISNUMBER(SEARCH(Checksheet!$U$11,B92)),MAX($D$1:D91)+1,"")</f>
        <v>91</v>
      </c>
      <c r="E92" s="170" t="str">
        <f t="shared" si="1"/>
        <v>3P5JN9377Eﾜｲﾔｰﾆﾎﾝｾｲ-S</v>
      </c>
    </row>
    <row r="93" spans="1:5">
      <c r="A93" s="174">
        <v>1354100121</v>
      </c>
      <c r="B93" s="174" t="s">
        <v>217</v>
      </c>
      <c r="C93" s="174" t="s">
        <v>213</v>
      </c>
      <c r="D93" s="170">
        <f>IF(ISNUMBER(SEARCH(Checksheet!$U$11,B93)),MAX($D$1:D92)+1,"")</f>
        <v>92</v>
      </c>
      <c r="E93" s="170" t="str">
        <f t="shared" si="1"/>
        <v>3P5JP8411Aﾜｲﾔｰﾆﾎﾝｾｲ</v>
      </c>
    </row>
    <row r="94" spans="1:5">
      <c r="A94" s="174">
        <v>1354100133</v>
      </c>
      <c r="B94" s="174" t="s">
        <v>218</v>
      </c>
      <c r="C94" s="174" t="s">
        <v>213</v>
      </c>
      <c r="D94" s="170">
        <f>IF(ISNUMBER(SEARCH(Checksheet!$U$11,B94)),MAX($D$1:D93)+1,"")</f>
        <v>93</v>
      </c>
      <c r="E94" s="170" t="str">
        <f t="shared" si="1"/>
        <v>3P5JQ5225Aﾜｲﾔｰﾆﾎﾝｾｲ-S</v>
      </c>
    </row>
    <row r="95" spans="1:5">
      <c r="A95" s="174">
        <v>1354100138</v>
      </c>
      <c r="B95" s="174" t="s">
        <v>219</v>
      </c>
      <c r="C95" s="174" t="s">
        <v>213</v>
      </c>
      <c r="D95" s="170">
        <f>IF(ISNUMBER(SEARCH(Checksheet!$U$11,B95)),MAX($D$1:D94)+1,"")</f>
        <v>94</v>
      </c>
      <c r="E95" s="170" t="str">
        <f t="shared" si="1"/>
        <v>3P5JN9377F ﾜｲﾔｰﾆﾎﾝｾｲ-S</v>
      </c>
    </row>
    <row r="96" spans="1:5">
      <c r="A96" s="174">
        <v>1354100113</v>
      </c>
      <c r="B96" s="174" t="s">
        <v>220</v>
      </c>
      <c r="C96" s="174" t="s">
        <v>213</v>
      </c>
      <c r="D96" s="170">
        <f>IF(ISNUMBER(SEARCH(Checksheet!$U$11,B96)),MAX($D$1:D95)+1,"")</f>
        <v>95</v>
      </c>
      <c r="E96" s="170" t="str">
        <f t="shared" si="1"/>
        <v>3P5JP4067Aﾜｲﾔｰﾆﾎﾝｾｲ</v>
      </c>
    </row>
    <row r="97" spans="1:5">
      <c r="A97" s="174">
        <v>1354100114</v>
      </c>
      <c r="B97" s="174" t="s">
        <v>221</v>
      </c>
      <c r="C97" s="174" t="s">
        <v>213</v>
      </c>
      <c r="D97" s="170">
        <f>IF(ISNUMBER(SEARCH(Checksheet!$U$11,B97)),MAX($D$1:D96)+1,"")</f>
        <v>96</v>
      </c>
      <c r="E97" s="170" t="str">
        <f t="shared" si="1"/>
        <v>3P5JP4067Bﾜｲﾔｰﾆﾎﾝｾｲ</v>
      </c>
    </row>
    <row r="98" spans="1:5">
      <c r="A98" s="174">
        <v>1354100122</v>
      </c>
      <c r="B98" s="174" t="s">
        <v>222</v>
      </c>
      <c r="C98" s="174" t="s">
        <v>213</v>
      </c>
      <c r="D98" s="170">
        <f>IF(ISNUMBER(SEARCH(Checksheet!$U$11,B98)),MAX($D$1:D97)+1,"")</f>
        <v>97</v>
      </c>
      <c r="E98" s="170" t="str">
        <f t="shared" si="1"/>
        <v>3P5JP9766Aﾜｲﾔｰﾆﾎﾝｾｲ-S</v>
      </c>
    </row>
    <row r="99" spans="1:5">
      <c r="A99" s="174">
        <v>1354100123</v>
      </c>
      <c r="B99" s="174" t="s">
        <v>223</v>
      </c>
      <c r="C99" s="174" t="s">
        <v>213</v>
      </c>
      <c r="D99" s="170">
        <f>IF(ISNUMBER(SEARCH(Checksheet!$U$11,B99)),MAX($D$1:D98)+1,"")</f>
        <v>98</v>
      </c>
      <c r="E99" s="170" t="str">
        <f t="shared" si="1"/>
        <v>3P5JP9766Bﾜｲﾔｰﾆﾎﾝｾｲ-S</v>
      </c>
    </row>
    <row r="100" spans="1:5">
      <c r="A100" s="174">
        <v>1354100124</v>
      </c>
      <c r="B100" s="174" t="s">
        <v>224</v>
      </c>
      <c r="C100" s="174" t="s">
        <v>213</v>
      </c>
      <c r="D100" s="170">
        <f>IF(ISNUMBER(SEARCH(Checksheet!$U$11,B100)),MAX($D$1:D99)+1,"")</f>
        <v>99</v>
      </c>
      <c r="E100" s="170" t="str">
        <f t="shared" si="1"/>
        <v>3P5JP9767Aﾜｲﾔｰﾆﾎﾝｾｲ-S</v>
      </c>
    </row>
    <row r="101" spans="1:5">
      <c r="A101" s="174">
        <v>1354100125</v>
      </c>
      <c r="B101" s="174" t="s">
        <v>225</v>
      </c>
      <c r="C101" s="174" t="s">
        <v>213</v>
      </c>
      <c r="D101" s="170">
        <f>IF(ISNUMBER(SEARCH(Checksheet!$U$11,B101)),MAX($D$1:D100)+1,"")</f>
        <v>100</v>
      </c>
      <c r="E101" s="170" t="str">
        <f t="shared" si="1"/>
        <v>3P5JP9767Bﾜｲﾔｰﾆﾎﾝｾｲ-S</v>
      </c>
    </row>
    <row r="102" spans="1:5">
      <c r="A102" s="174">
        <v>1354100126</v>
      </c>
      <c r="B102" s="174" t="s">
        <v>226</v>
      </c>
      <c r="C102" s="174" t="s">
        <v>213</v>
      </c>
      <c r="D102" s="170">
        <f>IF(ISNUMBER(SEARCH(Checksheet!$U$11,B102)),MAX($D$1:D101)+1,"")</f>
        <v>101</v>
      </c>
      <c r="E102" s="170" t="str">
        <f t="shared" si="1"/>
        <v>3P5JP9767Cﾜｲﾔｰﾆﾎﾝｾｲ</v>
      </c>
    </row>
    <row r="103" spans="1:5">
      <c r="A103" s="174">
        <v>1354100135</v>
      </c>
      <c r="B103" s="174" t="s">
        <v>227</v>
      </c>
      <c r="C103" s="174" t="s">
        <v>213</v>
      </c>
      <c r="D103" s="170">
        <f>IF(ISNUMBER(SEARCH(Checksheet!$U$11,B103)),MAX($D$1:D102)+1,"")</f>
        <v>102</v>
      </c>
      <c r="E103" s="170" t="str">
        <f t="shared" si="1"/>
        <v>3P5JP4067Cﾜｲﾔｰﾆﾎﾝｾｲ-S</v>
      </c>
    </row>
    <row r="104" spans="1:5">
      <c r="A104" s="174">
        <v>1354100136</v>
      </c>
      <c r="B104" s="174" t="s">
        <v>228</v>
      </c>
      <c r="C104" s="174" t="s">
        <v>213</v>
      </c>
      <c r="D104" s="170">
        <f>IF(ISNUMBER(SEARCH(Checksheet!$U$11,B104)),MAX($D$1:D103)+1,"")</f>
        <v>103</v>
      </c>
      <c r="E104" s="170" t="str">
        <f t="shared" si="1"/>
        <v>3P5JP9767Dﾜｲﾔｰﾆﾎﾝｾｲ-S</v>
      </c>
    </row>
    <row r="105" spans="1:5">
      <c r="A105" s="174">
        <v>1354100065</v>
      </c>
      <c r="B105" s="174" t="s">
        <v>229</v>
      </c>
      <c r="C105" s="174" t="s">
        <v>213</v>
      </c>
      <c r="D105" s="170">
        <f>IF(ISNUMBER(SEARCH(Checksheet!$U$11,B105)),MAX($D$1:D104)+1,"")</f>
        <v>104</v>
      </c>
      <c r="E105" s="170" t="str">
        <f t="shared" si="1"/>
        <v>3P7ZP3926B-S</v>
      </c>
    </row>
    <row r="106" spans="1:5">
      <c r="A106" s="174">
        <v>1354100063</v>
      </c>
      <c r="B106" s="174" t="s">
        <v>230</v>
      </c>
      <c r="C106" s="174" t="s">
        <v>213</v>
      </c>
      <c r="D106" s="170">
        <f>IF(ISNUMBER(SEARCH(Checksheet!$U$11,B106)),MAX($D$1:D105)+1,"")</f>
        <v>105</v>
      </c>
      <c r="E106" s="170" t="str">
        <f t="shared" si="1"/>
        <v>3P7ZP3926C</v>
      </c>
    </row>
    <row r="107" spans="1:5">
      <c r="A107" s="174">
        <v>1354100132</v>
      </c>
      <c r="B107" s="174" t="s">
        <v>231</v>
      </c>
      <c r="C107" s="174" t="s">
        <v>213</v>
      </c>
      <c r="D107" s="170">
        <f>IF(ISNUMBER(SEARCH(Checksheet!$U$11,B107)),MAX($D$1:D106)+1,"")</f>
        <v>106</v>
      </c>
      <c r="E107" s="170" t="str">
        <f t="shared" si="1"/>
        <v>3B1ZP8683C-S</v>
      </c>
    </row>
    <row r="108" spans="1:5">
      <c r="A108" s="174">
        <v>1354100073</v>
      </c>
      <c r="B108" s="174" t="s">
        <v>232</v>
      </c>
      <c r="C108" s="174" t="s">
        <v>213</v>
      </c>
      <c r="D108" s="170">
        <f>IF(ISNUMBER(SEARCH(Checksheet!$U$11,B108)),MAX($D$1:D107)+1,"")</f>
        <v>107</v>
      </c>
      <c r="E108" s="170" t="str">
        <f t="shared" si="1"/>
        <v>2R4PL71151-S</v>
      </c>
    </row>
    <row r="109" spans="1:5">
      <c r="A109" s="174">
        <v>1354100115</v>
      </c>
      <c r="B109" s="174" t="s">
        <v>233</v>
      </c>
      <c r="C109" s="174" t="s">
        <v>213</v>
      </c>
      <c r="D109" s="170">
        <f>IF(ISNUMBER(SEARCH(Checksheet!$U$11,B109)),MAX($D$1:D108)+1,"")</f>
        <v>108</v>
      </c>
      <c r="E109" s="170" t="str">
        <f t="shared" si="1"/>
        <v>3P5JP4068Aﾜｲﾔｰﾆﾎﾝｾｲ</v>
      </c>
    </row>
    <row r="110" spans="1:5">
      <c r="A110" s="174">
        <v>1354100118</v>
      </c>
      <c r="B110" s="174" t="s">
        <v>234</v>
      </c>
      <c r="C110" s="174" t="s">
        <v>213</v>
      </c>
      <c r="D110" s="170">
        <f>IF(ISNUMBER(SEARCH(Checksheet!$U$11,B110)),MAX($D$1:D109)+1,"")</f>
        <v>109</v>
      </c>
      <c r="E110" s="170" t="str">
        <f t="shared" si="1"/>
        <v>3P5JP4070Aﾜｲﾔｰﾆﾎﾝｾｲ</v>
      </c>
    </row>
    <row r="111" spans="1:5">
      <c r="A111" s="174">
        <v>1354100120</v>
      </c>
      <c r="B111" s="174" t="s">
        <v>235</v>
      </c>
      <c r="C111" s="174" t="s">
        <v>213</v>
      </c>
      <c r="D111" s="170">
        <f>IF(ISNUMBER(SEARCH(Checksheet!$U$11,B111)),MAX($D$1:D110)+1,"")</f>
        <v>110</v>
      </c>
      <c r="E111" s="170" t="str">
        <f t="shared" si="1"/>
        <v>3P5JP4072Cﾜｲﾔｰﾆﾎﾝｾｲ</v>
      </c>
    </row>
    <row r="112" spans="1:5">
      <c r="A112" s="174">
        <v>1354100127</v>
      </c>
      <c r="B112" s="174" t="s">
        <v>236</v>
      </c>
      <c r="C112" s="174" t="s">
        <v>213</v>
      </c>
      <c r="D112" s="170">
        <f>IF(ISNUMBER(SEARCH(Checksheet!$U$11,B112)),MAX($D$1:D111)+1,"")</f>
        <v>111</v>
      </c>
      <c r="E112" s="170" t="str">
        <f t="shared" si="1"/>
        <v>3P5JQ4048Aﾜｲﾔｰﾆﾎﾝｾｲ-S</v>
      </c>
    </row>
    <row r="113" spans="1:5">
      <c r="A113" s="174">
        <v>1354100129</v>
      </c>
      <c r="B113" s="174" t="s">
        <v>237</v>
      </c>
      <c r="C113" s="174" t="s">
        <v>213</v>
      </c>
      <c r="D113" s="170">
        <f>IF(ISNUMBER(SEARCH(Checksheet!$U$11,B113)),MAX($D$1:D112)+1,"")</f>
        <v>112</v>
      </c>
      <c r="E113" s="170" t="str">
        <f t="shared" si="1"/>
        <v>2R4PL90782-S</v>
      </c>
    </row>
    <row r="114" spans="1:5">
      <c r="A114" s="174">
        <v>1354100130</v>
      </c>
      <c r="B114" s="174" t="s">
        <v>238</v>
      </c>
      <c r="C114" s="174" t="s">
        <v>213</v>
      </c>
      <c r="D114" s="170">
        <f>IF(ISNUMBER(SEARCH(Checksheet!$U$11,B114)),MAX($D$1:D113)+1,"")</f>
        <v>113</v>
      </c>
      <c r="E114" s="170" t="str">
        <f t="shared" si="1"/>
        <v>2R4PL90903-S</v>
      </c>
    </row>
    <row r="115" spans="1:5">
      <c r="A115" s="174">
        <v>1354100131</v>
      </c>
      <c r="B115" s="174" t="s">
        <v>239</v>
      </c>
      <c r="C115" s="174" t="s">
        <v>213</v>
      </c>
      <c r="D115" s="170">
        <f>IF(ISNUMBER(SEARCH(Checksheet!$U$11,B115)),MAX($D$1:D114)+1,"")</f>
        <v>114</v>
      </c>
      <c r="E115" s="170" t="str">
        <f t="shared" si="1"/>
        <v>2R4PL90904-S</v>
      </c>
    </row>
    <row r="116" spans="1:5">
      <c r="A116" s="174">
        <v>1354100007</v>
      </c>
      <c r="B116" s="174" t="s">
        <v>240</v>
      </c>
      <c r="C116" s="174" t="s">
        <v>213</v>
      </c>
      <c r="D116" s="170">
        <f>IF(ISNUMBER(SEARCH(Checksheet!$U$11,B116)),MAX($D$1:D115)+1,"")</f>
        <v>115</v>
      </c>
      <c r="E116" s="170" t="str">
        <f t="shared" si="1"/>
        <v>3P5JN1497C-S</v>
      </c>
    </row>
    <row r="117" spans="1:5">
      <c r="A117" s="174">
        <v>1354100109</v>
      </c>
      <c r="B117" s="174" t="s">
        <v>241</v>
      </c>
      <c r="C117" s="174" t="s">
        <v>213</v>
      </c>
      <c r="D117" s="170">
        <f>IF(ISNUMBER(SEARCH(Checksheet!$U$11,B117)),MAX($D$1:D116)+1,"")</f>
        <v>116</v>
      </c>
      <c r="E117" s="170" t="str">
        <f t="shared" si="1"/>
        <v>3P5JN9376Bﾜｲﾔｰﾆﾎﾝｾｲ-S</v>
      </c>
    </row>
    <row r="118" spans="1:5">
      <c r="A118" s="174">
        <v>1354100112</v>
      </c>
      <c r="B118" s="174" t="s">
        <v>242</v>
      </c>
      <c r="C118" s="174" t="s">
        <v>213</v>
      </c>
      <c r="D118" s="170">
        <f>IF(ISNUMBER(SEARCH(Checksheet!$U$11,B118)),MAX($D$1:D117)+1,"")</f>
        <v>117</v>
      </c>
      <c r="E118" s="170" t="str">
        <f t="shared" si="1"/>
        <v>3P5JP4038Aﾜｲﾔｰﾆﾎﾝｾｲ-S</v>
      </c>
    </row>
    <row r="119" spans="1:5">
      <c r="A119" s="174">
        <v>1354100031</v>
      </c>
      <c r="B119" s="174" t="s">
        <v>243</v>
      </c>
      <c r="C119" s="174" t="s">
        <v>213</v>
      </c>
      <c r="D119" s="170">
        <f>IF(ISNUMBER(SEARCH(Checksheet!$U$11,B119)),MAX($D$1:D118)+1,"")</f>
        <v>118</v>
      </c>
      <c r="E119" s="170" t="str">
        <f t="shared" si="1"/>
        <v>3P7ZN1577C-S</v>
      </c>
    </row>
    <row r="120" spans="1:5">
      <c r="A120" s="174">
        <v>1354100027</v>
      </c>
      <c r="B120" s="174" t="s">
        <v>244</v>
      </c>
      <c r="C120" s="174" t="s">
        <v>213</v>
      </c>
      <c r="D120" s="170">
        <f>IF(ISNUMBER(SEARCH(Checksheet!$U$11,B120)),MAX($D$1:D119)+1,"")</f>
        <v>119</v>
      </c>
      <c r="E120" s="170" t="str">
        <f t="shared" si="1"/>
        <v>3B2ZN8450A-S</v>
      </c>
    </row>
    <row r="121" spans="1:5">
      <c r="A121" s="174">
        <v>1354100030</v>
      </c>
      <c r="B121" s="174" t="s">
        <v>245</v>
      </c>
      <c r="C121" s="174" t="s">
        <v>213</v>
      </c>
      <c r="D121" s="170">
        <f>IF(ISNUMBER(SEARCH(Checksheet!$U$11,B121)),MAX($D$1:D120)+1,"")</f>
        <v>120</v>
      </c>
      <c r="E121" s="170" t="str">
        <f t="shared" si="1"/>
        <v>3B2ZN8451C-S</v>
      </c>
    </row>
    <row r="122" spans="1:5">
      <c r="A122" s="174">
        <v>1354100137</v>
      </c>
      <c r="B122" s="174" t="s">
        <v>246</v>
      </c>
      <c r="C122" s="174" t="s">
        <v>213</v>
      </c>
      <c r="D122" s="170">
        <f>IF(ISNUMBER(SEARCH(Checksheet!$U$11,B122)),MAX($D$1:D121)+1,"")</f>
        <v>121</v>
      </c>
      <c r="E122" s="170" t="str">
        <f t="shared" si="1"/>
        <v>3P5JQ7347A-S</v>
      </c>
    </row>
    <row r="123" spans="1:5">
      <c r="A123" s="174">
        <v>1354100034</v>
      </c>
      <c r="B123" s="174" t="s">
        <v>247</v>
      </c>
      <c r="C123" s="174" t="s">
        <v>213</v>
      </c>
      <c r="D123" s="170">
        <f>IF(ISNUMBER(SEARCH(Checksheet!$U$11,B123)),MAX($D$1:D122)+1,"")</f>
        <v>122</v>
      </c>
      <c r="E123" s="170" t="str">
        <f t="shared" si="1"/>
        <v>3P7ZN1580D-S</v>
      </c>
    </row>
    <row r="124" spans="1:5">
      <c r="A124" s="174">
        <v>1354100097</v>
      </c>
      <c r="B124" s="174" t="s">
        <v>248</v>
      </c>
      <c r="C124" s="174" t="s">
        <v>213</v>
      </c>
      <c r="D124" s="170">
        <f>IF(ISNUMBER(SEARCH(Checksheet!$U$11,B124)),MAX($D$1:D123)+1,"")</f>
        <v>123</v>
      </c>
      <c r="E124" s="170" t="str">
        <f t="shared" si="1"/>
        <v>3B1ZP8683A-S</v>
      </c>
    </row>
    <row r="125" spans="1:5">
      <c r="A125" s="174">
        <v>1354100144</v>
      </c>
      <c r="B125" s="174" t="s">
        <v>249</v>
      </c>
      <c r="C125" s="174" t="s">
        <v>213</v>
      </c>
      <c r="D125" s="170">
        <f>IF(ISNUMBER(SEARCH(Checksheet!$U$11,B125)),MAX($D$1:D124)+1,"")</f>
        <v>124</v>
      </c>
      <c r="E125" s="170" t="str">
        <f t="shared" si="1"/>
        <v>3P5JR1850A-S</v>
      </c>
    </row>
    <row r="126" spans="1:5">
      <c r="A126" s="174">
        <v>1354100145</v>
      </c>
      <c r="B126" s="174" t="s">
        <v>250</v>
      </c>
      <c r="C126" s="174" t="s">
        <v>213</v>
      </c>
      <c r="D126" s="170">
        <f>IF(ISNUMBER(SEARCH(Checksheet!$U$11,B126)),MAX($D$1:D125)+1,"")</f>
        <v>125</v>
      </c>
      <c r="E126" s="170" t="str">
        <f t="shared" si="1"/>
        <v>3P5JR2509Aﾜｲﾔｰﾆﾎﾝｾｲ-Ｓ</v>
      </c>
    </row>
    <row r="127" spans="1:5">
      <c r="A127" s="174">
        <v>1354100148</v>
      </c>
      <c r="B127" s="174" t="s">
        <v>251</v>
      </c>
      <c r="C127" s="174" t="s">
        <v>213</v>
      </c>
      <c r="D127" s="170">
        <f>IF(ISNUMBER(SEARCH(Checksheet!$U$11,B127)),MAX($D$1:D126)+1,"")</f>
        <v>126</v>
      </c>
      <c r="E127" s="170" t="str">
        <f t="shared" si="1"/>
        <v>3P5JQ9549C-S</v>
      </c>
    </row>
    <row r="128" spans="1:5">
      <c r="A128" s="174">
        <v>1354100149</v>
      </c>
      <c r="B128" s="174" t="s">
        <v>252</v>
      </c>
      <c r="C128" s="174" t="s">
        <v>213</v>
      </c>
      <c r="D128" s="170">
        <f>IF(ISNUMBER(SEARCH(Checksheet!$U$11,B128)),MAX($D$1:D127)+1,"")</f>
        <v>127</v>
      </c>
      <c r="E128" s="170" t="str">
        <f t="shared" si="1"/>
        <v>3P5JQ9549D-S</v>
      </c>
    </row>
    <row r="129" spans="1:5">
      <c r="A129" s="174">
        <v>1354100150</v>
      </c>
      <c r="B129" s="174" t="s">
        <v>253</v>
      </c>
      <c r="C129" s="174" t="s">
        <v>213</v>
      </c>
      <c r="D129" s="170">
        <f>IF(ISNUMBER(SEARCH(Checksheet!$U$11,B129)),MAX($D$1:D128)+1,"")</f>
        <v>128</v>
      </c>
      <c r="E129" s="170" t="str">
        <f t="shared" si="1"/>
        <v>3P5JP4067F-S</v>
      </c>
    </row>
    <row r="130" spans="1:5">
      <c r="A130" s="174">
        <v>1354100151</v>
      </c>
      <c r="B130" s="174" t="s">
        <v>254</v>
      </c>
      <c r="C130" s="174" t="s">
        <v>213</v>
      </c>
      <c r="D130" s="170">
        <f>IF(ISNUMBER(SEARCH(Checksheet!$U$11,B130)),MAX($D$1:D129)+1,"")</f>
        <v>129</v>
      </c>
      <c r="E130" s="170" t="str">
        <f t="shared" si="1"/>
        <v>3P5JP9767F-S</v>
      </c>
    </row>
    <row r="131" spans="1:5">
      <c r="A131" s="174">
        <v>1354100152</v>
      </c>
      <c r="B131" s="174" t="s">
        <v>255</v>
      </c>
      <c r="C131" s="174" t="s">
        <v>213</v>
      </c>
      <c r="D131" s="170">
        <f>IF(ISNUMBER(SEARCH(Checksheet!$U$11,B131)),MAX($D$1:D130)+1,"")</f>
        <v>130</v>
      </c>
      <c r="E131" s="170" t="str">
        <f t="shared" ref="E131:E194" si="2">IFERROR(INDEX($B:$B,MATCH(ROW()-1,$D:$D,0),1),"")</f>
        <v>3P5JP9767H-S</v>
      </c>
    </row>
    <row r="132" spans="1:5">
      <c r="A132" s="174">
        <v>1354100032</v>
      </c>
      <c r="B132" s="174" t="s">
        <v>256</v>
      </c>
      <c r="C132" s="174" t="s">
        <v>213</v>
      </c>
      <c r="D132" s="170">
        <f>IF(ISNUMBER(SEARCH(Checksheet!$U$11,B132)),MAX($D$1:D131)+1,"")</f>
        <v>131</v>
      </c>
      <c r="E132" s="170" t="str">
        <f t="shared" si="2"/>
        <v>3P7ZN1578B-S</v>
      </c>
    </row>
    <row r="133" spans="1:5">
      <c r="A133" s="174">
        <v>1354100074</v>
      </c>
      <c r="B133" s="174" t="s">
        <v>257</v>
      </c>
      <c r="C133" s="174" t="s">
        <v>213</v>
      </c>
      <c r="D133" s="170">
        <f>IF(ISNUMBER(SEARCH(Checksheet!$U$11,B133)),MAX($D$1:D132)+1,"")</f>
        <v>132</v>
      </c>
      <c r="E133" s="170" t="str">
        <f t="shared" si="2"/>
        <v>2R4PL71191-S</v>
      </c>
    </row>
    <row r="134" spans="1:5">
      <c r="A134" s="174">
        <v>1354100070</v>
      </c>
      <c r="B134" s="174" t="s">
        <v>258</v>
      </c>
      <c r="C134" s="174" t="s">
        <v>213</v>
      </c>
      <c r="D134" s="170">
        <f>IF(ISNUMBER(SEARCH(Checksheet!$U$11,B134)),MAX($D$1:D133)+1,"")</f>
        <v>133</v>
      </c>
      <c r="E134" s="170" t="str">
        <f t="shared" si="2"/>
        <v>3B2ZN8451D-S</v>
      </c>
    </row>
    <row r="135" spans="1:5">
      <c r="A135" s="174" t="s">
        <v>259</v>
      </c>
      <c r="B135" s="174" t="s">
        <v>260</v>
      </c>
      <c r="C135" s="174" t="s">
        <v>261</v>
      </c>
      <c r="D135" s="170">
        <f>IF(ISNUMBER(SEARCH(Checksheet!$U$11,B135)),MAX($D$1:D134)+1,"")</f>
        <v>134</v>
      </c>
      <c r="E135" s="170" t="str">
        <f t="shared" si="2"/>
        <v>BB0046385A-002</v>
      </c>
    </row>
    <row r="136" spans="1:5">
      <c r="A136" s="174" t="s">
        <v>262</v>
      </c>
      <c r="B136" s="174" t="s">
        <v>263</v>
      </c>
      <c r="C136" s="174" t="s">
        <v>261</v>
      </c>
      <c r="D136" s="170">
        <f>IF(ISNUMBER(SEARCH(Checksheet!$U$11,B136)),MAX($D$1:D135)+1,"")</f>
        <v>135</v>
      </c>
      <c r="E136" s="170" t="str">
        <f t="shared" si="2"/>
        <v>BB0046386A-006</v>
      </c>
    </row>
    <row r="137" spans="1:5">
      <c r="A137" s="174" t="s">
        <v>264</v>
      </c>
      <c r="B137" s="174" t="s">
        <v>265</v>
      </c>
      <c r="C137" s="174" t="s">
        <v>261</v>
      </c>
      <c r="D137" s="170">
        <f>IF(ISNUMBER(SEARCH(Checksheet!$U$11,B137)),MAX($D$1:D136)+1,"")</f>
        <v>136</v>
      </c>
      <c r="E137" s="170" t="str">
        <f t="shared" si="2"/>
        <v>BB0045282A-009-S</v>
      </c>
    </row>
    <row r="138" spans="1:5">
      <c r="A138" s="174" t="s">
        <v>266</v>
      </c>
      <c r="B138" s="174" t="s">
        <v>267</v>
      </c>
      <c r="C138" s="174" t="s">
        <v>261</v>
      </c>
      <c r="D138" s="170">
        <f>IF(ISNUMBER(SEARCH(Checksheet!$U$11,B138)),MAX($D$1:D137)+1,"")</f>
        <v>137</v>
      </c>
      <c r="E138" s="170" t="str">
        <f t="shared" si="2"/>
        <v>BB0045968A-009</v>
      </c>
    </row>
    <row r="139" spans="1:5">
      <c r="A139" s="174" t="s">
        <v>268</v>
      </c>
      <c r="B139" s="174" t="s">
        <v>269</v>
      </c>
      <c r="C139" s="174" t="s">
        <v>261</v>
      </c>
      <c r="D139" s="170">
        <f>IF(ISNUMBER(SEARCH(Checksheet!$U$11,B139)),MAX($D$1:D138)+1,"")</f>
        <v>138</v>
      </c>
      <c r="E139" s="170" t="str">
        <f t="shared" si="2"/>
        <v>BB0045968E-009</v>
      </c>
    </row>
    <row r="140" spans="1:5">
      <c r="A140" s="174" t="s">
        <v>270</v>
      </c>
      <c r="B140" s="174" t="s">
        <v>271</v>
      </c>
      <c r="C140" s="174" t="s">
        <v>261</v>
      </c>
      <c r="D140" s="170">
        <f>IF(ISNUMBER(SEARCH(Checksheet!$U$11,B140)),MAX($D$1:D139)+1,"")</f>
        <v>139</v>
      </c>
      <c r="E140" s="170" t="str">
        <f t="shared" si="2"/>
        <v>BB0044147A-012-S</v>
      </c>
    </row>
    <row r="141" spans="1:5">
      <c r="A141" s="174" t="s">
        <v>272</v>
      </c>
      <c r="B141" s="174" t="s">
        <v>273</v>
      </c>
      <c r="C141" s="174" t="s">
        <v>261</v>
      </c>
      <c r="D141" s="170">
        <f>IF(ISNUMBER(SEARCH(Checksheet!$U$11,B141)),MAX($D$1:D140)+1,"")</f>
        <v>140</v>
      </c>
      <c r="E141" s="170" t="str">
        <f t="shared" si="2"/>
        <v>BB0044147H-012-S</v>
      </c>
    </row>
    <row r="142" spans="1:5">
      <c r="A142" s="174" t="s">
        <v>274</v>
      </c>
      <c r="B142" s="174" t="s">
        <v>275</v>
      </c>
      <c r="C142" s="174" t="s">
        <v>261</v>
      </c>
      <c r="D142" s="170">
        <f>IF(ISNUMBER(SEARCH(Checksheet!$U$11,B142)),MAX($D$1:D141)+1,"")</f>
        <v>141</v>
      </c>
      <c r="E142" s="170" t="str">
        <f t="shared" si="2"/>
        <v>BB0045302A-007-S</v>
      </c>
    </row>
    <row r="143" spans="1:5">
      <c r="A143" s="174" t="s">
        <v>276</v>
      </c>
      <c r="B143" s="174" t="s">
        <v>277</v>
      </c>
      <c r="C143" s="174" t="s">
        <v>261</v>
      </c>
      <c r="D143" s="170">
        <f>IF(ISNUMBER(SEARCH(Checksheet!$U$11,B143)),MAX($D$1:D142)+1,"")</f>
        <v>142</v>
      </c>
      <c r="E143" s="170" t="str">
        <f t="shared" si="2"/>
        <v>BB0045303A-008-S</v>
      </c>
    </row>
    <row r="144" spans="1:5">
      <c r="A144" s="174" t="s">
        <v>278</v>
      </c>
      <c r="B144" s="174" t="s">
        <v>279</v>
      </c>
      <c r="C144" s="174" t="s">
        <v>261</v>
      </c>
      <c r="D144" s="170">
        <f>IF(ISNUMBER(SEARCH(Checksheet!$U$11,B144)),MAX($D$1:D143)+1,"")</f>
        <v>143</v>
      </c>
      <c r="E144" s="170" t="str">
        <f t="shared" si="2"/>
        <v>BB0050166A-004</v>
      </c>
    </row>
    <row r="145" spans="1:5">
      <c r="A145" s="174" t="s">
        <v>280</v>
      </c>
      <c r="B145" s="174" t="s">
        <v>281</v>
      </c>
      <c r="C145" s="174" t="s">
        <v>261</v>
      </c>
      <c r="D145" s="170">
        <f>IF(ISNUMBER(SEARCH(Checksheet!$U$11,B145)),MAX($D$1:D144)+1,"")</f>
        <v>144</v>
      </c>
      <c r="E145" s="170" t="str">
        <f t="shared" si="2"/>
        <v>BB0050167A-006-S</v>
      </c>
    </row>
    <row r="146" spans="1:5">
      <c r="A146" s="174" t="s">
        <v>282</v>
      </c>
      <c r="B146" s="174" t="s">
        <v>283</v>
      </c>
      <c r="C146" s="174" t="s">
        <v>261</v>
      </c>
      <c r="D146" s="170">
        <f>IF(ISNUMBER(SEARCH(Checksheet!$U$11,B146)),MAX($D$1:D145)+1,"")</f>
        <v>145</v>
      </c>
      <c r="E146" s="170" t="str">
        <f t="shared" si="2"/>
        <v>BB0050166B-004</v>
      </c>
    </row>
    <row r="147" spans="1:5">
      <c r="A147" s="174" t="s">
        <v>284</v>
      </c>
      <c r="B147" s="174" t="s">
        <v>285</v>
      </c>
      <c r="C147" s="174" t="s">
        <v>261</v>
      </c>
      <c r="D147" s="170">
        <f>IF(ISNUMBER(SEARCH(Checksheet!$U$11,B147)),MAX($D$1:D146)+1,"")</f>
        <v>146</v>
      </c>
      <c r="E147" s="170" t="str">
        <f t="shared" si="2"/>
        <v>BB0050167B-006-S</v>
      </c>
    </row>
    <row r="148" spans="1:5">
      <c r="A148" s="174" t="s">
        <v>286</v>
      </c>
      <c r="B148" s="174" t="s">
        <v>287</v>
      </c>
      <c r="C148" s="174" t="s">
        <v>261</v>
      </c>
      <c r="D148" s="170">
        <f>IF(ISNUMBER(SEARCH(Checksheet!$U$11,B148)),MAX($D$1:D147)+1,"")</f>
        <v>147</v>
      </c>
      <c r="E148" s="170" t="str">
        <f t="shared" si="2"/>
        <v>BB0045280A-013</v>
      </c>
    </row>
    <row r="149" spans="1:5">
      <c r="A149" s="174" t="s">
        <v>288</v>
      </c>
      <c r="B149" s="174" t="s">
        <v>289</v>
      </c>
      <c r="C149" s="174" t="s">
        <v>261</v>
      </c>
      <c r="D149" s="170">
        <f>IF(ISNUMBER(SEARCH(Checksheet!$U$11,B149)),MAX($D$1:D148)+1,"")</f>
        <v>148</v>
      </c>
      <c r="E149" s="170" t="str">
        <f t="shared" si="2"/>
        <v>BB0045285A-004-S</v>
      </c>
    </row>
    <row r="150" spans="1:5">
      <c r="A150" s="174" t="s">
        <v>290</v>
      </c>
      <c r="B150" s="174" t="s">
        <v>291</v>
      </c>
      <c r="C150" s="174" t="s">
        <v>261</v>
      </c>
      <c r="D150" s="170">
        <f>IF(ISNUMBER(SEARCH(Checksheet!$U$11,B150)),MAX($D$1:D149)+1,"")</f>
        <v>149</v>
      </c>
      <c r="E150" s="170" t="str">
        <f t="shared" si="2"/>
        <v>BB0041543A-004-S</v>
      </c>
    </row>
    <row r="151" spans="1:5">
      <c r="A151" s="174" t="s">
        <v>292</v>
      </c>
      <c r="B151" s="174" t="s">
        <v>293</v>
      </c>
      <c r="C151" s="174" t="s">
        <v>261</v>
      </c>
      <c r="D151" s="170">
        <f>IF(ISNUMBER(SEARCH(Checksheet!$U$11,B151)),MAX($D$1:D150)+1,"")</f>
        <v>150</v>
      </c>
      <c r="E151" s="170" t="str">
        <f t="shared" si="2"/>
        <v>BB0041543B-004-S</v>
      </c>
    </row>
    <row r="152" spans="1:5">
      <c r="A152" s="174" t="s">
        <v>294</v>
      </c>
      <c r="B152" s="174" t="s">
        <v>295</v>
      </c>
      <c r="C152" s="174" t="s">
        <v>261</v>
      </c>
      <c r="D152" s="170">
        <f>IF(ISNUMBER(SEARCH(Checksheet!$U$11,B152)),MAX($D$1:D151)+1,"")</f>
        <v>151</v>
      </c>
      <c r="E152" s="170" t="str">
        <f t="shared" si="2"/>
        <v>BB0056152A-004</v>
      </c>
    </row>
    <row r="153" spans="1:5">
      <c r="A153" s="174" t="s">
        <v>296</v>
      </c>
      <c r="B153" s="174" t="s">
        <v>297</v>
      </c>
      <c r="C153" s="174" t="s">
        <v>261</v>
      </c>
      <c r="D153" s="170">
        <f>IF(ISNUMBER(SEARCH(Checksheet!$U$11,B153)),MAX($D$1:D152)+1,"")</f>
        <v>152</v>
      </c>
      <c r="E153" s="170" t="str">
        <f t="shared" si="2"/>
        <v>BB0056152A004(187PU)-S</v>
      </c>
    </row>
    <row r="154" spans="1:5">
      <c r="A154" s="174" t="s">
        <v>298</v>
      </c>
      <c r="B154" s="174" t="s">
        <v>299</v>
      </c>
      <c r="C154" s="174" t="s">
        <v>261</v>
      </c>
      <c r="D154" s="170">
        <f>IF(ISNUMBER(SEARCH(Checksheet!$U$11,B154)),MAX($D$1:D153)+1,"")</f>
        <v>153</v>
      </c>
      <c r="E154" s="170" t="str">
        <f t="shared" si="2"/>
        <v>BB0056152A004XIN(187PU)-S</v>
      </c>
    </row>
    <row r="155" spans="1:5">
      <c r="A155" s="174" t="s">
        <v>300</v>
      </c>
      <c r="B155" s="174" t="s">
        <v>301</v>
      </c>
      <c r="C155" s="174" t="s">
        <v>261</v>
      </c>
      <c r="D155" s="170">
        <f>IF(ISNUMBER(SEARCH(Checksheet!$U$11,B155)),MAX($D$1:D154)+1,"")</f>
        <v>154</v>
      </c>
      <c r="E155" s="170" t="str">
        <f t="shared" si="2"/>
        <v>BB0056152B-004</v>
      </c>
    </row>
    <row r="156" spans="1:5">
      <c r="A156" s="174" t="s">
        <v>302</v>
      </c>
      <c r="B156" s="174" t="s">
        <v>303</v>
      </c>
      <c r="C156" s="174" t="s">
        <v>261</v>
      </c>
      <c r="D156" s="170">
        <f>IF(ISNUMBER(SEARCH(Checksheet!$U$11,B156)),MAX($D$1:D155)+1,"")</f>
        <v>155</v>
      </c>
      <c r="E156" s="170" t="str">
        <f t="shared" si="2"/>
        <v>BB0056152B004(187PU)-S</v>
      </c>
    </row>
    <row r="157" spans="1:5">
      <c r="A157" s="174" t="s">
        <v>304</v>
      </c>
      <c r="B157" s="174" t="s">
        <v>305</v>
      </c>
      <c r="C157" s="174" t="s">
        <v>261</v>
      </c>
      <c r="D157" s="170">
        <f>IF(ISNUMBER(SEARCH(Checksheet!$U$11,B157)),MAX($D$1:D156)+1,"")</f>
        <v>156</v>
      </c>
      <c r="E157" s="170" t="str">
        <f t="shared" si="2"/>
        <v>BB0056152B004XIN(187PU)-S</v>
      </c>
    </row>
    <row r="158" spans="1:5">
      <c r="A158" s="174" t="s">
        <v>306</v>
      </c>
      <c r="B158" s="174" t="s">
        <v>307</v>
      </c>
      <c r="C158" s="174" t="s">
        <v>261</v>
      </c>
      <c r="D158" s="170">
        <f>IF(ISNUMBER(SEARCH(Checksheet!$U$11,B158)),MAX($D$1:D157)+1,"")</f>
        <v>157</v>
      </c>
      <c r="E158" s="170" t="str">
        <f t="shared" si="2"/>
        <v>BB0056152C-004-S</v>
      </c>
    </row>
    <row r="159" spans="1:5">
      <c r="A159" s="174" t="s">
        <v>308</v>
      </c>
      <c r="B159" s="174" t="s">
        <v>309</v>
      </c>
      <c r="C159" s="174" t="s">
        <v>261</v>
      </c>
      <c r="D159" s="170">
        <f>IF(ISNUMBER(SEARCH(Checksheet!$U$11,B159)),MAX($D$1:D158)+1,"")</f>
        <v>158</v>
      </c>
      <c r="E159" s="170" t="str">
        <f t="shared" si="2"/>
        <v>BB0056152D-004-S</v>
      </c>
    </row>
    <row r="160" spans="1:5">
      <c r="A160" s="174" t="s">
        <v>310</v>
      </c>
      <c r="B160" s="174" t="s">
        <v>311</v>
      </c>
      <c r="C160" s="174" t="s">
        <v>261</v>
      </c>
      <c r="D160" s="170">
        <f>IF(ISNUMBER(SEARCH(Checksheet!$U$11,B160)),MAX($D$1:D159)+1,"")</f>
        <v>159</v>
      </c>
      <c r="E160" s="170" t="str">
        <f t="shared" si="2"/>
        <v>BB0056152E-004</v>
      </c>
    </row>
    <row r="161" spans="1:5">
      <c r="A161" s="174" t="s">
        <v>312</v>
      </c>
      <c r="B161" s="174" t="s">
        <v>313</v>
      </c>
      <c r="C161" s="174" t="s">
        <v>261</v>
      </c>
      <c r="D161" s="170">
        <f>IF(ISNUMBER(SEARCH(Checksheet!$U$11,B161)),MAX($D$1:D160)+1,"")</f>
        <v>160</v>
      </c>
      <c r="E161" s="170" t="str">
        <f t="shared" si="2"/>
        <v>BB0056152E004(187PU)-S</v>
      </c>
    </row>
    <row r="162" spans="1:5">
      <c r="A162" s="174" t="s">
        <v>314</v>
      </c>
      <c r="B162" s="174" t="s">
        <v>315</v>
      </c>
      <c r="C162" s="174" t="s">
        <v>261</v>
      </c>
      <c r="D162" s="170">
        <f>IF(ISNUMBER(SEARCH(Checksheet!$U$11,B162)),MAX($D$1:D161)+1,"")</f>
        <v>161</v>
      </c>
      <c r="E162" s="170" t="str">
        <f t="shared" si="2"/>
        <v>BB0056152E004XIN(187PU)-S</v>
      </c>
    </row>
    <row r="163" spans="1:5">
      <c r="A163" s="174" t="s">
        <v>316</v>
      </c>
      <c r="B163" s="174" t="s">
        <v>317</v>
      </c>
      <c r="C163" s="174" t="s">
        <v>261</v>
      </c>
      <c r="D163" s="170">
        <f>IF(ISNUMBER(SEARCH(Checksheet!$U$11,B163)),MAX($D$1:D162)+1,"")</f>
        <v>162</v>
      </c>
      <c r="E163" s="170" t="str">
        <f t="shared" si="2"/>
        <v>BB0056152F-004</v>
      </c>
    </row>
    <row r="164" spans="1:5">
      <c r="A164" s="174" t="s">
        <v>318</v>
      </c>
      <c r="B164" s="174" t="s">
        <v>319</v>
      </c>
      <c r="C164" s="174" t="s">
        <v>261</v>
      </c>
      <c r="D164" s="170">
        <f>IF(ISNUMBER(SEARCH(Checksheet!$U$11,B164)),MAX($D$1:D163)+1,"")</f>
        <v>163</v>
      </c>
      <c r="E164" s="170" t="str">
        <f t="shared" si="2"/>
        <v>BB0056152F004(187PU)-S</v>
      </c>
    </row>
    <row r="165" spans="1:5">
      <c r="A165" s="174" t="s">
        <v>320</v>
      </c>
      <c r="B165" s="174" t="s">
        <v>321</v>
      </c>
      <c r="C165" s="174" t="s">
        <v>261</v>
      </c>
      <c r="D165" s="170">
        <f>IF(ISNUMBER(SEARCH(Checksheet!$U$11,B165)),MAX($D$1:D164)+1,"")</f>
        <v>164</v>
      </c>
      <c r="E165" s="170" t="str">
        <f t="shared" si="2"/>
        <v>BB0055942A0061347/1353</v>
      </c>
    </row>
    <row r="166" spans="1:5">
      <c r="A166" s="174" t="s">
        <v>322</v>
      </c>
      <c r="B166" s="174" t="s">
        <v>323</v>
      </c>
      <c r="C166" s="174" t="s">
        <v>261</v>
      </c>
      <c r="D166" s="170">
        <f>IF(ISNUMBER(SEARCH(Checksheet!$U$11,B166)),MAX($D$1:D165)+1,"")</f>
        <v>165</v>
      </c>
      <c r="E166" s="170" t="str">
        <f t="shared" si="2"/>
        <v>BB0055942A0061352/1353</v>
      </c>
    </row>
    <row r="167" spans="1:5">
      <c r="A167" s="174" t="s">
        <v>324</v>
      </c>
      <c r="B167" s="174" t="s">
        <v>325</v>
      </c>
      <c r="C167" s="174" t="s">
        <v>261</v>
      </c>
      <c r="D167" s="170">
        <f>IF(ISNUMBER(SEARCH(Checksheet!$U$11,B167)),MAX($D$1:D166)+1,"")</f>
        <v>166</v>
      </c>
      <c r="E167" s="170" t="str">
        <f t="shared" si="2"/>
        <v>BB0055941A0061352/1353</v>
      </c>
    </row>
    <row r="168" spans="1:5">
      <c r="A168" s="174" t="s">
        <v>326</v>
      </c>
      <c r="B168" s="174" t="s">
        <v>327</v>
      </c>
      <c r="C168" s="174" t="s">
        <v>261</v>
      </c>
      <c r="D168" s="170">
        <f>IF(ISNUMBER(SEARCH(Checksheet!$U$11,B168)),MAX($D$1:D167)+1,"")</f>
        <v>167</v>
      </c>
      <c r="E168" s="170" t="str">
        <f t="shared" si="2"/>
        <v>BB0055941B0061352/1353</v>
      </c>
    </row>
    <row r="169" spans="1:5">
      <c r="A169" s="174" t="s">
        <v>328</v>
      </c>
      <c r="B169" s="174" t="s">
        <v>329</v>
      </c>
      <c r="C169" s="174" t="s">
        <v>261</v>
      </c>
      <c r="D169" s="170">
        <f>IF(ISNUMBER(SEARCH(Checksheet!$U$11,B169)),MAX($D$1:D168)+1,"")</f>
        <v>168</v>
      </c>
      <c r="E169" s="170" t="str">
        <f t="shared" si="2"/>
        <v>BB0055942B0061352/1353</v>
      </c>
    </row>
    <row r="170" spans="1:5">
      <c r="A170" s="174" t="s">
        <v>330</v>
      </c>
      <c r="B170" s="174" t="s">
        <v>331</v>
      </c>
      <c r="C170" s="174" t="s">
        <v>261</v>
      </c>
      <c r="D170" s="170">
        <f>IF(ISNUMBER(SEARCH(Checksheet!$U$11,B170)),MAX($D$1:D169)+1,"")</f>
        <v>169</v>
      </c>
      <c r="E170" s="170" t="str">
        <f t="shared" si="2"/>
        <v>BB0046697A-007-S</v>
      </c>
    </row>
    <row r="171" spans="1:5">
      <c r="A171" s="174" t="s">
        <v>332</v>
      </c>
      <c r="B171" s="174" t="s">
        <v>333</v>
      </c>
      <c r="C171" s="174" t="s">
        <v>261</v>
      </c>
      <c r="D171" s="170">
        <f>IF(ISNUMBER(SEARCH(Checksheet!$U$11,B171)),MAX($D$1:D170)+1,"")</f>
        <v>170</v>
      </c>
      <c r="E171" s="170" t="str">
        <f t="shared" si="2"/>
        <v>BB0046697B-007-S</v>
      </c>
    </row>
    <row r="172" spans="1:5">
      <c r="A172" s="174" t="s">
        <v>334</v>
      </c>
      <c r="B172" s="174" t="s">
        <v>335</v>
      </c>
      <c r="C172" s="174" t="s">
        <v>261</v>
      </c>
      <c r="D172" s="170">
        <f>IF(ISNUMBER(SEARCH(Checksheet!$U$11,B172)),MAX($D$1:D171)+1,"")</f>
        <v>171</v>
      </c>
      <c r="E172" s="170" t="str">
        <f t="shared" si="2"/>
        <v>BB0055941B008(ﾗｲﾚｷ7)-S</v>
      </c>
    </row>
    <row r="173" spans="1:5">
      <c r="A173" s="174" t="s">
        <v>336</v>
      </c>
      <c r="B173" s="174" t="s">
        <v>337</v>
      </c>
      <c r="C173" s="174" t="s">
        <v>261</v>
      </c>
      <c r="D173" s="170">
        <f>IF(ISNUMBER(SEARCH(Checksheet!$U$11,B173)),MAX($D$1:D172)+1,"")</f>
        <v>172</v>
      </c>
      <c r="E173" s="170" t="str">
        <f t="shared" si="2"/>
        <v>BB0055942B007(ﾗｲﾚｷ6)-S</v>
      </c>
    </row>
    <row r="174" spans="1:5">
      <c r="A174" s="174" t="s">
        <v>338</v>
      </c>
      <c r="B174" s="174" t="s">
        <v>339</v>
      </c>
      <c r="C174" s="174" t="s">
        <v>261</v>
      </c>
      <c r="D174" s="170">
        <f>IF(ISNUMBER(SEARCH(Checksheet!$U$11,B174)),MAX($D$1:D173)+1,"")</f>
        <v>173</v>
      </c>
      <c r="E174" s="170" t="str">
        <f t="shared" si="2"/>
        <v>BB0055941A008(ﾗｲﾚｷ7)-S</v>
      </c>
    </row>
    <row r="175" spans="1:5">
      <c r="A175" s="174" t="s">
        <v>340</v>
      </c>
      <c r="B175" s="174" t="s">
        <v>341</v>
      </c>
      <c r="C175" s="174" t="s">
        <v>261</v>
      </c>
      <c r="D175" s="170">
        <f>IF(ISNUMBER(SEARCH(Checksheet!$U$11,B175)),MAX($D$1:D174)+1,"")</f>
        <v>174</v>
      </c>
      <c r="E175" s="170" t="str">
        <f t="shared" si="2"/>
        <v>BB0055942A007(ﾗｲﾚｷ6)-S</v>
      </c>
    </row>
    <row r="176" spans="1:5">
      <c r="A176" s="174" t="s">
        <v>342</v>
      </c>
      <c r="B176" s="174" t="s">
        <v>343</v>
      </c>
      <c r="C176" s="174" t="s">
        <v>261</v>
      </c>
      <c r="D176" s="170">
        <f>IF(ISNUMBER(SEARCH(Checksheet!$U$11,B176)),MAX($D$1:D175)+1,"")</f>
        <v>175</v>
      </c>
      <c r="E176" s="170" t="str">
        <f t="shared" si="2"/>
        <v>NN0015241D-004-S</v>
      </c>
    </row>
    <row r="177" spans="1:5">
      <c r="A177" s="174" t="s">
        <v>344</v>
      </c>
      <c r="B177" s="174" t="s">
        <v>345</v>
      </c>
      <c r="C177" s="174" t="s">
        <v>261</v>
      </c>
      <c r="D177" s="170">
        <f>IF(ISNUMBER(SEARCH(Checksheet!$U$11,B177)),MAX($D$1:D176)+1,"")</f>
        <v>176</v>
      </c>
      <c r="E177" s="170" t="str">
        <f t="shared" si="2"/>
        <v>NN0015241E-004-S</v>
      </c>
    </row>
    <row r="178" spans="1:5">
      <c r="A178" s="174" t="s">
        <v>346</v>
      </c>
      <c r="B178" s="174" t="s">
        <v>347</v>
      </c>
      <c r="C178" s="174" t="s">
        <v>261</v>
      </c>
      <c r="D178" s="170">
        <f>IF(ISNUMBER(SEARCH(Checksheet!$U$11,B178)),MAX($D$1:D177)+1,"")</f>
        <v>177</v>
      </c>
      <c r="E178" s="170" t="str">
        <f t="shared" si="2"/>
        <v>BB0054862B-005N-S</v>
      </c>
    </row>
    <row r="179" spans="1:5">
      <c r="A179" s="174" t="s">
        <v>348</v>
      </c>
      <c r="B179" s="174" t="s">
        <v>349</v>
      </c>
      <c r="C179" s="174" t="s">
        <v>261</v>
      </c>
      <c r="D179" s="170">
        <f>IF(ISNUMBER(SEARCH(Checksheet!$U$11,B179)),MAX($D$1:D178)+1,"")</f>
        <v>178</v>
      </c>
      <c r="E179" s="170" t="str">
        <f t="shared" si="2"/>
        <v>BB0052145A-006N-S</v>
      </c>
    </row>
    <row r="180" spans="1:5">
      <c r="A180" s="174" t="s">
        <v>350</v>
      </c>
      <c r="B180" s="174" t="s">
        <v>351</v>
      </c>
      <c r="C180" s="174" t="s">
        <v>261</v>
      </c>
      <c r="D180" s="170">
        <f>IF(ISNUMBER(SEARCH(Checksheet!$U$11,B180)),MAX($D$1:D179)+1,"")</f>
        <v>179</v>
      </c>
      <c r="E180" s="170" t="str">
        <f t="shared" si="2"/>
        <v>NN0020378A-001-S</v>
      </c>
    </row>
    <row r="181" spans="1:5">
      <c r="A181" s="174" t="s">
        <v>352</v>
      </c>
      <c r="B181" s="174" t="s">
        <v>353</v>
      </c>
      <c r="C181" s="174" t="s">
        <v>261</v>
      </c>
      <c r="D181" s="170">
        <f>IF(ISNUMBER(SEARCH(Checksheet!$U$11,B181)),MAX($D$1:D180)+1,"")</f>
        <v>180</v>
      </c>
      <c r="E181" s="170" t="str">
        <f t="shared" si="2"/>
        <v>NN0020378A-S SISAKU</v>
      </c>
    </row>
    <row r="182" spans="1:5">
      <c r="A182" s="174" t="s">
        <v>354</v>
      </c>
      <c r="B182" s="174" t="s">
        <v>355</v>
      </c>
      <c r="C182" s="174" t="s">
        <v>261</v>
      </c>
      <c r="D182" s="170">
        <f>IF(ISNUMBER(SEARCH(Checksheet!$U$11,B182)),MAX($D$1:D181)+1,"")</f>
        <v>181</v>
      </c>
      <c r="E182" s="170" t="str">
        <f t="shared" si="2"/>
        <v>NN0020378B-002-S</v>
      </c>
    </row>
    <row r="183" spans="1:5">
      <c r="A183" s="174" t="s">
        <v>356</v>
      </c>
      <c r="B183" s="174" t="s">
        <v>357</v>
      </c>
      <c r="C183" s="174" t="s">
        <v>261</v>
      </c>
      <c r="D183" s="170">
        <f>IF(ISNUMBER(SEARCH(Checksheet!$U$11,B183)),MAX($D$1:D182)+1,"")</f>
        <v>182</v>
      </c>
      <c r="E183" s="170" t="str">
        <f t="shared" si="2"/>
        <v>BB0045282A011(ﾗｲﾚｷ10-S</v>
      </c>
    </row>
    <row r="184" spans="1:5">
      <c r="A184" s="174" t="s">
        <v>358</v>
      </c>
      <c r="B184" s="174" t="s">
        <v>359</v>
      </c>
      <c r="C184" s="174" t="s">
        <v>261</v>
      </c>
      <c r="D184" s="170">
        <f>IF(ISNUMBER(SEARCH(Checksheet!$U$11,B184)),MAX($D$1:D183)+1,"")</f>
        <v>183</v>
      </c>
      <c r="E184" s="170" t="str">
        <f t="shared" si="2"/>
        <v>BB0056152A005(ﾗｲﾚｷ4)-S</v>
      </c>
    </row>
    <row r="185" spans="1:5">
      <c r="A185" s="174" t="s">
        <v>360</v>
      </c>
      <c r="B185" s="174" t="s">
        <v>361</v>
      </c>
      <c r="C185" s="174" t="s">
        <v>261</v>
      </c>
      <c r="D185" s="170">
        <f>IF(ISNUMBER(SEARCH(Checksheet!$U$11,B185)),MAX($D$1:D184)+1,"")</f>
        <v>184</v>
      </c>
      <c r="E185" s="170" t="str">
        <f t="shared" si="2"/>
        <v>BB0056152B005(ﾗｲﾚｷ4)-S</v>
      </c>
    </row>
    <row r="186" spans="1:5">
      <c r="A186" s="174" t="s">
        <v>362</v>
      </c>
      <c r="B186" s="174" t="s">
        <v>363</v>
      </c>
      <c r="C186" s="174" t="s">
        <v>261</v>
      </c>
      <c r="D186" s="170">
        <f>IF(ISNUMBER(SEARCH(Checksheet!$U$11,B186)),MAX($D$1:D185)+1,"")</f>
        <v>185</v>
      </c>
      <c r="E186" s="170" t="str">
        <f t="shared" si="2"/>
        <v>BB0056152E005(ﾗｲﾚｷ4)-S</v>
      </c>
    </row>
    <row r="187" spans="1:5">
      <c r="A187" s="174" t="s">
        <v>364</v>
      </c>
      <c r="B187" s="174" t="s">
        <v>365</v>
      </c>
      <c r="C187" s="174" t="s">
        <v>261</v>
      </c>
      <c r="D187" s="170">
        <f>IF(ISNUMBER(SEARCH(Checksheet!$U$11,B187)),MAX($D$1:D186)+1,"")</f>
        <v>186</v>
      </c>
      <c r="E187" s="170" t="str">
        <f t="shared" si="2"/>
        <v>BB0056152F005(ﾗｲﾚｷ4)-S</v>
      </c>
    </row>
    <row r="188" spans="1:5">
      <c r="A188" s="174" t="s">
        <v>366</v>
      </c>
      <c r="B188" s="174" t="s">
        <v>367</v>
      </c>
      <c r="C188" s="174" t="s">
        <v>261</v>
      </c>
      <c r="D188" s="170">
        <f>IF(ISNUMBER(SEARCH(Checksheet!$U$11,B188)),MAX($D$1:D187)+1,"")</f>
        <v>187</v>
      </c>
      <c r="E188" s="170" t="str">
        <f t="shared" si="2"/>
        <v>BB0045280D017(ﾗｲﾚｷ15-S</v>
      </c>
    </row>
    <row r="189" spans="1:5">
      <c r="A189" s="174" t="s">
        <v>368</v>
      </c>
      <c r="B189" s="174" t="s">
        <v>369</v>
      </c>
      <c r="C189" s="174" t="s">
        <v>261</v>
      </c>
      <c r="D189" s="170">
        <f>IF(ISNUMBER(SEARCH(Checksheet!$U$11,B189)),MAX($D$1:D188)+1,"")</f>
        <v>188</v>
      </c>
      <c r="E189" s="170" t="str">
        <f t="shared" si="2"/>
        <v>BB0056152D005(ﾗｲﾚｷ4)-S</v>
      </c>
    </row>
    <row r="190" spans="1:5">
      <c r="A190" s="174" t="s">
        <v>370</v>
      </c>
      <c r="B190" s="174" t="s">
        <v>371</v>
      </c>
      <c r="C190" s="174" t="s">
        <v>261</v>
      </c>
      <c r="D190" s="170">
        <f>IF(ISNUMBER(SEARCH(Checksheet!$U$11,B190)),MAX($D$1:D189)+1,"")</f>
        <v>189</v>
      </c>
      <c r="E190" s="170" t="str">
        <f t="shared" si="2"/>
        <v>BB0045285A005(ﾗｲﾚｷ4)-S</v>
      </c>
    </row>
    <row r="191" spans="1:5">
      <c r="A191" s="174" t="s">
        <v>372</v>
      </c>
      <c r="B191" s="174" t="s">
        <v>373</v>
      </c>
      <c r="C191" s="174" t="s">
        <v>261</v>
      </c>
      <c r="D191" s="170">
        <f>IF(ISNUMBER(SEARCH(Checksheet!$U$11,B191)),MAX($D$1:D190)+1,"")</f>
        <v>190</v>
      </c>
      <c r="E191" s="170" t="str">
        <f t="shared" si="2"/>
        <v>BB0045280A018(RAI16)-S</v>
      </c>
    </row>
    <row r="192" spans="1:5">
      <c r="A192" s="174" t="s">
        <v>374</v>
      </c>
      <c r="B192" s="174" t="s">
        <v>375</v>
      </c>
      <c r="C192" s="174" t="s">
        <v>261</v>
      </c>
      <c r="D192" s="170">
        <f>IF(ISNUMBER(SEARCH(Checksheet!$U$11,B192)),MAX($D$1:D191)+1,"")</f>
        <v>191</v>
      </c>
      <c r="E192" s="170" t="str">
        <f t="shared" si="2"/>
        <v>BB0045277B-011-S</v>
      </c>
    </row>
    <row r="193" spans="1:5">
      <c r="A193" s="174" t="s">
        <v>376</v>
      </c>
      <c r="B193" s="174" t="s">
        <v>377</v>
      </c>
      <c r="C193" s="174" t="s">
        <v>378</v>
      </c>
      <c r="D193" s="170">
        <f>IF(ISNUMBER(SEARCH(Checksheet!$U$11,B193)),MAX($D$1:D192)+1,"")</f>
        <v>192</v>
      </c>
      <c r="E193" s="170" t="str">
        <f t="shared" si="2"/>
        <v>99214X2160-2-S</v>
      </c>
    </row>
    <row r="194" spans="1:5">
      <c r="A194" s="174" t="s">
        <v>379</v>
      </c>
      <c r="B194" s="174" t="s">
        <v>380</v>
      </c>
      <c r="C194" s="174" t="s">
        <v>378</v>
      </c>
      <c r="D194" s="170">
        <f>IF(ISNUMBER(SEARCH(Checksheet!$U$11,B194)),MAX($D$1:D193)+1,"")</f>
        <v>193</v>
      </c>
      <c r="E194" s="170" t="str">
        <f t="shared" si="2"/>
        <v>99214X2162-2-S</v>
      </c>
    </row>
    <row r="195" spans="1:5">
      <c r="A195" s="174" t="s">
        <v>381</v>
      </c>
      <c r="B195" s="174" t="s">
        <v>382</v>
      </c>
      <c r="C195" s="174" t="s">
        <v>378</v>
      </c>
      <c r="D195" s="170">
        <f>IF(ISNUMBER(SEARCH(Checksheet!$U$11,B195)),MAX($D$1:D194)+1,"")</f>
        <v>194</v>
      </c>
      <c r="E195" s="170" t="str">
        <f t="shared" ref="E195:E258" si="3">IFERROR(INDEX($B:$B,MATCH(ROW()-1,$D:$D,0),1),"")</f>
        <v>99214X2164-1-S</v>
      </c>
    </row>
    <row r="196" spans="1:5">
      <c r="A196" s="174" t="s">
        <v>383</v>
      </c>
      <c r="B196" s="174" t="s">
        <v>384</v>
      </c>
      <c r="C196" s="174" t="s">
        <v>378</v>
      </c>
      <c r="D196" s="170">
        <f>IF(ISNUMBER(SEARCH(Checksheet!$U$11,B196)),MAX($D$1:D195)+1,"")</f>
        <v>195</v>
      </c>
      <c r="E196" s="170" t="str">
        <f t="shared" si="3"/>
        <v>99124X2038-S</v>
      </c>
    </row>
    <row r="197" spans="1:5">
      <c r="A197" s="174" t="s">
        <v>385</v>
      </c>
      <c r="B197" s="174" t="s">
        <v>386</v>
      </c>
      <c r="C197" s="174" t="s">
        <v>378</v>
      </c>
      <c r="D197" s="170">
        <f>IF(ISNUMBER(SEARCH(Checksheet!$U$11,B197)),MAX($D$1:D196)+1,"")</f>
        <v>196</v>
      </c>
      <c r="E197" s="170" t="str">
        <f t="shared" si="3"/>
        <v>02574X2905-3-S</v>
      </c>
    </row>
    <row r="198" spans="1:5">
      <c r="A198" s="174" t="s">
        <v>387</v>
      </c>
      <c r="B198" s="174" t="s">
        <v>388</v>
      </c>
      <c r="C198" s="174" t="s">
        <v>378</v>
      </c>
      <c r="D198" s="170">
        <f>IF(ISNUMBER(SEARCH(Checksheet!$U$11,B198)),MAX($D$1:D197)+1,"")</f>
        <v>197</v>
      </c>
      <c r="E198" s="170" t="str">
        <f t="shared" si="3"/>
        <v>02574X2905-3ﾂｲｽﾄ-S</v>
      </c>
    </row>
    <row r="199" spans="1:5">
      <c r="A199" s="174" t="s">
        <v>389</v>
      </c>
      <c r="B199" s="174" t="s">
        <v>390</v>
      </c>
      <c r="C199" s="174" t="s">
        <v>378</v>
      </c>
      <c r="D199" s="170">
        <f>IF(ISNUMBER(SEARCH(Checksheet!$U$11,B199)),MAX($D$1:D198)+1,"")</f>
        <v>198</v>
      </c>
      <c r="E199" s="170" t="str">
        <f t="shared" si="3"/>
        <v>02614X2001-1-S</v>
      </c>
    </row>
    <row r="200" spans="1:5">
      <c r="A200" s="174" t="s">
        <v>391</v>
      </c>
      <c r="B200" s="174" t="s">
        <v>392</v>
      </c>
      <c r="C200" s="174" t="s">
        <v>378</v>
      </c>
      <c r="D200" s="170">
        <f>IF(ISNUMBER(SEARCH(Checksheet!$U$11,B200)),MAX($D$1:D199)+1,"")</f>
        <v>199</v>
      </c>
      <c r="E200" s="170" t="str">
        <f t="shared" si="3"/>
        <v>PX8Y-50040-00-S</v>
      </c>
    </row>
    <row r="201" spans="1:5">
      <c r="A201" s="174" t="s">
        <v>393</v>
      </c>
      <c r="B201" s="174" t="s">
        <v>394</v>
      </c>
      <c r="C201" s="174" t="s">
        <v>378</v>
      </c>
      <c r="D201" s="170">
        <f>IF(ISNUMBER(SEARCH(Checksheet!$U$11,B201)),MAX($D$1:D200)+1,"")</f>
        <v>200</v>
      </c>
      <c r="E201" s="170" t="str">
        <f t="shared" si="3"/>
        <v>99213Y3050-1-S(ﾏｹﾞ)</v>
      </c>
    </row>
    <row r="202" spans="1:5">
      <c r="A202" s="174" t="s">
        <v>395</v>
      </c>
      <c r="B202" s="174" t="s">
        <v>396</v>
      </c>
      <c r="C202" s="174" t="s">
        <v>378</v>
      </c>
      <c r="D202" s="170">
        <f>IF(ISNUMBER(SEARCH(Checksheet!$U$11,B202)),MAX($D$1:D201)+1,"")</f>
        <v>201</v>
      </c>
      <c r="E202" s="170" t="str">
        <f t="shared" si="3"/>
        <v>99213Y3050-1BLHS(マゲ)</v>
      </c>
    </row>
    <row r="203" spans="1:5">
      <c r="A203" s="174" t="s">
        <v>397</v>
      </c>
      <c r="B203" s="174" t="s">
        <v>398</v>
      </c>
      <c r="C203" s="174" t="s">
        <v>378</v>
      </c>
      <c r="D203" s="170">
        <f>IF(ISNUMBER(SEARCH(Checksheet!$U$11,B203)),MAX($D$1:D202)+1,"")</f>
        <v>202</v>
      </c>
      <c r="E203" s="170" t="str">
        <f t="shared" si="3"/>
        <v>99214X2072-5-S</v>
      </c>
    </row>
    <row r="204" spans="1:5">
      <c r="A204" s="174" t="s">
        <v>399</v>
      </c>
      <c r="B204" s="174" t="s">
        <v>400</v>
      </c>
      <c r="C204" s="174" t="s">
        <v>378</v>
      </c>
      <c r="D204" s="170">
        <f>IF(ISNUMBER(SEARCH(Checksheet!$U$11,B204)),MAX($D$1:D203)+1,"")</f>
        <v>203</v>
      </c>
      <c r="E204" s="170" t="str">
        <f t="shared" si="3"/>
        <v>99214X2058-1-S(T)</v>
      </c>
    </row>
    <row r="205" spans="1:5">
      <c r="A205" s="174" t="s">
        <v>401</v>
      </c>
      <c r="B205" s="174" t="s">
        <v>402</v>
      </c>
      <c r="C205" s="174" t="s">
        <v>378</v>
      </c>
      <c r="D205" s="170">
        <f>IF(ISNUMBER(SEARCH(Checksheet!$U$11,B205)),MAX($D$1:D204)+1,"")</f>
        <v>204</v>
      </c>
      <c r="E205" s="170" t="str">
        <f t="shared" si="3"/>
        <v>99214X2059-1-S(T)</v>
      </c>
    </row>
    <row r="206" spans="1:5">
      <c r="A206" s="174" t="s">
        <v>403</v>
      </c>
      <c r="B206" s="174" t="s">
        <v>404</v>
      </c>
      <c r="C206" s="174" t="s">
        <v>378</v>
      </c>
      <c r="D206" s="170">
        <f>IF(ISNUMBER(SEARCH(Checksheet!$U$11,B206)),MAX($D$1:D205)+1,"")</f>
        <v>205</v>
      </c>
      <c r="E206" s="170" t="str">
        <f t="shared" si="3"/>
        <v>99214X2089-S(T)</v>
      </c>
    </row>
    <row r="207" spans="1:5">
      <c r="A207" s="174" t="s">
        <v>405</v>
      </c>
      <c r="B207" s="174" t="s">
        <v>406</v>
      </c>
      <c r="C207" s="174" t="s">
        <v>378</v>
      </c>
      <c r="D207" s="170">
        <f>IF(ISNUMBER(SEARCH(Checksheet!$U$11,B207)),MAX($D$1:D206)+1,"")</f>
        <v>206</v>
      </c>
      <c r="E207" s="170" t="str">
        <f t="shared" si="3"/>
        <v>99214X2070-1-S(T)</v>
      </c>
    </row>
    <row r="208" spans="1:5">
      <c r="A208" s="174" t="s">
        <v>407</v>
      </c>
      <c r="B208" s="174" t="s">
        <v>408</v>
      </c>
      <c r="C208" s="174" t="s">
        <v>378</v>
      </c>
      <c r="D208" s="170">
        <f>IF(ISNUMBER(SEARCH(Checksheet!$U$11,B208)),MAX($D$1:D207)+1,"")</f>
        <v>207</v>
      </c>
      <c r="E208" s="170" t="str">
        <f t="shared" si="3"/>
        <v>99214X2071-1-S(T)</v>
      </c>
    </row>
    <row r="209" spans="1:5">
      <c r="A209" s="174" t="s">
        <v>409</v>
      </c>
      <c r="B209" s="174" t="s">
        <v>410</v>
      </c>
      <c r="C209" s="174" t="s">
        <v>378</v>
      </c>
      <c r="D209" s="170">
        <f>IF(ISNUMBER(SEARCH(Checksheet!$U$11,B209)),MAX($D$1:D208)+1,"")</f>
        <v>208</v>
      </c>
      <c r="E209" s="170" t="str">
        <f t="shared" si="3"/>
        <v>99214X2075-2-S(T)</v>
      </c>
    </row>
    <row r="210" spans="1:5">
      <c r="A210" s="174" t="s">
        <v>411</v>
      </c>
      <c r="B210" s="174" t="s">
        <v>412</v>
      </c>
      <c r="C210" s="174" t="s">
        <v>378</v>
      </c>
      <c r="D210" s="170">
        <f>IF(ISNUMBER(SEARCH(Checksheet!$U$11,B210)),MAX($D$1:D209)+1,"")</f>
        <v>209</v>
      </c>
      <c r="E210" s="170" t="str">
        <f t="shared" si="3"/>
        <v>99214X2076-1-S(T)</v>
      </c>
    </row>
    <row r="211" spans="1:5">
      <c r="A211" s="174" t="s">
        <v>413</v>
      </c>
      <c r="B211" s="174" t="s">
        <v>414</v>
      </c>
      <c r="C211" s="174" t="s">
        <v>378</v>
      </c>
      <c r="D211" s="170">
        <f>IF(ISNUMBER(SEARCH(Checksheet!$U$11,B211)),MAX($D$1:D210)+1,"")</f>
        <v>210</v>
      </c>
      <c r="E211" s="170" t="str">
        <f t="shared" si="3"/>
        <v>99214X2078-4-S</v>
      </c>
    </row>
    <row r="212" spans="1:5">
      <c r="A212" s="174" t="s">
        <v>415</v>
      </c>
      <c r="B212" s="174" t="s">
        <v>416</v>
      </c>
      <c r="C212" s="174" t="s">
        <v>378</v>
      </c>
      <c r="D212" s="170">
        <f>IF(ISNUMBER(SEARCH(Checksheet!$U$11,B212)),MAX($D$1:D211)+1,"")</f>
        <v>211</v>
      </c>
      <c r="E212" s="170" t="str">
        <f t="shared" si="3"/>
        <v>99214X2079-2-S(T)</v>
      </c>
    </row>
    <row r="213" spans="1:5">
      <c r="A213" s="174" t="s">
        <v>417</v>
      </c>
      <c r="B213" s="174" t="s">
        <v>418</v>
      </c>
      <c r="C213" s="174" t="s">
        <v>378</v>
      </c>
      <c r="D213" s="170">
        <f>IF(ISNUMBER(SEARCH(Checksheet!$U$11,B213)),MAX($D$1:D212)+1,"")</f>
        <v>212</v>
      </c>
      <c r="E213" s="170" t="str">
        <f t="shared" si="3"/>
        <v>99214X2080-2-S(T)</v>
      </c>
    </row>
    <row r="214" spans="1:5">
      <c r="A214" s="174" t="s">
        <v>419</v>
      </c>
      <c r="B214" s="174" t="s">
        <v>420</v>
      </c>
      <c r="C214" s="174" t="s">
        <v>378</v>
      </c>
      <c r="D214" s="170">
        <f>IF(ISNUMBER(SEARCH(Checksheet!$U$11,B214)),MAX($D$1:D213)+1,"")</f>
        <v>213</v>
      </c>
      <c r="E214" s="170" t="str">
        <f t="shared" si="3"/>
        <v>99214X2084-1-S(T)</v>
      </c>
    </row>
    <row r="215" spans="1:5">
      <c r="A215" s="174" t="s">
        <v>421</v>
      </c>
      <c r="B215" s="174" t="s">
        <v>422</v>
      </c>
      <c r="C215" s="174" t="s">
        <v>378</v>
      </c>
      <c r="D215" s="170">
        <f>IF(ISNUMBER(SEARCH(Checksheet!$U$11,B215)),MAX($D$1:D214)+1,"")</f>
        <v>214</v>
      </c>
      <c r="E215" s="170" t="str">
        <f t="shared" si="3"/>
        <v>02724X2051-2-S(T)</v>
      </c>
    </row>
    <row r="216" spans="1:5">
      <c r="A216" s="174" t="s">
        <v>423</v>
      </c>
      <c r="B216" s="174" t="s">
        <v>424</v>
      </c>
      <c r="C216" s="174" t="s">
        <v>378</v>
      </c>
      <c r="D216" s="170">
        <f>IF(ISNUMBER(SEARCH(Checksheet!$U$11,B216)),MAX($D$1:D215)+1,"")</f>
        <v>215</v>
      </c>
      <c r="E216" s="170" t="str">
        <f t="shared" si="3"/>
        <v>02754X2001-1-S(T)</v>
      </c>
    </row>
    <row r="217" spans="1:5">
      <c r="A217" s="174" t="s">
        <v>425</v>
      </c>
      <c r="B217" s="174" t="s">
        <v>426</v>
      </c>
      <c r="C217" s="174" t="s">
        <v>378</v>
      </c>
      <c r="D217" s="170">
        <f>IF(ISNUMBER(SEARCH(Checksheet!$U$11,B217)),MAX($D$1:D216)+1,"")</f>
        <v>216</v>
      </c>
      <c r="E217" s="170" t="str">
        <f t="shared" si="3"/>
        <v>99214X2073-S(T)</v>
      </c>
    </row>
    <row r="218" spans="1:5">
      <c r="A218" s="174" t="s">
        <v>427</v>
      </c>
      <c r="B218" s="174" t="s">
        <v>428</v>
      </c>
      <c r="C218" s="174" t="s">
        <v>378</v>
      </c>
      <c r="D218" s="170">
        <f>IF(ISNUMBER(SEARCH(Checksheet!$U$11,B218)),MAX($D$1:D217)+1,"")</f>
        <v>217</v>
      </c>
      <c r="E218" s="170" t="str">
        <f t="shared" si="3"/>
        <v>99214X2074-S(T)</v>
      </c>
    </row>
    <row r="219" spans="1:5">
      <c r="A219" s="174" t="s">
        <v>429</v>
      </c>
      <c r="B219" s="174" t="s">
        <v>430</v>
      </c>
      <c r="C219" s="174" t="s">
        <v>378</v>
      </c>
      <c r="D219" s="170">
        <f>IF(ISNUMBER(SEARCH(Checksheet!$U$11,B219)),MAX($D$1:D218)+1,"")</f>
        <v>218</v>
      </c>
      <c r="E219" s="170" t="str">
        <f t="shared" si="3"/>
        <v>99214X2090-S(T)</v>
      </c>
    </row>
    <row r="220" spans="1:5">
      <c r="A220" s="174" t="s">
        <v>431</v>
      </c>
      <c r="B220" s="174" t="s">
        <v>432</v>
      </c>
      <c r="C220" s="174" t="s">
        <v>378</v>
      </c>
      <c r="D220" s="170">
        <f>IF(ISNUMBER(SEARCH(Checksheet!$U$11,B220)),MAX($D$1:D219)+1,"")</f>
        <v>219</v>
      </c>
      <c r="E220" s="170" t="str">
        <f t="shared" si="3"/>
        <v>99214X2057-S(T)</v>
      </c>
    </row>
    <row r="221" spans="1:5">
      <c r="A221" s="174" t="s">
        <v>433</v>
      </c>
      <c r="B221" s="174" t="s">
        <v>434</v>
      </c>
      <c r="C221" s="174" t="s">
        <v>378</v>
      </c>
      <c r="D221" s="170">
        <f>IF(ISNUMBER(SEARCH(Checksheet!$U$11,B221)),MAX($D$1:D220)+1,"")</f>
        <v>220</v>
      </c>
      <c r="E221" s="170" t="str">
        <f t="shared" si="3"/>
        <v>99214X2053-S(T)</v>
      </c>
    </row>
    <row r="222" spans="1:5">
      <c r="A222" s="174" t="s">
        <v>435</v>
      </c>
      <c r="B222" s="174" t="s">
        <v>436</v>
      </c>
      <c r="C222" s="174" t="s">
        <v>378</v>
      </c>
      <c r="D222" s="170">
        <f>IF(ISNUMBER(SEARCH(Checksheet!$U$11,B222)),MAX($D$1:D221)+1,"")</f>
        <v>221</v>
      </c>
      <c r="E222" s="170" t="str">
        <f t="shared" si="3"/>
        <v>02734X2952-1-S(T)</v>
      </c>
    </row>
    <row r="223" spans="1:5">
      <c r="A223" s="174" t="s">
        <v>437</v>
      </c>
      <c r="B223" s="174" t="s">
        <v>438</v>
      </c>
      <c r="C223" s="174" t="s">
        <v>378</v>
      </c>
      <c r="D223" s="170">
        <f>IF(ISNUMBER(SEARCH(Checksheet!$U$11,B223)),MAX($D$1:D222)+1,"")</f>
        <v>222</v>
      </c>
      <c r="E223" s="170" t="str">
        <f t="shared" si="3"/>
        <v>99214X2083-3-S(T)</v>
      </c>
    </row>
    <row r="224" spans="1:5">
      <c r="A224" s="174" t="s">
        <v>439</v>
      </c>
      <c r="B224" s="174" t="s">
        <v>440</v>
      </c>
      <c r="C224" s="174" t="s">
        <v>378</v>
      </c>
      <c r="D224" s="170">
        <f>IF(ISNUMBER(SEARCH(Checksheet!$U$11,B224)),MAX($D$1:D223)+1,"")</f>
        <v>223</v>
      </c>
      <c r="E224" s="170" t="str">
        <f t="shared" si="3"/>
        <v>02604X2001-2-S</v>
      </c>
    </row>
    <row r="225" spans="1:5">
      <c r="A225" s="174" t="s">
        <v>441</v>
      </c>
      <c r="B225" s="174" t="s">
        <v>442</v>
      </c>
      <c r="C225" s="174" t="s">
        <v>378</v>
      </c>
      <c r="D225" s="170">
        <f>IF(ISNUMBER(SEARCH(Checksheet!$U$11,B225)),MAX($D$1:D224)+1,"")</f>
        <v>224</v>
      </c>
      <c r="E225" s="170" t="str">
        <f t="shared" si="3"/>
        <v>VRA2044-A-03(LTK)-S</v>
      </c>
    </row>
    <row r="226" spans="1:5">
      <c r="A226" s="174" t="s">
        <v>443</v>
      </c>
      <c r="B226" s="174" t="s">
        <v>444</v>
      </c>
      <c r="C226" s="174" t="s">
        <v>378</v>
      </c>
      <c r="D226" s="170">
        <f>IF(ISNUMBER(SEARCH(Checksheet!$U$11,B226)),MAX($D$1:D225)+1,"")</f>
        <v>225</v>
      </c>
      <c r="E226" s="170" t="str">
        <f t="shared" si="3"/>
        <v>VRA5275-A-01-S</v>
      </c>
    </row>
    <row r="227" spans="1:5">
      <c r="A227" s="174" t="s">
        <v>445</v>
      </c>
      <c r="B227" s="174" t="s">
        <v>446</v>
      </c>
      <c r="C227" s="174" t="s">
        <v>378</v>
      </c>
      <c r="D227" s="170">
        <f>IF(ISNUMBER(SEARCH(Checksheet!$U$11,B227)),MAX($D$1:D226)+1,"")</f>
        <v>226</v>
      </c>
      <c r="E227" s="170" t="str">
        <f t="shared" si="3"/>
        <v>1022F547 VUS4D-S</v>
      </c>
    </row>
    <row r="228" spans="1:5">
      <c r="A228" s="174" t="s">
        <v>447</v>
      </c>
      <c r="B228" s="174" t="s">
        <v>448</v>
      </c>
      <c r="C228" s="174" t="s">
        <v>378</v>
      </c>
      <c r="D228" s="170">
        <f>IF(ISNUMBER(SEARCH(Checksheet!$U$11,B228)),MAX($D$1:D227)+1,"")</f>
        <v>227</v>
      </c>
      <c r="E228" s="170" t="str">
        <f t="shared" si="3"/>
        <v>D00109287E-S</v>
      </c>
    </row>
    <row r="229" spans="1:5">
      <c r="A229" s="174" t="s">
        <v>449</v>
      </c>
      <c r="B229" s="174" t="s">
        <v>450</v>
      </c>
      <c r="C229" s="174" t="s">
        <v>378</v>
      </c>
      <c r="D229" s="170">
        <f>IF(ISNUMBER(SEARCH(Checksheet!$U$11,B229)),MAX($D$1:D228)+1,"")</f>
        <v>228</v>
      </c>
      <c r="E229" s="170" t="str">
        <f t="shared" si="3"/>
        <v>02644X2910-S</v>
      </c>
    </row>
    <row r="230" spans="1:5">
      <c r="A230" s="174" t="s">
        <v>451</v>
      </c>
      <c r="B230" s="174" t="s">
        <v>452</v>
      </c>
      <c r="C230" s="174" t="s">
        <v>378</v>
      </c>
      <c r="D230" s="170">
        <f>IF(ISNUMBER(SEARCH(Checksheet!$U$11,B230)),MAX($D$1:D229)+1,"")</f>
        <v>229</v>
      </c>
      <c r="E230" s="170" t="str">
        <f t="shared" si="3"/>
        <v>99214X2161-3-S</v>
      </c>
    </row>
    <row r="231" spans="1:5">
      <c r="A231" s="174" t="s">
        <v>453</v>
      </c>
      <c r="B231" s="174" t="s">
        <v>454</v>
      </c>
      <c r="C231" s="174" t="s">
        <v>378</v>
      </c>
      <c r="D231" s="170">
        <f>IF(ISNUMBER(SEARCH(Checksheet!$U$11,B231)),MAX($D$1:D230)+1,"")</f>
        <v>230</v>
      </c>
      <c r="E231" s="170" t="str">
        <f t="shared" si="3"/>
        <v>99214X2163-1-S</v>
      </c>
    </row>
    <row r="232" spans="1:5">
      <c r="A232" s="174" t="s">
        <v>455</v>
      </c>
      <c r="B232" s="174" t="s">
        <v>456</v>
      </c>
      <c r="C232" s="174" t="s">
        <v>378</v>
      </c>
      <c r="D232" s="170">
        <f>IF(ISNUMBER(SEARCH(Checksheet!$U$11,B232)),MAX($D$1:D231)+1,"")</f>
        <v>231</v>
      </c>
      <c r="E232" s="170" t="str">
        <f t="shared" si="3"/>
        <v>99213Y3050-1ｺﾝﾊﾟﾁ-S</v>
      </c>
    </row>
    <row r="233" spans="1:5">
      <c r="A233" s="174" t="s">
        <v>457</v>
      </c>
      <c r="B233" s="174" t="s">
        <v>458</v>
      </c>
      <c r="C233" s="174" t="s">
        <v>378</v>
      </c>
      <c r="D233" s="170">
        <f>IF(ISNUMBER(SEARCH(Checksheet!$U$11,B233)),MAX($D$1:D232)+1,"")</f>
        <v>232</v>
      </c>
      <c r="E233" s="170" t="str">
        <f t="shared" si="3"/>
        <v>99214X2053-2ｺﾝﾊﾟﾁ-S</v>
      </c>
    </row>
    <row r="234" spans="1:5">
      <c r="A234" s="174" t="s">
        <v>459</v>
      </c>
      <c r="B234" s="174" t="s">
        <v>460</v>
      </c>
      <c r="C234" s="174" t="s">
        <v>378</v>
      </c>
      <c r="D234" s="170">
        <f>IF(ISNUMBER(SEARCH(Checksheet!$U$11,B234)),MAX($D$1:D233)+1,"")</f>
        <v>233</v>
      </c>
      <c r="E234" s="170" t="str">
        <f t="shared" si="3"/>
        <v>99214X2058-2ｺﾝﾊﾟﾁ-S</v>
      </c>
    </row>
    <row r="235" spans="1:5">
      <c r="A235" s="174" t="s">
        <v>461</v>
      </c>
      <c r="B235" s="174" t="s">
        <v>462</v>
      </c>
      <c r="C235" s="174" t="s">
        <v>378</v>
      </c>
      <c r="D235" s="170">
        <f>IF(ISNUMBER(SEARCH(Checksheet!$U$11,B235)),MAX($D$1:D234)+1,"")</f>
        <v>234</v>
      </c>
      <c r="E235" s="170" t="str">
        <f t="shared" si="3"/>
        <v>99214X2059-2ｺﾝﾊﾟﾁ-S</v>
      </c>
    </row>
    <row r="236" spans="1:5">
      <c r="A236" s="174" t="s">
        <v>463</v>
      </c>
      <c r="B236" s="174" t="s">
        <v>464</v>
      </c>
      <c r="C236" s="174" t="s">
        <v>378</v>
      </c>
      <c r="D236" s="170">
        <f>IF(ISNUMBER(SEARCH(Checksheet!$U$11,B236)),MAX($D$1:D235)+1,"")</f>
        <v>235</v>
      </c>
      <c r="E236" s="170" t="str">
        <f t="shared" si="3"/>
        <v>99214X2078-5ｺﾝﾊﾟﾁ-S</v>
      </c>
    </row>
    <row r="237" spans="1:5">
      <c r="A237" s="174" t="s">
        <v>465</v>
      </c>
      <c r="B237" s="174" t="s">
        <v>466</v>
      </c>
      <c r="C237" s="174" t="s">
        <v>378</v>
      </c>
      <c r="D237" s="170">
        <f>IF(ISNUMBER(SEARCH(Checksheet!$U$11,B237)),MAX($D$1:D236)+1,"")</f>
        <v>236</v>
      </c>
      <c r="E237" s="170" t="str">
        <f t="shared" si="3"/>
        <v>99214X2080-4ｺﾝﾊﾟﾁ-S</v>
      </c>
    </row>
    <row r="238" spans="1:5">
      <c r="A238" s="174" t="s">
        <v>467</v>
      </c>
      <c r="B238" s="174" t="s">
        <v>468</v>
      </c>
      <c r="C238" s="174" t="s">
        <v>378</v>
      </c>
      <c r="D238" s="170">
        <f>IF(ISNUMBER(SEARCH(Checksheet!$U$11,B238)),MAX($D$1:D237)+1,"")</f>
        <v>237</v>
      </c>
      <c r="E238" s="170" t="str">
        <f t="shared" si="3"/>
        <v>99214X2083-4ｺﾝﾊﾟﾁ-S</v>
      </c>
    </row>
    <row r="239" spans="1:5">
      <c r="A239" s="174" t="s">
        <v>469</v>
      </c>
      <c r="B239" s="174" t="s">
        <v>470</v>
      </c>
      <c r="C239" s="174" t="s">
        <v>378</v>
      </c>
      <c r="D239" s="170">
        <f>IF(ISNUMBER(SEARCH(Checksheet!$U$11,B239)),MAX($D$1:D238)+1,"")</f>
        <v>238</v>
      </c>
      <c r="E239" s="170" t="str">
        <f t="shared" si="3"/>
        <v>99214X2073-1ｺﾝﾊﾟﾁ-S</v>
      </c>
    </row>
    <row r="240" spans="1:5">
      <c r="A240" s="174" t="s">
        <v>471</v>
      </c>
      <c r="B240" s="174" t="s">
        <v>472</v>
      </c>
      <c r="C240" s="174" t="s">
        <v>378</v>
      </c>
      <c r="D240" s="170">
        <f>IF(ISNUMBER(SEARCH(Checksheet!$U$11,B240)),MAX($D$1:D239)+1,"")</f>
        <v>239</v>
      </c>
      <c r="E240" s="170" t="str">
        <f t="shared" si="3"/>
        <v>99214X2074-1ｺﾝﾊﾟﾁ-S</v>
      </c>
    </row>
    <row r="241" spans="1:5">
      <c r="A241" s="174" t="s">
        <v>473</v>
      </c>
      <c r="B241" s="174" t="s">
        <v>474</v>
      </c>
      <c r="C241" s="174" t="s">
        <v>378</v>
      </c>
      <c r="D241" s="170">
        <f>IF(ISNUMBER(SEARCH(Checksheet!$U$11,B241)),MAX($D$1:D240)+1,"")</f>
        <v>240</v>
      </c>
      <c r="E241" s="170" t="str">
        <f t="shared" si="3"/>
        <v>99214X2075-3ｺﾝﾊﾟﾁ-S</v>
      </c>
    </row>
    <row r="242" spans="1:5">
      <c r="A242" s="174" t="s">
        <v>475</v>
      </c>
      <c r="B242" s="174" t="s">
        <v>476</v>
      </c>
      <c r="C242" s="174" t="s">
        <v>378</v>
      </c>
      <c r="D242" s="170">
        <f>IF(ISNUMBER(SEARCH(Checksheet!$U$11,B242)),MAX($D$1:D241)+1,"")</f>
        <v>241</v>
      </c>
      <c r="E242" s="170" t="str">
        <f t="shared" si="3"/>
        <v>99214X2160-3ｺﾝﾊﾟﾁ-S</v>
      </c>
    </row>
    <row r="243" spans="1:5">
      <c r="A243" s="174" t="s">
        <v>477</v>
      </c>
      <c r="B243" s="174" t="s">
        <v>478</v>
      </c>
      <c r="C243" s="174" t="s">
        <v>378</v>
      </c>
      <c r="D243" s="170">
        <f>IF(ISNUMBER(SEARCH(Checksheet!$U$11,B243)),MAX($D$1:D242)+1,"")</f>
        <v>242</v>
      </c>
      <c r="E243" s="170" t="str">
        <f t="shared" si="3"/>
        <v>99214X2163-2ｺﾝﾊﾟﾁ-S</v>
      </c>
    </row>
    <row r="244" spans="1:5">
      <c r="A244" s="174" t="s">
        <v>479</v>
      </c>
      <c r="B244" s="174" t="s">
        <v>480</v>
      </c>
      <c r="C244" s="174" t="s">
        <v>378</v>
      </c>
      <c r="D244" s="170">
        <f>IF(ISNUMBER(SEARCH(Checksheet!$U$11,B244)),MAX($D$1:D243)+1,"")</f>
        <v>243</v>
      </c>
      <c r="E244" s="170" t="str">
        <f t="shared" si="3"/>
        <v>99214X2165-2ｺﾝﾊﾟﾁ-S</v>
      </c>
    </row>
    <row r="245" spans="1:5">
      <c r="A245" s="174" t="s">
        <v>481</v>
      </c>
      <c r="B245" s="174" t="s">
        <v>482</v>
      </c>
      <c r="C245" s="174" t="s">
        <v>378</v>
      </c>
      <c r="D245" s="170">
        <f>IF(ISNUMBER(SEARCH(Checksheet!$U$11,B245)),MAX($D$1:D244)+1,"")</f>
        <v>244</v>
      </c>
      <c r="E245" s="170" t="str">
        <f t="shared" si="3"/>
        <v>99214X2165-2(ZER07S)-S</v>
      </c>
    </row>
    <row r="246" spans="1:5">
      <c r="A246" s="174" t="s">
        <v>483</v>
      </c>
      <c r="B246" s="174" t="s">
        <v>484</v>
      </c>
      <c r="C246" s="174" t="s">
        <v>378</v>
      </c>
      <c r="D246" s="170">
        <f>IF(ISNUMBER(SEARCH(Checksheet!$U$11,B246)),MAX($D$1:D245)+1,"")</f>
        <v>245</v>
      </c>
      <c r="E246" s="170" t="str">
        <f t="shared" si="3"/>
        <v>99214X2166-2ｺﾝﾊﾟﾁ-S</v>
      </c>
    </row>
    <row r="247" spans="1:5">
      <c r="A247" s="174" t="s">
        <v>485</v>
      </c>
      <c r="B247" s="174" t="s">
        <v>486</v>
      </c>
      <c r="C247" s="174" t="s">
        <v>378</v>
      </c>
      <c r="D247" s="170">
        <f>IF(ISNUMBER(SEARCH(Checksheet!$U$11,B247)),MAX($D$1:D246)+1,"")</f>
        <v>246</v>
      </c>
      <c r="E247" s="170" t="str">
        <f t="shared" si="3"/>
        <v>99214X2057-1ｺﾝﾊﾟﾁ-S</v>
      </c>
    </row>
    <row r="248" spans="1:5">
      <c r="A248" s="174" t="s">
        <v>487</v>
      </c>
      <c r="B248" s="174" t="s">
        <v>488</v>
      </c>
      <c r="C248" s="174" t="s">
        <v>378</v>
      </c>
      <c r="D248" s="170">
        <f>IF(ISNUMBER(SEARCH(Checksheet!$U$11,B248)),MAX($D$1:D247)+1,"")</f>
        <v>247</v>
      </c>
      <c r="E248" s="170" t="str">
        <f t="shared" si="3"/>
        <v>99214X2079-2XINDA-S(T)</v>
      </c>
    </row>
    <row r="249" spans="1:5">
      <c r="A249" s="174" t="s">
        <v>489</v>
      </c>
      <c r="B249" s="174" t="s">
        <v>490</v>
      </c>
      <c r="C249" s="174" t="s">
        <v>378</v>
      </c>
      <c r="D249" s="170">
        <f>IF(ISNUMBER(SEARCH(Checksheet!$U$11,B249)),MAX($D$1:D248)+1,"")</f>
        <v>248</v>
      </c>
      <c r="E249" s="170" t="str">
        <f t="shared" si="3"/>
        <v>99214X2080-2CJT/XIN(T)</v>
      </c>
    </row>
    <row r="250" spans="1:5">
      <c r="A250" s="174" t="s">
        <v>491</v>
      </c>
      <c r="B250" s="174" t="s">
        <v>492</v>
      </c>
      <c r="C250" s="174" t="s">
        <v>378</v>
      </c>
      <c r="D250" s="170">
        <f>IF(ISNUMBER(SEARCH(Checksheet!$U$11,B250)),MAX($D$1:D249)+1,"")</f>
        <v>249</v>
      </c>
      <c r="E250" s="170" t="str">
        <f t="shared" si="3"/>
        <v>99214X2053-2PUDP-XIN(T</v>
      </c>
    </row>
    <row r="251" spans="1:5">
      <c r="A251" s="174" t="s">
        <v>493</v>
      </c>
      <c r="B251" s="174" t="s">
        <v>494</v>
      </c>
      <c r="C251" s="174" t="s">
        <v>378</v>
      </c>
      <c r="D251" s="170">
        <f>IF(ISNUMBER(SEARCH(Checksheet!$U$11,B251)),MAX($D$1:D250)+1,"")</f>
        <v>250</v>
      </c>
      <c r="E251" s="170" t="str">
        <f t="shared" si="3"/>
        <v>99214X2057-1PUDP-XIN(T</v>
      </c>
    </row>
    <row r="252" spans="1:5">
      <c r="A252" s="174" t="s">
        <v>495</v>
      </c>
      <c r="B252" s="174" t="s">
        <v>496</v>
      </c>
      <c r="C252" s="174" t="s">
        <v>378</v>
      </c>
      <c r="D252" s="170">
        <f>IF(ISNUMBER(SEARCH(Checksheet!$U$11,B252)),MAX($D$1:D251)+1,"")</f>
        <v>251</v>
      </c>
      <c r="E252" s="170" t="str">
        <f t="shared" si="3"/>
        <v>99214X2160-3PUDP-XIN-S</v>
      </c>
    </row>
    <row r="253" spans="1:5">
      <c r="A253" s="174" t="s">
        <v>497</v>
      </c>
      <c r="B253" s="174" t="s">
        <v>498</v>
      </c>
      <c r="C253" s="174" t="s">
        <v>378</v>
      </c>
      <c r="D253" s="170">
        <f>IF(ISNUMBER(SEARCH(Checksheet!$U$11,B253)),MAX($D$1:D252)+1,"")</f>
        <v>252</v>
      </c>
      <c r="E253" s="170" t="str">
        <f t="shared" si="3"/>
        <v>99214X2161-3PUDP-XIN-S</v>
      </c>
    </row>
    <row r="254" spans="1:5">
      <c r="A254" s="174" t="s">
        <v>499</v>
      </c>
      <c r="B254" s="174" t="s">
        <v>500</v>
      </c>
      <c r="C254" s="174" t="s">
        <v>378</v>
      </c>
      <c r="D254" s="170">
        <f>IF(ISNUMBER(SEARCH(Checksheet!$U$11,B254)),MAX($D$1:D253)+1,"")</f>
        <v>253</v>
      </c>
      <c r="E254" s="170" t="str">
        <f t="shared" si="3"/>
        <v>99214X2070-1PUDP-XIN(T</v>
      </c>
    </row>
    <row r="255" spans="1:5">
      <c r="A255" s="174" t="s">
        <v>501</v>
      </c>
      <c r="B255" s="174" t="s">
        <v>502</v>
      </c>
      <c r="C255" s="174" t="s">
        <v>378</v>
      </c>
      <c r="D255" s="170">
        <f>IF(ISNUMBER(SEARCH(Checksheet!$U$11,B255)),MAX($D$1:D254)+1,"")</f>
        <v>254</v>
      </c>
      <c r="E255" s="170" t="str">
        <f t="shared" si="3"/>
        <v>99214X2071-1PUDP-XIN(T</v>
      </c>
    </row>
    <row r="256" spans="1:5">
      <c r="A256" s="174" t="s">
        <v>503</v>
      </c>
      <c r="B256" s="174" t="s">
        <v>504</v>
      </c>
      <c r="C256" s="174" t="s">
        <v>378</v>
      </c>
      <c r="D256" s="170">
        <f>IF(ISNUMBER(SEARCH(Checksheet!$U$11,B256)),MAX($D$1:D255)+1,"")</f>
        <v>255</v>
      </c>
      <c r="E256" s="170" t="str">
        <f t="shared" si="3"/>
        <v>99213Y3050-1XINDAﾏｹﾞｼｻ</v>
      </c>
    </row>
    <row r="257" spans="1:5">
      <c r="A257" s="174" t="s">
        <v>505</v>
      </c>
      <c r="B257" s="174" t="s">
        <v>506</v>
      </c>
      <c r="C257" s="174" t="s">
        <v>378</v>
      </c>
      <c r="D257" s="170">
        <f>IF(ISNUMBER(SEARCH(Checksheet!$U$11,B257)),MAX($D$1:D256)+1,"")</f>
        <v>256</v>
      </c>
      <c r="E257" s="170" t="str">
        <f t="shared" si="3"/>
        <v>99213Y3050-1CJT/XIN-S</v>
      </c>
    </row>
    <row r="258" spans="1:5">
      <c r="A258" s="174" t="s">
        <v>507</v>
      </c>
      <c r="B258" s="174" t="s">
        <v>508</v>
      </c>
      <c r="C258" s="174" t="s">
        <v>378</v>
      </c>
      <c r="D258" s="170">
        <f>IF(ISNUMBER(SEARCH(Checksheet!$U$11,B258)),MAX($D$1:D257)+1,"")</f>
        <v>257</v>
      </c>
      <c r="E258" s="170" t="str">
        <f t="shared" si="3"/>
        <v>99214X2057CJT/XIN-S(T)</v>
      </c>
    </row>
    <row r="259" spans="1:5">
      <c r="A259" s="174" t="s">
        <v>509</v>
      </c>
      <c r="B259" s="174" t="s">
        <v>510</v>
      </c>
      <c r="C259" s="174" t="s">
        <v>378</v>
      </c>
      <c r="D259" s="170">
        <f>IF(ISNUMBER(SEARCH(Checksheet!$U$11,B259)),MAX($D$1:D258)+1,"")</f>
        <v>258</v>
      </c>
      <c r="E259" s="170" t="str">
        <f t="shared" ref="E259:E322" si="4">IFERROR(INDEX($B:$B,MATCH(ROW()-1,$D:$D,0),1),"")</f>
        <v>99214X2161-3XINDA-S</v>
      </c>
    </row>
    <row r="260" spans="1:5">
      <c r="A260" s="174" t="s">
        <v>511</v>
      </c>
      <c r="B260" s="174" t="s">
        <v>512</v>
      </c>
      <c r="C260" s="174" t="s">
        <v>378</v>
      </c>
      <c r="D260" s="170">
        <f>IF(ISNUMBER(SEARCH(Checksheet!$U$11,B260)),MAX($D$1:D259)+1,"")</f>
        <v>259</v>
      </c>
      <c r="E260" s="170" t="str">
        <f t="shared" si="4"/>
        <v>99214X2163-1CJT/XIN-S</v>
      </c>
    </row>
    <row r="261" spans="1:5">
      <c r="A261" s="174" t="s">
        <v>513</v>
      </c>
      <c r="B261" s="174" t="s">
        <v>514</v>
      </c>
      <c r="C261" s="174" t="s">
        <v>378</v>
      </c>
      <c r="D261" s="170">
        <f>IF(ISNUMBER(SEARCH(Checksheet!$U$11,B261)),MAX($D$1:D260)+1,"")</f>
        <v>260</v>
      </c>
      <c r="E261" s="170" t="str">
        <f t="shared" si="4"/>
        <v>99214X2053CJT/XIN-S(T)</v>
      </c>
    </row>
    <row r="262" spans="1:5">
      <c r="A262" s="174" t="s">
        <v>515</v>
      </c>
      <c r="B262" s="174" t="s">
        <v>516</v>
      </c>
      <c r="C262" s="174" t="s">
        <v>378</v>
      </c>
      <c r="D262" s="170">
        <f>IF(ISNUMBER(SEARCH(Checksheet!$U$11,B262)),MAX($D$1:D261)+1,"")</f>
        <v>261</v>
      </c>
      <c r="E262" s="170" t="str">
        <f t="shared" si="4"/>
        <v>99214X2078-4CJT/XIN-S</v>
      </c>
    </row>
    <row r="263" spans="1:5">
      <c r="A263" s="174" t="s">
        <v>517</v>
      </c>
      <c r="B263" s="174" t="s">
        <v>518</v>
      </c>
      <c r="C263" s="174" t="s">
        <v>378</v>
      </c>
      <c r="D263" s="170">
        <f>IF(ISNUMBER(SEARCH(Checksheet!$U$11,B263)),MAX($D$1:D262)+1,"")</f>
        <v>262</v>
      </c>
      <c r="E263" s="170" t="str">
        <f t="shared" si="4"/>
        <v>99214X2163-1KUMITATETP</v>
      </c>
    </row>
    <row r="264" spans="1:5">
      <c r="A264" s="174" t="s">
        <v>519</v>
      </c>
      <c r="B264" s="174" t="s">
        <v>520</v>
      </c>
      <c r="C264" s="174" t="s">
        <v>378</v>
      </c>
      <c r="D264" s="170">
        <f>IF(ISNUMBER(SEARCH(Checksheet!$U$11,B264)),MAX($D$1:D263)+1,"")</f>
        <v>263</v>
      </c>
      <c r="E264" s="170" t="str">
        <f t="shared" si="4"/>
        <v>99214X2160-2XINDA-S ｼｻ</v>
      </c>
    </row>
    <row r="265" spans="1:5">
      <c r="A265" s="174" t="s">
        <v>521</v>
      </c>
      <c r="B265" s="174" t="s">
        <v>522</v>
      </c>
      <c r="C265" s="174" t="s">
        <v>378</v>
      </c>
      <c r="D265" s="170">
        <f>IF(ISNUMBER(SEARCH(Checksheet!$U$11,B265)),MAX($D$1:D264)+1,"")</f>
        <v>264</v>
      </c>
      <c r="E265" s="170" t="str">
        <f t="shared" si="4"/>
        <v>99214X2163-1XINDA-S ｼｻ</v>
      </c>
    </row>
    <row r="266" spans="1:5">
      <c r="A266" s="174" t="s">
        <v>523</v>
      </c>
      <c r="B266" s="174" t="s">
        <v>524</v>
      </c>
      <c r="C266" s="174" t="s">
        <v>378</v>
      </c>
      <c r="D266" s="170">
        <f>IF(ISNUMBER(SEARCH(Checksheet!$U$11,B266)),MAX($D$1:D265)+1,"")</f>
        <v>265</v>
      </c>
      <c r="E266" s="170" t="str">
        <f t="shared" si="4"/>
        <v>99214X2166-1XINDA-S ｼｻ</v>
      </c>
    </row>
    <row r="267" spans="1:5">
      <c r="A267" s="174" t="s">
        <v>525</v>
      </c>
      <c r="B267" s="174" t="s">
        <v>526</v>
      </c>
      <c r="C267" s="174" t="s">
        <v>527</v>
      </c>
      <c r="D267" s="170">
        <f>IF(ISNUMBER(SEARCH(Checksheet!$U$11,B267)),MAX($D$1:D266)+1,"")</f>
        <v>266</v>
      </c>
      <c r="E267" s="170" t="str">
        <f t="shared" si="4"/>
        <v>SM68HCU13-S</v>
      </c>
    </row>
    <row r="268" spans="1:5">
      <c r="A268" s="174" t="s">
        <v>528</v>
      </c>
      <c r="B268" s="174" t="s">
        <v>529</v>
      </c>
      <c r="C268" s="174" t="s">
        <v>530</v>
      </c>
      <c r="D268" s="170">
        <f>IF(ISNUMBER(SEARCH(Checksheet!$U$11,B268)),MAX($D$1:D267)+1,"")</f>
        <v>267</v>
      </c>
      <c r="E268" s="170" t="str">
        <f t="shared" si="4"/>
        <v>ｵｼﾛｵｼﾛ7ﾊｲｾﾝBR21F1-S</v>
      </c>
    </row>
    <row r="269" spans="1:5">
      <c r="A269" s="174" t="s">
        <v>531</v>
      </c>
      <c r="B269" s="174" t="s">
        <v>532</v>
      </c>
      <c r="C269" s="174" t="s">
        <v>530</v>
      </c>
      <c r="D269" s="170">
        <f>IF(ISNUMBER(SEARCH(Checksheet!$U$11,B269)),MAX($D$1:D268)+1,"")</f>
        <v>268</v>
      </c>
      <c r="E269" s="170" t="str">
        <f t="shared" si="4"/>
        <v>ｵｼﾛｵｼﾛ8ﾊｲｾﾝBR35F2-S</v>
      </c>
    </row>
    <row r="270" spans="1:5">
      <c r="A270" s="174" t="s">
        <v>533</v>
      </c>
      <c r="B270" s="174" t="s">
        <v>534</v>
      </c>
      <c r="C270" s="174" t="s">
        <v>530</v>
      </c>
      <c r="D270" s="170">
        <f>IF(ISNUMBER(SEARCH(Checksheet!$U$11,B270)),MAX($D$1:D269)+1,"")</f>
        <v>269</v>
      </c>
      <c r="E270" s="170" t="str">
        <f t="shared" si="4"/>
        <v>ｵｼﾛｵﾑﾗｻｷ8ﾊｲｾﾝBR49F1-S</v>
      </c>
    </row>
    <row r="271" spans="1:5">
      <c r="A271" s="174" t="s">
        <v>535</v>
      </c>
      <c r="B271" s="174" t="s">
        <v>536</v>
      </c>
      <c r="C271" s="174" t="s">
        <v>530</v>
      </c>
      <c r="D271" s="170">
        <f>IF(ISNUMBER(SEARCH(Checksheet!$U$11,B271)),MAX($D$1:D270)+1,"")</f>
        <v>270</v>
      </c>
      <c r="E271" s="170" t="str">
        <f t="shared" si="4"/>
        <v>ｵｼﾛｵｱｵ6ﾊｲｾﾝBR23-S</v>
      </c>
    </row>
    <row r="272" spans="1:5">
      <c r="A272" s="174" t="s">
        <v>537</v>
      </c>
      <c r="B272" s="174" t="s">
        <v>538</v>
      </c>
      <c r="C272" s="174" t="s">
        <v>530</v>
      </c>
      <c r="D272" s="170">
        <f>IF(ISNUMBER(SEARCH(Checksheet!$U$11,B272)),MAX($D$1:D271)+1,"")</f>
        <v>271</v>
      </c>
      <c r="E272" s="170" t="str">
        <f t="shared" si="4"/>
        <v>ｵｼﾛｵｱｶ6ﾊｲｾﾝBR24-S</v>
      </c>
    </row>
    <row r="273" spans="1:5">
      <c r="A273" s="174" t="s">
        <v>539</v>
      </c>
      <c r="B273" s="174" t="s">
        <v>540</v>
      </c>
      <c r="C273" s="174" t="s">
        <v>530</v>
      </c>
      <c r="D273" s="170">
        <f>IF(ISNUMBER(SEARCH(Checksheet!$U$11,B273)),MAX($D$1:D272)+1,"")</f>
        <v>272</v>
      </c>
      <c r="E273" s="170" t="str">
        <f t="shared" si="4"/>
        <v>ｵｼﾛｵｼﾛ6ﾊｲｾﾝBR21-S</v>
      </c>
    </row>
    <row r="274" spans="1:5">
      <c r="A274" s="174" t="s">
        <v>541</v>
      </c>
      <c r="B274" s="174" t="s">
        <v>542</v>
      </c>
      <c r="C274" s="174" t="s">
        <v>530</v>
      </c>
      <c r="D274" s="170">
        <f>IF(ISNUMBER(SEARCH(Checksheet!$U$11,B274)),MAX($D$1:D273)+1,"")</f>
        <v>273</v>
      </c>
      <c r="E274" s="170" t="str">
        <f t="shared" si="4"/>
        <v>ｵｼﾛｵｱｵ6ﾊｲｾﾝBR23-S(SK</v>
      </c>
    </row>
    <row r="275" spans="1:5">
      <c r="A275" s="174" t="s">
        <v>543</v>
      </c>
      <c r="B275" s="174" t="s">
        <v>544</v>
      </c>
      <c r="C275" s="174" t="s">
        <v>530</v>
      </c>
      <c r="D275" s="170">
        <f>IF(ISNUMBER(SEARCH(Checksheet!$U$11,B275)),MAX($D$1:D274)+1,"")</f>
        <v>274</v>
      </c>
      <c r="E275" s="170" t="str">
        <f t="shared" si="4"/>
        <v>ｵｼﾛｵｱｶ6ﾊｲｾﾝBR24-S(SK</v>
      </c>
    </row>
    <row r="276" spans="1:5">
      <c r="A276" s="174" t="s">
        <v>545</v>
      </c>
      <c r="B276" s="174" t="s">
        <v>546</v>
      </c>
      <c r="C276" s="174" t="s">
        <v>530</v>
      </c>
      <c r="D276" s="170">
        <f>IF(ISNUMBER(SEARCH(Checksheet!$U$11,B276)),MAX($D$1:D275)+1,"")</f>
        <v>275</v>
      </c>
      <c r="E276" s="170" t="str">
        <f t="shared" si="4"/>
        <v>ｵｼﾛｵｼﾛ6ﾊｲｾﾝBR21-S(SK</v>
      </c>
    </row>
    <row r="277" spans="1:5">
      <c r="A277" s="174" t="s">
        <v>547</v>
      </c>
      <c r="B277" s="174" t="s">
        <v>548</v>
      </c>
      <c r="C277" s="174" t="s">
        <v>530</v>
      </c>
      <c r="D277" s="170">
        <f>IF(ISNUMBER(SEARCH(Checksheet!$U$11,B277)),MAX($D$1:D276)+1,"")</f>
        <v>276</v>
      </c>
      <c r="E277" s="170" t="str">
        <f t="shared" si="4"/>
        <v>ｴｼﾛｴｱｶ3ﾊｲｾﾝBR40F2-S</v>
      </c>
    </row>
    <row r="278" spans="1:5">
      <c r="A278" s="174" t="s">
        <v>549</v>
      </c>
      <c r="B278" s="174" t="s">
        <v>550</v>
      </c>
      <c r="C278" s="174" t="s">
        <v>530</v>
      </c>
      <c r="D278" s="170">
        <f>IF(ISNUMBER(SEARCH(Checksheet!$U$11,B278)),MAX($D$1:D277)+1,"")</f>
        <v>277</v>
      </c>
      <c r="E278" s="170" t="str">
        <f t="shared" si="4"/>
        <v>ｵｼﾛｵｼﾛ11ﾊｲｾﾝBR31F1-S</v>
      </c>
    </row>
    <row r="279" spans="1:5">
      <c r="A279" s="174" t="s">
        <v>551</v>
      </c>
      <c r="B279" s="174" t="s">
        <v>552</v>
      </c>
      <c r="C279" s="174" t="s">
        <v>553</v>
      </c>
      <c r="D279" s="170">
        <f>IF(ISNUMBER(SEARCH(Checksheet!$U$11,B279)),MAX($D$1:D278)+1,"")</f>
        <v>278</v>
      </c>
      <c r="E279" s="170" t="str">
        <f t="shared" si="4"/>
        <v>ｽﾋﾟｰｶｰﾊｰﾈｽ-S</v>
      </c>
    </row>
    <row r="280" spans="1:5">
      <c r="A280" s="174" t="s">
        <v>554</v>
      </c>
      <c r="B280" s="174" t="s">
        <v>555</v>
      </c>
      <c r="C280" s="174" t="s">
        <v>556</v>
      </c>
      <c r="D280" s="170">
        <f>IF(ISNUMBER(SEARCH(Checksheet!$U$11,B280)),MAX($D$1:D279)+1,"")</f>
        <v>279</v>
      </c>
      <c r="E280" s="170" t="str">
        <f t="shared" si="4"/>
        <v>C000156-S</v>
      </c>
    </row>
    <row r="281" spans="1:5">
      <c r="A281" s="174" t="s">
        <v>557</v>
      </c>
      <c r="B281" s="174" t="s">
        <v>558</v>
      </c>
      <c r="C281" s="174" t="s">
        <v>556</v>
      </c>
      <c r="D281" s="170">
        <f>IF(ISNUMBER(SEARCH(Checksheet!$U$11,B281)),MAX($D$1:D280)+1,"")</f>
        <v>280</v>
      </c>
      <c r="E281" s="170" t="str">
        <f t="shared" si="4"/>
        <v>1319513-S</v>
      </c>
    </row>
    <row r="282" spans="1:5">
      <c r="A282" s="174" t="s">
        <v>559</v>
      </c>
      <c r="B282" s="174" t="s">
        <v>560</v>
      </c>
      <c r="C282" s="174" t="s">
        <v>556</v>
      </c>
      <c r="D282" s="170">
        <f>IF(ISNUMBER(SEARCH(Checksheet!$U$11,B282)),MAX($D$1:D281)+1,"")</f>
        <v>281</v>
      </c>
      <c r="E282" s="170" t="str">
        <f t="shared" si="4"/>
        <v>1319513-ST-S</v>
      </c>
    </row>
    <row r="283" spans="1:5">
      <c r="A283" s="174" t="s">
        <v>561</v>
      </c>
      <c r="B283" s="174" t="s">
        <v>562</v>
      </c>
      <c r="C283" s="174" t="s">
        <v>556</v>
      </c>
      <c r="D283" s="170">
        <f>IF(ISNUMBER(SEARCH(Checksheet!$U$11,B283)),MAX($D$1:D282)+1,"")</f>
        <v>282</v>
      </c>
      <c r="E283" s="170" t="str">
        <f t="shared" si="4"/>
        <v>1319511-S</v>
      </c>
    </row>
    <row r="284" spans="1:5">
      <c r="A284" s="174" t="s">
        <v>563</v>
      </c>
      <c r="B284" s="174" t="s">
        <v>564</v>
      </c>
      <c r="C284" s="174" t="s">
        <v>565</v>
      </c>
      <c r="D284" s="170">
        <f>IF(ISNUMBER(SEARCH(Checksheet!$U$11,B284)),MAX($D$1:D283)+1,"")</f>
        <v>283</v>
      </c>
      <c r="E284" s="170" t="str">
        <f t="shared" si="4"/>
        <v>C000157-S</v>
      </c>
    </row>
    <row r="285" spans="1:5">
      <c r="A285" s="174" t="s">
        <v>566</v>
      </c>
      <c r="B285" s="174" t="s">
        <v>567</v>
      </c>
      <c r="C285" s="174" t="s">
        <v>565</v>
      </c>
      <c r="D285" s="170">
        <f>IF(ISNUMBER(SEARCH(Checksheet!$U$11,B285)),MAX($D$1:D284)+1,"")</f>
        <v>284</v>
      </c>
      <c r="E285" s="170" t="str">
        <f t="shared" si="4"/>
        <v>1319509-ST-S</v>
      </c>
    </row>
    <row r="286" spans="1:5">
      <c r="A286" s="174" t="s">
        <v>568</v>
      </c>
      <c r="B286" s="174" t="s">
        <v>569</v>
      </c>
      <c r="C286" s="174" t="s">
        <v>565</v>
      </c>
      <c r="D286" s="170">
        <f>IF(ISNUMBER(SEARCH(Checksheet!$U$11,B286)),MAX($D$1:D285)+1,"")</f>
        <v>285</v>
      </c>
      <c r="E286" s="170" t="str">
        <f t="shared" si="4"/>
        <v>1319510-S</v>
      </c>
    </row>
    <row r="287" spans="1:5">
      <c r="A287" s="174" t="s">
        <v>570</v>
      </c>
      <c r="B287" s="174" t="s">
        <v>571</v>
      </c>
      <c r="C287" s="174" t="s">
        <v>556</v>
      </c>
      <c r="D287" s="170">
        <f>IF(ISNUMBER(SEARCH(Checksheet!$U$11,B287)),MAX($D$1:D286)+1,"")</f>
        <v>286</v>
      </c>
      <c r="E287" s="170" t="str">
        <f t="shared" si="4"/>
        <v>1378556-ST-S</v>
      </c>
    </row>
    <row r="288" spans="1:5">
      <c r="A288" s="174" t="s">
        <v>572</v>
      </c>
      <c r="B288" s="174" t="s">
        <v>573</v>
      </c>
      <c r="C288" s="174" t="s">
        <v>556</v>
      </c>
      <c r="D288" s="170">
        <f>IF(ISNUMBER(SEARCH(Checksheet!$U$11,B288)),MAX($D$1:D287)+1,"")</f>
        <v>287</v>
      </c>
      <c r="E288" s="170" t="str">
        <f t="shared" si="4"/>
        <v>1378557-ST-S</v>
      </c>
    </row>
    <row r="289" spans="1:5">
      <c r="A289" s="174" t="s">
        <v>574</v>
      </c>
      <c r="B289" s="174" t="s">
        <v>575</v>
      </c>
      <c r="C289" s="174" t="s">
        <v>565</v>
      </c>
      <c r="D289" s="170">
        <f>IF(ISNUMBER(SEARCH(Checksheet!$U$11,B289)),MAX($D$1:D288)+1,"")</f>
        <v>288</v>
      </c>
      <c r="E289" s="170" t="str">
        <f t="shared" si="4"/>
        <v>1319511-ST-S</v>
      </c>
    </row>
    <row r="290" spans="1:5">
      <c r="A290" s="174" t="s">
        <v>576</v>
      </c>
      <c r="B290" s="174" t="s">
        <v>577</v>
      </c>
      <c r="C290" s="174" t="s">
        <v>578</v>
      </c>
      <c r="D290" s="170">
        <f>IF(ISNUMBER(SEARCH(Checksheet!$U$11,B290)),MAX($D$1:D289)+1,"")</f>
        <v>289</v>
      </c>
      <c r="E290" s="170" t="str">
        <f t="shared" si="4"/>
        <v>17F11790-A-S</v>
      </c>
    </row>
    <row r="291" spans="1:5">
      <c r="A291" s="174" t="s">
        <v>579</v>
      </c>
      <c r="B291" s="174" t="s">
        <v>580</v>
      </c>
      <c r="C291" s="174" t="s">
        <v>578</v>
      </c>
      <c r="D291" s="170">
        <f>IF(ISNUMBER(SEARCH(Checksheet!$U$11,B291)),MAX($D$1:D290)+1,"")</f>
        <v>290</v>
      </c>
      <c r="E291" s="170" t="str">
        <f t="shared" si="4"/>
        <v>17F11792-A-S</v>
      </c>
    </row>
    <row r="292" spans="1:5">
      <c r="A292" s="174" t="s">
        <v>581</v>
      </c>
      <c r="B292" s="174" t="s">
        <v>582</v>
      </c>
      <c r="C292" s="174" t="s">
        <v>578</v>
      </c>
      <c r="D292" s="170">
        <f>IF(ISNUMBER(SEARCH(Checksheet!$U$11,B292)),MAX($D$1:D291)+1,"")</f>
        <v>291</v>
      </c>
      <c r="E292" s="170" t="str">
        <f t="shared" si="4"/>
        <v>17F11794-A-S</v>
      </c>
    </row>
    <row r="293" spans="1:5">
      <c r="A293" s="174" t="s">
        <v>583</v>
      </c>
      <c r="B293" s="174" t="s">
        <v>584</v>
      </c>
      <c r="C293" s="174" t="s">
        <v>578</v>
      </c>
      <c r="D293" s="170">
        <f>IF(ISNUMBER(SEARCH(Checksheet!$U$11,B293)),MAX($D$1:D292)+1,"")</f>
        <v>292</v>
      </c>
      <c r="E293" s="170" t="str">
        <f t="shared" si="4"/>
        <v>17H12975-A-S</v>
      </c>
    </row>
    <row r="294" spans="1:5">
      <c r="A294" s="174" t="s">
        <v>585</v>
      </c>
      <c r="B294" s="174" t="s">
        <v>586</v>
      </c>
      <c r="C294" s="174" t="s">
        <v>578</v>
      </c>
      <c r="D294" s="170">
        <f>IF(ISNUMBER(SEARCH(Checksheet!$U$11,B294)),MAX($D$1:D293)+1,"")</f>
        <v>293</v>
      </c>
      <c r="E294" s="170" t="str">
        <f t="shared" si="4"/>
        <v>17H19731-A-S</v>
      </c>
    </row>
    <row r="295" spans="1:5">
      <c r="A295" s="174" t="s">
        <v>587</v>
      </c>
      <c r="B295" s="174" t="s">
        <v>588</v>
      </c>
      <c r="C295" s="174" t="s">
        <v>578</v>
      </c>
      <c r="D295" s="170">
        <f>IF(ISNUMBER(SEARCH(Checksheet!$U$11,B295)),MAX($D$1:D294)+1,"")</f>
        <v>294</v>
      </c>
      <c r="E295" s="170" t="str">
        <f t="shared" si="4"/>
        <v>17H19735-A-S</v>
      </c>
    </row>
    <row r="296" spans="1:5">
      <c r="A296" s="174" t="s">
        <v>589</v>
      </c>
      <c r="B296" s="174" t="s">
        <v>590</v>
      </c>
      <c r="C296" s="174" t="s">
        <v>578</v>
      </c>
      <c r="D296" s="170">
        <f>IF(ISNUMBER(SEARCH(Checksheet!$U$11,B296)),MAX($D$1:D295)+1,"")</f>
        <v>295</v>
      </c>
      <c r="E296" s="170" t="str">
        <f t="shared" si="4"/>
        <v>17H20355-A-S</v>
      </c>
    </row>
    <row r="297" spans="1:5">
      <c r="A297" s="174" t="s">
        <v>591</v>
      </c>
      <c r="B297" s="174" t="s">
        <v>592</v>
      </c>
      <c r="C297" s="174" t="s">
        <v>578</v>
      </c>
      <c r="D297" s="170">
        <f>IF(ISNUMBER(SEARCH(Checksheet!$U$11,B297)),MAX($D$1:D296)+1,"")</f>
        <v>296</v>
      </c>
      <c r="E297" s="170" t="str">
        <f t="shared" si="4"/>
        <v>17H20356-A-S</v>
      </c>
    </row>
    <row r="298" spans="1:5">
      <c r="A298" s="174" t="s">
        <v>593</v>
      </c>
      <c r="B298" s="174" t="s">
        <v>594</v>
      </c>
      <c r="C298" s="174" t="s">
        <v>578</v>
      </c>
      <c r="D298" s="170">
        <f>IF(ISNUMBER(SEARCH(Checksheet!$U$11,B298)),MAX($D$1:D297)+1,"")</f>
        <v>297</v>
      </c>
      <c r="E298" s="170" t="str">
        <f t="shared" si="4"/>
        <v>17H20361-A-S</v>
      </c>
    </row>
    <row r="299" spans="1:5">
      <c r="A299" s="174" t="s">
        <v>595</v>
      </c>
      <c r="B299" s="174" t="s">
        <v>596</v>
      </c>
      <c r="C299" s="174" t="s">
        <v>578</v>
      </c>
      <c r="D299" s="170">
        <f>IF(ISNUMBER(SEARCH(Checksheet!$U$11,B299)),MAX($D$1:D298)+1,"")</f>
        <v>298</v>
      </c>
      <c r="E299" s="170" t="str">
        <f t="shared" si="4"/>
        <v>17H20362-A-S</v>
      </c>
    </row>
    <row r="300" spans="1:5">
      <c r="A300" s="174" t="s">
        <v>597</v>
      </c>
      <c r="B300" s="174" t="s">
        <v>598</v>
      </c>
      <c r="C300" s="174" t="s">
        <v>578</v>
      </c>
      <c r="D300" s="170">
        <f>IF(ISNUMBER(SEARCH(Checksheet!$U$11,B300)),MAX($D$1:D299)+1,"")</f>
        <v>299</v>
      </c>
      <c r="E300" s="170" t="str">
        <f t="shared" si="4"/>
        <v>17H20364-A-S</v>
      </c>
    </row>
    <row r="301" spans="1:5">
      <c r="A301" s="174" t="s">
        <v>599</v>
      </c>
      <c r="B301" s="174" t="s">
        <v>600</v>
      </c>
      <c r="C301" s="174" t="s">
        <v>578</v>
      </c>
      <c r="D301" s="170">
        <f>IF(ISNUMBER(SEARCH(Checksheet!$U$11,B301)),MAX($D$1:D300)+1,"")</f>
        <v>300</v>
      </c>
      <c r="E301" s="170" t="str">
        <f t="shared" si="4"/>
        <v>17H20365-A-S</v>
      </c>
    </row>
    <row r="302" spans="1:5">
      <c r="A302" s="174" t="s">
        <v>601</v>
      </c>
      <c r="B302" s="174" t="s">
        <v>602</v>
      </c>
      <c r="C302" s="174" t="s">
        <v>578</v>
      </c>
      <c r="D302" s="170">
        <f>IF(ISNUMBER(SEARCH(Checksheet!$U$11,B302)),MAX($D$1:D301)+1,"")</f>
        <v>301</v>
      </c>
      <c r="E302" s="170" t="str">
        <f t="shared" si="4"/>
        <v>17H20366-A-S</v>
      </c>
    </row>
    <row r="303" spans="1:5">
      <c r="A303" s="174" t="s">
        <v>603</v>
      </c>
      <c r="B303" s="174" t="s">
        <v>604</v>
      </c>
      <c r="C303" s="174" t="s">
        <v>578</v>
      </c>
      <c r="D303" s="170">
        <f>IF(ISNUMBER(SEARCH(Checksheet!$U$11,B303)),MAX($D$1:D302)+1,"")</f>
        <v>302</v>
      </c>
      <c r="E303" s="170" t="str">
        <f t="shared" si="4"/>
        <v>17H20367-A-S</v>
      </c>
    </row>
    <row r="304" spans="1:5">
      <c r="A304" s="174" t="s">
        <v>605</v>
      </c>
      <c r="B304" s="174" t="s">
        <v>606</v>
      </c>
      <c r="C304" s="174" t="s">
        <v>578</v>
      </c>
      <c r="D304" s="170">
        <f>IF(ISNUMBER(SEARCH(Checksheet!$U$11,B304)),MAX($D$1:D303)+1,"")</f>
        <v>303</v>
      </c>
      <c r="E304" s="170" t="str">
        <f t="shared" si="4"/>
        <v>17H20368-A-S</v>
      </c>
    </row>
    <row r="305" spans="1:5">
      <c r="A305" s="174" t="s">
        <v>607</v>
      </c>
      <c r="B305" s="174" t="s">
        <v>608</v>
      </c>
      <c r="C305" s="174" t="s">
        <v>578</v>
      </c>
      <c r="D305" s="170">
        <f>IF(ISNUMBER(SEARCH(Checksheet!$U$11,B305)),MAX($D$1:D304)+1,"")</f>
        <v>304</v>
      </c>
      <c r="E305" s="170" t="str">
        <f t="shared" si="4"/>
        <v>17H20368-A1-S</v>
      </c>
    </row>
    <row r="306" spans="1:5">
      <c r="A306" s="174" t="s">
        <v>609</v>
      </c>
      <c r="B306" s="174" t="s">
        <v>610</v>
      </c>
      <c r="C306" s="174" t="s">
        <v>578</v>
      </c>
      <c r="D306" s="170">
        <f>IF(ISNUMBER(SEARCH(Checksheet!$U$11,B306)),MAX($D$1:D305)+1,"")</f>
        <v>305</v>
      </c>
      <c r="E306" s="170" t="str">
        <f t="shared" si="4"/>
        <v>17H20369-A-S</v>
      </c>
    </row>
    <row r="307" spans="1:5">
      <c r="A307" s="174" t="s">
        <v>611</v>
      </c>
      <c r="B307" s="174" t="s">
        <v>612</v>
      </c>
      <c r="C307" s="174" t="s">
        <v>578</v>
      </c>
      <c r="D307" s="170">
        <f>IF(ISNUMBER(SEARCH(Checksheet!$U$11,B307)),MAX($D$1:D306)+1,"")</f>
        <v>306</v>
      </c>
      <c r="E307" s="170" t="str">
        <f t="shared" si="4"/>
        <v>17H20370-A-S</v>
      </c>
    </row>
    <row r="308" spans="1:5">
      <c r="A308" s="174" t="s">
        <v>613</v>
      </c>
      <c r="B308" s="174" t="s">
        <v>614</v>
      </c>
      <c r="C308" s="174" t="s">
        <v>578</v>
      </c>
      <c r="D308" s="170">
        <f>IF(ISNUMBER(SEARCH(Checksheet!$U$11,B308)),MAX($D$1:D307)+1,"")</f>
        <v>307</v>
      </c>
      <c r="E308" s="170" t="str">
        <f t="shared" si="4"/>
        <v>17H20371-A-S</v>
      </c>
    </row>
    <row r="309" spans="1:5">
      <c r="A309" s="174" t="s">
        <v>615</v>
      </c>
      <c r="B309" s="174" t="s">
        <v>616</v>
      </c>
      <c r="C309" s="174" t="s">
        <v>578</v>
      </c>
      <c r="D309" s="170">
        <f>IF(ISNUMBER(SEARCH(Checksheet!$U$11,B309)),MAX($D$1:D308)+1,"")</f>
        <v>308</v>
      </c>
      <c r="E309" s="170" t="str">
        <f t="shared" si="4"/>
        <v>17H20382-A-S</v>
      </c>
    </row>
    <row r="310" spans="1:5">
      <c r="A310" s="174">
        <v>1354100134</v>
      </c>
      <c r="B310" s="174" t="s">
        <v>617</v>
      </c>
      <c r="C310" s="174" t="s">
        <v>213</v>
      </c>
      <c r="D310" s="170">
        <f>IF(ISNUMBER(SEARCH(Checksheet!$U$11,B310)),MAX($D$1:D309)+1,"")</f>
        <v>309</v>
      </c>
      <c r="E310" s="170" t="str">
        <f t="shared" si="4"/>
        <v>3P5JQ5270Aﾜｲﾔｰﾆﾎﾝｾｲ</v>
      </c>
    </row>
    <row r="311" spans="1:5">
      <c r="A311" s="174" t="s">
        <v>618</v>
      </c>
      <c r="B311" s="174" t="s">
        <v>619</v>
      </c>
      <c r="C311" s="174" t="s">
        <v>620</v>
      </c>
      <c r="D311" s="170">
        <f>IF(ISNUMBER(SEARCH(Checksheet!$U$11,B311)),MAX($D$1:D310)+1,"")</f>
        <v>310</v>
      </c>
      <c r="E311" s="170" t="str">
        <f t="shared" si="4"/>
        <v>17F24840A</v>
      </c>
    </row>
    <row r="312" spans="1:5">
      <c r="A312" s="174" t="s">
        <v>621</v>
      </c>
      <c r="B312" s="174" t="s">
        <v>622</v>
      </c>
      <c r="C312" s="174" t="s">
        <v>620</v>
      </c>
      <c r="D312" s="170">
        <f>IF(ISNUMBER(SEARCH(Checksheet!$U$11,B312)),MAX($D$1:D311)+1,"")</f>
        <v>311</v>
      </c>
      <c r="E312" s="170" t="str">
        <f t="shared" si="4"/>
        <v>17F24840B-S</v>
      </c>
    </row>
    <row r="313" spans="1:5">
      <c r="A313" s="174" t="s">
        <v>623</v>
      </c>
      <c r="B313" s="174" t="s">
        <v>624</v>
      </c>
      <c r="C313" s="174" t="s">
        <v>620</v>
      </c>
      <c r="D313" s="170">
        <f>IF(ISNUMBER(SEARCH(Checksheet!$U$11,B313)),MAX($D$1:D312)+1,"")</f>
        <v>312</v>
      </c>
      <c r="E313" s="170" t="str">
        <f t="shared" si="4"/>
        <v>49D33174A-S</v>
      </c>
    </row>
    <row r="314" spans="1:5">
      <c r="A314" s="174" t="s">
        <v>625</v>
      </c>
      <c r="B314" s="174" t="s">
        <v>626</v>
      </c>
      <c r="C314" s="174" t="s">
        <v>620</v>
      </c>
      <c r="D314" s="170">
        <f>IF(ISNUMBER(SEARCH(Checksheet!$U$11,B314)),MAX($D$1:D313)+1,"")</f>
        <v>313</v>
      </c>
      <c r="E314" s="170" t="str">
        <f t="shared" si="4"/>
        <v>49D16054K-S</v>
      </c>
    </row>
    <row r="315" spans="1:5">
      <c r="A315" s="174" t="s">
        <v>627</v>
      </c>
      <c r="B315" s="174" t="s">
        <v>628</v>
      </c>
      <c r="C315" s="174" t="s">
        <v>620</v>
      </c>
      <c r="D315" s="170">
        <f>IF(ISNUMBER(SEARCH(Checksheet!$U$11,B315)),MAX($D$1:D314)+1,"")</f>
        <v>314</v>
      </c>
      <c r="E315" s="170" t="str">
        <f t="shared" si="4"/>
        <v>49D18919-03-A-S</v>
      </c>
    </row>
    <row r="316" spans="1:5">
      <c r="A316" s="174" t="s">
        <v>629</v>
      </c>
      <c r="B316" s="174" t="s">
        <v>630</v>
      </c>
      <c r="C316" s="174" t="s">
        <v>620</v>
      </c>
      <c r="D316" s="170">
        <f>IF(ISNUMBER(SEARCH(Checksheet!$U$11,B316)),MAX($D$1:D315)+1,"")</f>
        <v>315</v>
      </c>
      <c r="E316" s="170" t="str">
        <f t="shared" si="4"/>
        <v>49D18919-03-B-S</v>
      </c>
    </row>
    <row r="317" spans="1:5">
      <c r="A317" s="174" t="s">
        <v>631</v>
      </c>
      <c r="B317" s="174" t="s">
        <v>632</v>
      </c>
      <c r="C317" s="174" t="s">
        <v>620</v>
      </c>
      <c r="D317" s="170">
        <f>IF(ISNUMBER(SEARCH(Checksheet!$U$11,B317)),MAX($D$1:D316)+1,"")</f>
        <v>316</v>
      </c>
      <c r="E317" s="170" t="str">
        <f t="shared" si="4"/>
        <v>49D28114A-S</v>
      </c>
    </row>
    <row r="318" spans="1:5">
      <c r="A318" s="174" t="s">
        <v>633</v>
      </c>
      <c r="B318" s="174" t="s">
        <v>634</v>
      </c>
      <c r="C318" s="174" t="s">
        <v>620</v>
      </c>
      <c r="D318" s="170">
        <f>IF(ISNUMBER(SEARCH(Checksheet!$U$11,B318)),MAX($D$1:D317)+1,"")</f>
        <v>317</v>
      </c>
      <c r="E318" s="170" t="str">
        <f t="shared" si="4"/>
        <v>49D28393A-S</v>
      </c>
    </row>
    <row r="319" spans="1:5">
      <c r="A319" s="174" t="s">
        <v>635</v>
      </c>
      <c r="B319" s="174" t="s">
        <v>636</v>
      </c>
      <c r="C319" s="174" t="s">
        <v>620</v>
      </c>
      <c r="D319" s="170">
        <f>IF(ISNUMBER(SEARCH(Checksheet!$U$11,B319)),MAX($D$1:D318)+1,"")</f>
        <v>318</v>
      </c>
      <c r="E319" s="170" t="str">
        <f t="shared" si="4"/>
        <v>49D28826B-S</v>
      </c>
    </row>
    <row r="320" spans="1:5">
      <c r="A320" s="174" t="s">
        <v>637</v>
      </c>
      <c r="B320" s="174" t="s">
        <v>638</v>
      </c>
      <c r="C320" s="174" t="s">
        <v>620</v>
      </c>
      <c r="D320" s="170">
        <f>IF(ISNUMBER(SEARCH(Checksheet!$U$11,B320)),MAX($D$1:D319)+1,"")</f>
        <v>319</v>
      </c>
      <c r="E320" s="170" t="str">
        <f t="shared" si="4"/>
        <v>49D16054D-S</v>
      </c>
    </row>
    <row r="321" spans="1:5">
      <c r="A321" s="174" t="s">
        <v>639</v>
      </c>
      <c r="B321" s="174" t="s">
        <v>640</v>
      </c>
      <c r="C321" s="174" t="s">
        <v>620</v>
      </c>
      <c r="D321" s="170">
        <f>IF(ISNUMBER(SEARCH(Checksheet!$U$11,B321)),MAX($D$1:D320)+1,"")</f>
        <v>320</v>
      </c>
      <c r="E321" s="170" t="str">
        <f t="shared" si="4"/>
        <v>49D16054E-S</v>
      </c>
    </row>
    <row r="322" spans="1:5">
      <c r="A322" s="174" t="s">
        <v>641</v>
      </c>
      <c r="B322" s="174" t="s">
        <v>642</v>
      </c>
      <c r="C322" s="174" t="s">
        <v>620</v>
      </c>
      <c r="D322" s="170">
        <f>IF(ISNUMBER(SEARCH(Checksheet!$U$11,B322)),MAX($D$1:D321)+1,"")</f>
        <v>321</v>
      </c>
      <c r="E322" s="170" t="str">
        <f t="shared" si="4"/>
        <v>49D18817A-S</v>
      </c>
    </row>
    <row r="323" spans="1:5">
      <c r="A323" s="174" t="s">
        <v>643</v>
      </c>
      <c r="B323" s="174" t="s">
        <v>644</v>
      </c>
      <c r="C323" s="174" t="s">
        <v>620</v>
      </c>
      <c r="D323" s="170">
        <f>IF(ISNUMBER(SEARCH(Checksheet!$U$11,B323)),MAX($D$1:D322)+1,"")</f>
        <v>322</v>
      </c>
      <c r="E323" s="170" t="str">
        <f t="shared" ref="E323:E386" si="5">IFERROR(INDEX($B:$B,MATCH(ROW()-1,$D:$D,0),1),"")</f>
        <v>17H29947B-L4</v>
      </c>
    </row>
    <row r="324" spans="1:5">
      <c r="A324" s="174" t="s">
        <v>645</v>
      </c>
      <c r="B324" s="174" t="s">
        <v>646</v>
      </c>
      <c r="C324" s="174" t="s">
        <v>620</v>
      </c>
      <c r="D324" s="170">
        <f>IF(ISNUMBER(SEARCH(Checksheet!$U$11,B324)),MAX($D$1:D323)+1,"")</f>
        <v>323</v>
      </c>
      <c r="E324" s="170" t="str">
        <f t="shared" si="5"/>
        <v>17H29947B-L4-S（TS）</v>
      </c>
    </row>
    <row r="325" spans="1:5">
      <c r="A325" s="174" t="s">
        <v>647</v>
      </c>
      <c r="B325" s="174" t="s">
        <v>648</v>
      </c>
      <c r="C325" s="174" t="s">
        <v>620</v>
      </c>
      <c r="D325" s="170">
        <f>IF(ISNUMBER(SEARCH(Checksheet!$U$11,B325)),MAX($D$1:D324)+1,"")</f>
        <v>324</v>
      </c>
      <c r="E325" s="170" t="str">
        <f t="shared" si="5"/>
        <v>49D17880-1-A-S</v>
      </c>
    </row>
    <row r="326" spans="1:5">
      <c r="A326" s="174" t="s">
        <v>649</v>
      </c>
      <c r="B326" s="174" t="s">
        <v>650</v>
      </c>
      <c r="C326" s="174" t="s">
        <v>620</v>
      </c>
      <c r="D326" s="170">
        <f>IF(ISNUMBER(SEARCH(Checksheet!$U$11,B326)),MAX($D$1:D325)+1,"")</f>
        <v>325</v>
      </c>
      <c r="E326" s="170" t="str">
        <f t="shared" si="5"/>
        <v>49D17880-1-B-S</v>
      </c>
    </row>
    <row r="327" spans="1:5">
      <c r="A327" s="174" t="s">
        <v>651</v>
      </c>
      <c r="B327" s="174" t="s">
        <v>652</v>
      </c>
      <c r="C327" s="174" t="s">
        <v>620</v>
      </c>
      <c r="D327" s="170">
        <f>IF(ISNUMBER(SEARCH(Checksheet!$U$11,B327)),MAX($D$1:D326)+1,"")</f>
        <v>326</v>
      </c>
      <c r="E327" s="170" t="str">
        <f t="shared" si="5"/>
        <v>49D28826A-S</v>
      </c>
    </row>
    <row r="328" spans="1:5">
      <c r="A328" s="174" t="s">
        <v>653</v>
      </c>
      <c r="B328" s="174" t="s">
        <v>654</v>
      </c>
      <c r="C328" s="174" t="s">
        <v>620</v>
      </c>
      <c r="D328" s="170">
        <f>IF(ISNUMBER(SEARCH(Checksheet!$U$11,B328)),MAX($D$1:D327)+1,"")</f>
        <v>327</v>
      </c>
      <c r="E328" s="170" t="str">
        <f t="shared" si="5"/>
        <v>49D18821B-S</v>
      </c>
    </row>
    <row r="329" spans="1:5">
      <c r="A329" s="174" t="s">
        <v>655</v>
      </c>
      <c r="B329" s="174" t="s">
        <v>656</v>
      </c>
      <c r="C329" s="174" t="s">
        <v>620</v>
      </c>
      <c r="D329" s="170">
        <f>IF(ISNUMBER(SEARCH(Checksheet!$U$11,B329)),MAX($D$1:D328)+1,"")</f>
        <v>328</v>
      </c>
      <c r="E329" s="170" t="str">
        <f t="shared" si="5"/>
        <v>49D18821A-S</v>
      </c>
    </row>
    <row r="330" spans="1:5">
      <c r="A330" s="174" t="s">
        <v>657</v>
      </c>
      <c r="B330" s="174" t="s">
        <v>658</v>
      </c>
      <c r="C330" s="174" t="s">
        <v>620</v>
      </c>
      <c r="D330" s="170">
        <f>IF(ISNUMBER(SEARCH(Checksheet!$U$11,B330)),MAX($D$1:D329)+1,"")</f>
        <v>329</v>
      </c>
      <c r="E330" s="170" t="str">
        <f t="shared" si="5"/>
        <v>49D16054L-S</v>
      </c>
    </row>
    <row r="331" spans="1:5">
      <c r="A331" s="174" t="s">
        <v>659</v>
      </c>
      <c r="B331" s="174" t="s">
        <v>660</v>
      </c>
      <c r="C331" s="174" t="s">
        <v>620</v>
      </c>
      <c r="D331" s="170">
        <f>IF(ISNUMBER(SEARCH(Checksheet!$U$11,B331)),MAX($D$1:D330)+1,"")</f>
        <v>330</v>
      </c>
      <c r="E331" s="170" t="str">
        <f t="shared" si="5"/>
        <v>49D27926A-S</v>
      </c>
    </row>
    <row r="332" spans="1:5">
      <c r="A332" s="174" t="s">
        <v>661</v>
      </c>
      <c r="B332" s="174" t="s">
        <v>662</v>
      </c>
      <c r="C332" s="174" t="s">
        <v>620</v>
      </c>
      <c r="D332" s="170">
        <f>IF(ISNUMBER(SEARCH(Checksheet!$U$11,B332)),MAX($D$1:D331)+1,"")</f>
        <v>331</v>
      </c>
      <c r="E332" s="170" t="str">
        <f t="shared" si="5"/>
        <v>49D27926B-S</v>
      </c>
    </row>
    <row r="333" spans="1:5">
      <c r="A333" s="174" t="s">
        <v>663</v>
      </c>
      <c r="B333" s="174" t="s">
        <v>664</v>
      </c>
      <c r="C333" s="174" t="s">
        <v>620</v>
      </c>
      <c r="D333" s="170">
        <f>IF(ISNUMBER(SEARCH(Checksheet!$U$11,B333)),MAX($D$1:D332)+1,"")</f>
        <v>332</v>
      </c>
      <c r="E333" s="170" t="str">
        <f t="shared" si="5"/>
        <v>49D27926H-S</v>
      </c>
    </row>
    <row r="334" spans="1:5">
      <c r="A334" s="174" t="s">
        <v>665</v>
      </c>
      <c r="B334" s="174" t="s">
        <v>666</v>
      </c>
      <c r="C334" s="174" t="s">
        <v>620</v>
      </c>
      <c r="D334" s="170">
        <f>IF(ISNUMBER(SEARCH(Checksheet!$U$11,B334)),MAX($D$1:D333)+1,"")</f>
        <v>333</v>
      </c>
      <c r="E334" s="170" t="str">
        <f t="shared" si="5"/>
        <v>49D27926J-S</v>
      </c>
    </row>
    <row r="335" spans="1:5">
      <c r="A335" s="174" t="s">
        <v>667</v>
      </c>
      <c r="B335" s="174" t="s">
        <v>668</v>
      </c>
      <c r="C335" s="174" t="s">
        <v>620</v>
      </c>
      <c r="D335" s="170">
        <f>IF(ISNUMBER(SEARCH(Checksheet!$U$11,B335)),MAX($D$1:D334)+1,"")</f>
        <v>334</v>
      </c>
      <c r="E335" s="170" t="str">
        <f t="shared" si="5"/>
        <v>49D27926K-S</v>
      </c>
    </row>
    <row r="336" spans="1:5">
      <c r="A336" s="174" t="s">
        <v>669</v>
      </c>
      <c r="B336" s="174" t="s">
        <v>670</v>
      </c>
      <c r="C336" s="174" t="s">
        <v>620</v>
      </c>
      <c r="D336" s="170">
        <f>IF(ISNUMBER(SEARCH(Checksheet!$U$11,B336)),MAX($D$1:D335)+1,"")</f>
        <v>335</v>
      </c>
      <c r="E336" s="170" t="str">
        <f t="shared" si="5"/>
        <v>49D27926L-S</v>
      </c>
    </row>
    <row r="337" spans="1:5">
      <c r="A337" s="174" t="s">
        <v>671</v>
      </c>
      <c r="B337" s="174" t="s">
        <v>672</v>
      </c>
      <c r="C337" s="174" t="s">
        <v>620</v>
      </c>
      <c r="D337" s="170">
        <f>IF(ISNUMBER(SEARCH(Checksheet!$U$11,B337)),MAX($D$1:D336)+1,"")</f>
        <v>336</v>
      </c>
      <c r="E337" s="170" t="str">
        <f t="shared" si="5"/>
        <v>49D27926M-S</v>
      </c>
    </row>
    <row r="338" spans="1:5">
      <c r="A338" s="174" t="s">
        <v>673</v>
      </c>
      <c r="B338" s="174" t="s">
        <v>674</v>
      </c>
      <c r="C338" s="174" t="s">
        <v>620</v>
      </c>
      <c r="D338" s="170">
        <f>IF(ISNUMBER(SEARCH(Checksheet!$U$11,B338)),MAX($D$1:D337)+1,"")</f>
        <v>337</v>
      </c>
      <c r="E338" s="170" t="str">
        <f t="shared" si="5"/>
        <v>49D27926R-S</v>
      </c>
    </row>
    <row r="339" spans="1:5">
      <c r="A339" s="174" t="s">
        <v>675</v>
      </c>
      <c r="B339" s="174" t="s">
        <v>676</v>
      </c>
      <c r="C339" s="174" t="s">
        <v>677</v>
      </c>
      <c r="D339" s="170">
        <f>IF(ISNUMBER(SEARCH(Checksheet!$U$11,B339)),MAX($D$1:D338)+1,"")</f>
        <v>338</v>
      </c>
      <c r="E339" s="170" t="str">
        <f t="shared" si="5"/>
        <v>LTKA0009801-Kﾀｲﾊﾞﾝﾄﾞ-S</v>
      </c>
    </row>
    <row r="340" spans="1:5">
      <c r="A340" s="174" t="s">
        <v>678</v>
      </c>
      <c r="B340" s="174" t="s">
        <v>679</v>
      </c>
      <c r="C340" s="174" t="s">
        <v>620</v>
      </c>
      <c r="D340" s="170">
        <f>IF(ISNUMBER(SEARCH(Checksheet!$U$11,B340)),MAX($D$1:D339)+1,"")</f>
        <v>339</v>
      </c>
      <c r="E340" s="170" t="str">
        <f t="shared" si="5"/>
        <v>17H29947J-L2-S(TS)</v>
      </c>
    </row>
    <row r="341" spans="1:5">
      <c r="A341" s="174" t="s">
        <v>680</v>
      </c>
      <c r="B341" s="174" t="s">
        <v>681</v>
      </c>
      <c r="C341" s="174" t="s">
        <v>261</v>
      </c>
      <c r="D341" s="170">
        <f>IF(ISNUMBER(SEARCH(Checksheet!$U$11,B341)),MAX($D$1:D340)+1,"")</f>
        <v>340</v>
      </c>
      <c r="E341" s="170" t="str">
        <f t="shared" si="5"/>
        <v>BB0045968B-009</v>
      </c>
    </row>
    <row r="342" spans="1:5">
      <c r="A342" s="174" t="s">
        <v>682</v>
      </c>
      <c r="B342" s="174" t="s">
        <v>683</v>
      </c>
      <c r="C342" s="174" t="s">
        <v>261</v>
      </c>
      <c r="D342" s="170">
        <f>IF(ISNUMBER(SEARCH(Checksheet!$U$11,B342)),MAX($D$1:D341)+1,"")</f>
        <v>341</v>
      </c>
      <c r="E342" s="170" t="str">
        <f t="shared" si="5"/>
        <v>BB0045968C-009</v>
      </c>
    </row>
    <row r="343" spans="1:5">
      <c r="A343" s="174" t="s">
        <v>684</v>
      </c>
      <c r="B343" s="174" t="s">
        <v>685</v>
      </c>
      <c r="C343" s="174" t="s">
        <v>261</v>
      </c>
      <c r="D343" s="170">
        <f>IF(ISNUMBER(SEARCH(Checksheet!$U$11,B343)),MAX($D$1:D342)+1,"")</f>
        <v>342</v>
      </c>
      <c r="E343" s="170" t="str">
        <f t="shared" si="5"/>
        <v>BB0045968D-009</v>
      </c>
    </row>
    <row r="344" spans="1:5">
      <c r="A344" s="174" t="s">
        <v>686</v>
      </c>
      <c r="B344" s="174" t="s">
        <v>687</v>
      </c>
      <c r="C344" s="174" t="s">
        <v>261</v>
      </c>
      <c r="D344" s="170">
        <f>IF(ISNUMBER(SEARCH(Checksheet!$U$11,B344)),MAX($D$1:D343)+1,"")</f>
        <v>343</v>
      </c>
      <c r="E344" s="170" t="str">
        <f t="shared" si="5"/>
        <v>BB0060517A-002-S</v>
      </c>
    </row>
    <row r="345" spans="1:5">
      <c r="A345" s="174" t="s">
        <v>688</v>
      </c>
      <c r="B345" s="174" t="s">
        <v>689</v>
      </c>
      <c r="C345" s="174" t="s">
        <v>261</v>
      </c>
      <c r="D345" s="170">
        <f>IF(ISNUMBER(SEARCH(Checksheet!$U$11,B345)),MAX($D$1:D344)+1,"")</f>
        <v>344</v>
      </c>
      <c r="E345" s="170" t="str">
        <f t="shared" si="5"/>
        <v>BB0060519A-002-S</v>
      </c>
    </row>
    <row r="346" spans="1:5">
      <c r="A346" s="174" t="s">
        <v>690</v>
      </c>
      <c r="B346" s="174" t="s">
        <v>691</v>
      </c>
      <c r="C346" s="174" t="s">
        <v>261</v>
      </c>
      <c r="D346" s="170">
        <f>IF(ISNUMBER(SEARCH(Checksheet!$U$11,B346)),MAX($D$1:D345)+1,"")</f>
        <v>345</v>
      </c>
      <c r="E346" s="170" t="str">
        <f t="shared" si="5"/>
        <v>BB0045280A017(ﾗｲﾚｷ15-S</v>
      </c>
    </row>
    <row r="347" spans="1:5">
      <c r="A347" s="174" t="s">
        <v>692</v>
      </c>
      <c r="B347" s="174" t="s">
        <v>693</v>
      </c>
      <c r="C347" s="174" t="s">
        <v>261</v>
      </c>
      <c r="D347" s="170">
        <f>IF(ISNUMBER(SEARCH(Checksheet!$U$11,B347)),MAX($D$1:D346)+1,"")</f>
        <v>346</v>
      </c>
      <c r="E347" s="170" t="str">
        <f t="shared" si="5"/>
        <v>BB0044147H-012NDK</v>
      </c>
    </row>
    <row r="348" spans="1:5">
      <c r="A348" s="174" t="s">
        <v>694</v>
      </c>
      <c r="B348" s="174" t="s">
        <v>695</v>
      </c>
      <c r="C348" s="174" t="s">
        <v>696</v>
      </c>
      <c r="D348" s="170">
        <f>IF(ISNUMBER(SEARCH(Checksheet!$U$11,B348)),MAX($D$1:D347)+1,"")</f>
        <v>347</v>
      </c>
      <c r="E348" s="170" t="str">
        <f t="shared" si="5"/>
        <v>N2-68064-S ｼｻｸ</v>
      </c>
    </row>
    <row r="349" spans="1:5">
      <c r="A349" s="174" t="s">
        <v>697</v>
      </c>
      <c r="B349" s="174" t="s">
        <v>698</v>
      </c>
      <c r="C349" s="174" t="s">
        <v>696</v>
      </c>
      <c r="D349" s="170">
        <f>IF(ISNUMBER(SEARCH(Checksheet!$U$11,B349)),MAX($D$1:D348)+1,"")</f>
        <v>348</v>
      </c>
      <c r="E349" s="170" t="str">
        <f t="shared" si="5"/>
        <v>N2-68065-S ｼｻｸ</v>
      </c>
    </row>
    <row r="350" spans="1:5">
      <c r="A350" s="174" t="s">
        <v>699</v>
      </c>
      <c r="B350" s="174" t="s">
        <v>700</v>
      </c>
      <c r="C350" s="174" t="s">
        <v>696</v>
      </c>
      <c r="D350" s="170">
        <f>IF(ISNUMBER(SEARCH(Checksheet!$U$11,B350)),MAX($D$1:D349)+1,"")</f>
        <v>349</v>
      </c>
      <c r="E350" s="170" t="str">
        <f t="shared" si="5"/>
        <v xml:space="preserve">N2-68064-S </v>
      </c>
    </row>
    <row r="351" spans="1:5">
      <c r="A351" s="174" t="s">
        <v>701</v>
      </c>
      <c r="B351" s="174" t="s">
        <v>702</v>
      </c>
      <c r="C351" s="174" t="s">
        <v>696</v>
      </c>
      <c r="D351" s="170">
        <f>IF(ISNUMBER(SEARCH(Checksheet!$U$11,B351)),MAX($D$1:D350)+1,"")</f>
        <v>350</v>
      </c>
      <c r="E351" s="170" t="str">
        <f t="shared" si="5"/>
        <v xml:space="preserve">N2-68065-S </v>
      </c>
    </row>
    <row r="352" spans="1:5">
      <c r="A352" s="174" t="s">
        <v>703</v>
      </c>
      <c r="B352" s="174" t="s">
        <v>704</v>
      </c>
      <c r="C352" s="174" t="s">
        <v>705</v>
      </c>
      <c r="D352" s="170">
        <f>IF(ISNUMBER(SEARCH(Checksheet!$U$11,B352)),MAX($D$1:D351)+1,"")</f>
        <v>351</v>
      </c>
      <c r="E352" s="170" t="str">
        <f t="shared" si="5"/>
        <v>CBC6040-450010-S</v>
      </c>
    </row>
    <row r="353" spans="1:5">
      <c r="A353" s="174" t="s">
        <v>706</v>
      </c>
      <c r="B353" s="174" t="s">
        <v>707</v>
      </c>
      <c r="C353" s="174" t="s">
        <v>705</v>
      </c>
      <c r="D353" s="170">
        <f>IF(ISNUMBER(SEARCH(Checksheet!$U$11,B353)),MAX($D$1:D352)+1,"")</f>
        <v>352</v>
      </c>
      <c r="E353" s="170" t="str">
        <f t="shared" si="5"/>
        <v>CBC6040-450020-S</v>
      </c>
    </row>
    <row r="354" spans="1:5">
      <c r="A354" s="174" t="s">
        <v>708</v>
      </c>
      <c r="B354" s="174" t="s">
        <v>709</v>
      </c>
      <c r="C354" s="174" t="s">
        <v>705</v>
      </c>
      <c r="D354" s="170">
        <f>IF(ISNUMBER(SEARCH(Checksheet!$U$11,B354)),MAX($D$1:D353)+1,"")</f>
        <v>353</v>
      </c>
      <c r="E354" s="170" t="str">
        <f t="shared" si="5"/>
        <v>CBC6040-120010-S</v>
      </c>
    </row>
    <row r="355" spans="1:5">
      <c r="A355" s="174" t="s">
        <v>710</v>
      </c>
      <c r="B355" s="174" t="s">
        <v>711</v>
      </c>
      <c r="C355" s="174" t="s">
        <v>712</v>
      </c>
      <c r="D355" s="170">
        <f>IF(ISNUMBER(SEARCH(Checksheet!$U$11,B355)),MAX($D$1:D354)+1,"")</f>
        <v>354</v>
      </c>
      <c r="E355" s="170" t="str">
        <f t="shared" si="5"/>
        <v>VVQ5000-45A-1-1-S</v>
      </c>
    </row>
    <row r="356" spans="1:5">
      <c r="A356" s="174" t="s">
        <v>713</v>
      </c>
      <c r="B356" s="174" t="s">
        <v>714</v>
      </c>
      <c r="C356" s="174" t="s">
        <v>712</v>
      </c>
      <c r="D356" s="170">
        <f>IF(ISNUMBER(SEARCH(Checksheet!$U$11,B356)),MAX($D$1:D355)+1,"")</f>
        <v>355</v>
      </c>
      <c r="E356" s="170" t="str">
        <f t="shared" si="5"/>
        <v>VVQ5000-42A-1-1-S</v>
      </c>
    </row>
    <row r="357" spans="1:5">
      <c r="A357" s="174" t="s">
        <v>715</v>
      </c>
      <c r="B357" s="174" t="s">
        <v>716</v>
      </c>
      <c r="C357" s="174" t="s">
        <v>712</v>
      </c>
      <c r="D357" s="170">
        <f>IF(ISNUMBER(SEARCH(Checksheet!$U$11,B357)),MAX($D$1:D356)+1,"")</f>
        <v>356</v>
      </c>
      <c r="E357" s="170" t="str">
        <f t="shared" si="5"/>
        <v>SY30M-31-1A-2-S</v>
      </c>
    </row>
    <row r="358" spans="1:5">
      <c r="A358" s="174" t="s">
        <v>717</v>
      </c>
      <c r="B358" s="174" t="s">
        <v>718</v>
      </c>
      <c r="C358" s="174" t="s">
        <v>712</v>
      </c>
      <c r="D358" s="170">
        <f>IF(ISNUMBER(SEARCH(Checksheet!$U$11,B358)),MAX($D$1:D357)+1,"")</f>
        <v>357</v>
      </c>
      <c r="E358" s="170" t="str">
        <f t="shared" si="5"/>
        <v>SY30M-31-1A-3-S</v>
      </c>
    </row>
    <row r="359" spans="1:5">
      <c r="A359" s="174" t="s">
        <v>719</v>
      </c>
      <c r="B359" s="174" t="s">
        <v>720</v>
      </c>
      <c r="C359" s="174" t="s">
        <v>712</v>
      </c>
      <c r="D359" s="170">
        <f>IF(ISNUMBER(SEARCH(Checksheet!$U$11,B359)),MAX($D$1:D358)+1,"")</f>
        <v>358</v>
      </c>
      <c r="E359" s="170" t="str">
        <f t="shared" si="5"/>
        <v>SY30M-31-1A-4-S</v>
      </c>
    </row>
    <row r="360" spans="1:5">
      <c r="A360" s="174" t="s">
        <v>721</v>
      </c>
      <c r="B360" s="174" t="s">
        <v>722</v>
      </c>
      <c r="C360" s="174" t="s">
        <v>712</v>
      </c>
      <c r="D360" s="170">
        <f>IF(ISNUMBER(SEARCH(Checksheet!$U$11,B360)),MAX($D$1:D359)+1,"")</f>
        <v>359</v>
      </c>
      <c r="E360" s="170" t="str">
        <f t="shared" si="5"/>
        <v>SY30M-31-1A-5-S</v>
      </c>
    </row>
    <row r="361" spans="1:5">
      <c r="A361" s="174" t="s">
        <v>723</v>
      </c>
      <c r="B361" s="174" t="s">
        <v>724</v>
      </c>
      <c r="C361" s="174" t="s">
        <v>712</v>
      </c>
      <c r="D361" s="170">
        <f>IF(ISNUMBER(SEARCH(Checksheet!$U$11,B361)),MAX($D$1:D360)+1,"")</f>
        <v>360</v>
      </c>
      <c r="E361" s="170" t="str">
        <f t="shared" si="5"/>
        <v>SY30M-31-1A-6-S</v>
      </c>
    </row>
    <row r="362" spans="1:5">
      <c r="A362" s="174" t="s">
        <v>725</v>
      </c>
      <c r="B362" s="174" t="s">
        <v>726</v>
      </c>
      <c r="C362" s="174" t="s">
        <v>712</v>
      </c>
      <c r="D362" s="170">
        <f>IF(ISNUMBER(SEARCH(Checksheet!$U$11,B362)),MAX($D$1:D361)+1,"")</f>
        <v>361</v>
      </c>
      <c r="E362" s="170" t="str">
        <f t="shared" si="5"/>
        <v>SY30M-31-1A-7-S</v>
      </c>
    </row>
    <row r="363" spans="1:5">
      <c r="A363" s="174" t="s">
        <v>727</v>
      </c>
      <c r="B363" s="174" t="s">
        <v>728</v>
      </c>
      <c r="C363" s="174" t="s">
        <v>712</v>
      </c>
      <c r="D363" s="170">
        <f>IF(ISNUMBER(SEARCH(Checksheet!$U$11,B363)),MAX($D$1:D362)+1,"")</f>
        <v>362</v>
      </c>
      <c r="E363" s="170" t="str">
        <f t="shared" si="5"/>
        <v>SY30M-31-1A-8-S</v>
      </c>
    </row>
    <row r="364" spans="1:5">
      <c r="A364" s="174" t="s">
        <v>729</v>
      </c>
      <c r="B364" s="174" t="s">
        <v>730</v>
      </c>
      <c r="C364" s="174" t="s">
        <v>712</v>
      </c>
      <c r="D364" s="170">
        <f>IF(ISNUMBER(SEARCH(Checksheet!$U$11,B364)),MAX($D$1:D363)+1,"")</f>
        <v>363</v>
      </c>
      <c r="E364" s="170" t="str">
        <f t="shared" si="5"/>
        <v>SY30M-31-1A-9-S</v>
      </c>
    </row>
    <row r="365" spans="1:5">
      <c r="A365" s="174" t="s">
        <v>731</v>
      </c>
      <c r="B365" s="174" t="s">
        <v>732</v>
      </c>
      <c r="C365" s="174" t="s">
        <v>712</v>
      </c>
      <c r="D365" s="170">
        <f>IF(ISNUMBER(SEARCH(Checksheet!$U$11,B365)),MAX($D$1:D364)+1,"")</f>
        <v>364</v>
      </c>
      <c r="E365" s="170" t="str">
        <f t="shared" si="5"/>
        <v>SY30M-31-1A-10-S</v>
      </c>
    </row>
    <row r="366" spans="1:5">
      <c r="A366" s="174" t="s">
        <v>733</v>
      </c>
      <c r="B366" s="174" t="s">
        <v>734</v>
      </c>
      <c r="C366" s="174" t="s">
        <v>712</v>
      </c>
      <c r="D366" s="170">
        <f>IF(ISNUMBER(SEARCH(Checksheet!$U$11,B366)),MAX($D$1:D365)+1,"")</f>
        <v>365</v>
      </c>
      <c r="E366" s="170" t="str">
        <f t="shared" si="5"/>
        <v>SY30M-31-1A-11-S</v>
      </c>
    </row>
    <row r="367" spans="1:5">
      <c r="A367" s="174" t="s">
        <v>735</v>
      </c>
      <c r="B367" s="174" t="s">
        <v>736</v>
      </c>
      <c r="C367" s="174" t="s">
        <v>712</v>
      </c>
      <c r="D367" s="170">
        <f>IF(ISNUMBER(SEARCH(Checksheet!$U$11,B367)),MAX($D$1:D366)+1,"")</f>
        <v>366</v>
      </c>
      <c r="E367" s="170" t="str">
        <f t="shared" si="5"/>
        <v>SY30M-31-1A-12-S</v>
      </c>
    </row>
    <row r="368" spans="1:5">
      <c r="A368" s="174" t="s">
        <v>737</v>
      </c>
      <c r="B368" s="174" t="s">
        <v>738</v>
      </c>
      <c r="C368" s="174" t="s">
        <v>712</v>
      </c>
      <c r="D368" s="170">
        <f>IF(ISNUMBER(SEARCH(Checksheet!$U$11,B368)),MAX($D$1:D367)+1,"")</f>
        <v>367</v>
      </c>
      <c r="E368" s="170" t="str">
        <f t="shared" si="5"/>
        <v>SSQ1000-43A-FD25-D12-S</v>
      </c>
    </row>
    <row r="369" spans="1:5">
      <c r="A369" s="174" t="s">
        <v>739</v>
      </c>
      <c r="B369" s="174" t="s">
        <v>740</v>
      </c>
      <c r="C369" s="174" t="s">
        <v>712</v>
      </c>
      <c r="D369" s="170">
        <f>IF(ISNUMBER(SEARCH(Checksheet!$U$11,B369)),MAX($D$1:D368)+1,"")</f>
        <v>368</v>
      </c>
      <c r="E369" s="170" t="str">
        <f t="shared" si="5"/>
        <v>SSQ1000-43A-FD25-S01-S</v>
      </c>
    </row>
    <row r="370" spans="1:5">
      <c r="A370" s="174" t="s">
        <v>741</v>
      </c>
      <c r="B370" s="174" t="s">
        <v>742</v>
      </c>
      <c r="C370" s="174" t="s">
        <v>712</v>
      </c>
      <c r="D370" s="170">
        <f>IF(ISNUMBER(SEARCH(Checksheet!$U$11,B370)),MAX($D$1:D369)+1,"")</f>
        <v>369</v>
      </c>
      <c r="E370" s="170" t="str">
        <f t="shared" si="5"/>
        <v>SSQ1000-43A-PD26-D12-S</v>
      </c>
    </row>
    <row r="371" spans="1:5">
      <c r="A371" s="174" t="s">
        <v>743</v>
      </c>
      <c r="B371" s="174" t="s">
        <v>744</v>
      </c>
      <c r="C371" s="174" t="s">
        <v>712</v>
      </c>
      <c r="D371" s="170">
        <f>IF(ISNUMBER(SEARCH(Checksheet!$U$11,B371)),MAX($D$1:D370)+1,"")</f>
        <v>370</v>
      </c>
      <c r="E371" s="170" t="str">
        <f t="shared" si="5"/>
        <v>SSQ1000-43A-SD-D08-S</v>
      </c>
    </row>
    <row r="372" spans="1:5">
      <c r="A372" s="174" t="s">
        <v>745</v>
      </c>
      <c r="B372" s="174" t="s">
        <v>746</v>
      </c>
      <c r="C372" s="174" t="s">
        <v>712</v>
      </c>
      <c r="D372" s="170">
        <f>IF(ISNUMBER(SEARCH(Checksheet!$U$11,B372)),MAX($D$1:D371)+1,"")</f>
        <v>371</v>
      </c>
      <c r="E372" s="170" t="str">
        <f t="shared" si="5"/>
        <v>IN-581P-SP-22A0-S</v>
      </c>
    </row>
    <row r="373" spans="1:5">
      <c r="A373" s="174" t="s">
        <v>747</v>
      </c>
      <c r="B373" s="174" t="s">
        <v>748</v>
      </c>
      <c r="C373" s="174" t="s">
        <v>712</v>
      </c>
      <c r="D373" s="170">
        <f>IF(ISNUMBER(SEARCH(Checksheet!$U$11,B373)),MAX($D$1:D372)+1,"")</f>
        <v>372</v>
      </c>
      <c r="E373" s="170" t="str">
        <f t="shared" si="5"/>
        <v>SY70M-31-1A-12-S</v>
      </c>
    </row>
    <row r="374" spans="1:5">
      <c r="A374" s="174" t="s">
        <v>749</v>
      </c>
      <c r="B374" s="174" t="s">
        <v>750</v>
      </c>
      <c r="C374" s="174" t="s">
        <v>712</v>
      </c>
      <c r="D374" s="170">
        <f>IF(ISNUMBER(SEARCH(Checksheet!$U$11,B374)),MAX($D$1:D373)+1,"")</f>
        <v>373</v>
      </c>
      <c r="E374" s="170" t="str">
        <f t="shared" si="5"/>
        <v>SSQ1000-43A-PD26-D11-S</v>
      </c>
    </row>
    <row r="375" spans="1:5">
      <c r="A375" s="174" t="s">
        <v>751</v>
      </c>
      <c r="B375" s="174" t="s">
        <v>752</v>
      </c>
      <c r="C375" s="174" t="s">
        <v>712</v>
      </c>
      <c r="D375" s="170">
        <f>IF(ISNUMBER(SEARCH(Checksheet!$U$11,B375)),MAX($D$1:D374)+1,"")</f>
        <v>374</v>
      </c>
      <c r="E375" s="170" t="str">
        <f t="shared" si="5"/>
        <v>SSQ2000-43A-SD-D08-S</v>
      </c>
    </row>
    <row r="376" spans="1:5">
      <c r="A376" s="174" t="s">
        <v>753</v>
      </c>
      <c r="B376" s="174" t="s">
        <v>754</v>
      </c>
      <c r="C376" s="174" t="s">
        <v>712</v>
      </c>
      <c r="D376" s="170">
        <f>IF(ISNUMBER(SEARCH(Checksheet!$U$11,B376)),MAX($D$1:D375)+1,"")</f>
        <v>375</v>
      </c>
      <c r="E376" s="170" t="str">
        <f t="shared" si="5"/>
        <v>SSQ1000-43A-FD25-D06-S</v>
      </c>
    </row>
    <row r="377" spans="1:5">
      <c r="A377" s="174" t="s">
        <v>755</v>
      </c>
      <c r="B377" s="174" t="s">
        <v>756</v>
      </c>
      <c r="C377" s="174" t="s">
        <v>712</v>
      </c>
      <c r="D377" s="170">
        <f>IF(ISNUMBER(SEARCH(Checksheet!$U$11,B377)),MAX($D$1:D376)+1,"")</f>
        <v>376</v>
      </c>
      <c r="E377" s="170" t="str">
        <f t="shared" si="5"/>
        <v>SSQ2000-43A-FD25-D01-S</v>
      </c>
    </row>
    <row r="378" spans="1:5">
      <c r="A378" s="174" t="s">
        <v>757</v>
      </c>
      <c r="B378" s="174" t="s">
        <v>758</v>
      </c>
      <c r="C378" s="174" t="s">
        <v>712</v>
      </c>
      <c r="D378" s="170">
        <f>IF(ISNUMBER(SEARCH(Checksheet!$U$11,B378)),MAX($D$1:D377)+1,"")</f>
        <v>377</v>
      </c>
      <c r="E378" s="170" t="str">
        <f t="shared" si="5"/>
        <v>SSQ1000-43A-FD25-D09-S</v>
      </c>
    </row>
    <row r="379" spans="1:5">
      <c r="A379" s="174" t="s">
        <v>759</v>
      </c>
      <c r="B379" s="174" t="s">
        <v>760</v>
      </c>
      <c r="C379" s="174" t="s">
        <v>712</v>
      </c>
      <c r="D379" s="170">
        <f>IF(ISNUMBER(SEARCH(Checksheet!$U$11,B379)),MAX($D$1:D378)+1,"")</f>
        <v>378</v>
      </c>
      <c r="E379" s="170" t="str">
        <f t="shared" si="5"/>
        <v>SSQ1000-43A-FD25-D11-S</v>
      </c>
    </row>
    <row r="380" spans="1:5">
      <c r="A380" s="174" t="s">
        <v>761</v>
      </c>
      <c r="B380" s="174" t="s">
        <v>762</v>
      </c>
      <c r="C380" s="174" t="s">
        <v>712</v>
      </c>
      <c r="D380" s="170">
        <f>IF(ISNUMBER(SEARCH(Checksheet!$U$11,B380)),MAX($D$1:D379)+1,"")</f>
        <v>379</v>
      </c>
      <c r="E380" s="170" t="str">
        <f t="shared" si="5"/>
        <v>SSQ2000-43A-FD25-D12-S</v>
      </c>
    </row>
    <row r="381" spans="1:5">
      <c r="A381" s="174" t="s">
        <v>763</v>
      </c>
      <c r="B381" s="174" t="s">
        <v>764</v>
      </c>
      <c r="C381" s="174" t="s">
        <v>712</v>
      </c>
      <c r="D381" s="170">
        <f>IF(ISNUMBER(SEARCH(Checksheet!$U$11,B381)),MAX($D$1:D380)+1,"")</f>
        <v>380</v>
      </c>
      <c r="E381" s="170" t="str">
        <f t="shared" si="5"/>
        <v>SY50M-31-1A-12-S</v>
      </c>
    </row>
    <row r="382" spans="1:5">
      <c r="A382" s="174" t="s">
        <v>765</v>
      </c>
      <c r="B382" s="174" t="s">
        <v>766</v>
      </c>
      <c r="C382" s="174" t="s">
        <v>712</v>
      </c>
      <c r="D382" s="170">
        <f>IF(ISNUMBER(SEARCH(Checksheet!$U$11,B382)),MAX($D$1:D381)+1,"")</f>
        <v>381</v>
      </c>
      <c r="E382" s="170" t="str">
        <f t="shared" si="5"/>
        <v>SSQ1000-43A-PD26-D10-S</v>
      </c>
    </row>
    <row r="383" spans="1:5">
      <c r="A383" s="174" t="s">
        <v>767</v>
      </c>
      <c r="B383" s="174" t="s">
        <v>768</v>
      </c>
      <c r="C383" s="174" t="s">
        <v>712</v>
      </c>
      <c r="D383" s="170">
        <f>IF(ISNUMBER(SEARCH(Checksheet!$U$11,B383)),MAX($D$1:D382)+1,"")</f>
        <v>382</v>
      </c>
      <c r="E383" s="170" t="str">
        <f t="shared" si="5"/>
        <v>SSQ1000-43A-PD26-D05-S</v>
      </c>
    </row>
    <row r="384" spans="1:5">
      <c r="A384" s="174" t="s">
        <v>769</v>
      </c>
      <c r="B384" s="174" t="s">
        <v>770</v>
      </c>
      <c r="C384" s="174" t="s">
        <v>771</v>
      </c>
      <c r="D384" s="170">
        <f>IF(ISNUMBER(SEARCH(Checksheet!$U$11,B384)),MAX($D$1:D383)+1,"")</f>
        <v>383</v>
      </c>
      <c r="E384" s="170" t="str">
        <f t="shared" si="5"/>
        <v>400-089-416-002-S ｼｻｸ</v>
      </c>
    </row>
    <row r="385" spans="1:5">
      <c r="A385" s="174" t="s">
        <v>772</v>
      </c>
      <c r="B385" s="174" t="s">
        <v>773</v>
      </c>
      <c r="C385" s="174" t="s">
        <v>771</v>
      </c>
      <c r="D385" s="170">
        <f>IF(ISNUMBER(SEARCH(Checksheet!$U$11,B385)),MAX($D$1:D384)+1,"")</f>
        <v>384</v>
      </c>
      <c r="E385" s="170" t="str">
        <f t="shared" si="5"/>
        <v xml:space="preserve">400-089-778-073-S ｼｻｸ </v>
      </c>
    </row>
    <row r="386" spans="1:5">
      <c r="A386" s="174" t="s">
        <v>774</v>
      </c>
      <c r="B386" s="174" t="s">
        <v>775</v>
      </c>
      <c r="C386" s="174" t="s">
        <v>771</v>
      </c>
      <c r="D386" s="170">
        <f>IF(ISNUMBER(SEARCH(Checksheet!$U$11,B386)),MAX($D$1:D385)+1,"")</f>
        <v>385</v>
      </c>
      <c r="E386" s="170" t="str">
        <f t="shared" si="5"/>
        <v>400-089-778-002-S ｼｻｸ</v>
      </c>
    </row>
    <row r="387" spans="1:5">
      <c r="A387" s="174" t="s">
        <v>776</v>
      </c>
      <c r="B387" s="174" t="s">
        <v>777</v>
      </c>
      <c r="C387" s="174" t="s">
        <v>771</v>
      </c>
      <c r="D387" s="170">
        <f>IF(ISNUMBER(SEARCH(Checksheet!$U$11,B387)),MAX($D$1:D386)+1,"")</f>
        <v>386</v>
      </c>
      <c r="E387" s="170" t="str">
        <f t="shared" ref="E387:E450" si="6">IFERROR(INDEX($B:$B,MATCH(ROW()-1,$D:$D,0),1),"")</f>
        <v>400-089-778-028-S ｼｻｸ</v>
      </c>
    </row>
    <row r="388" spans="1:5">
      <c r="A388" s="174" t="s">
        <v>778</v>
      </c>
      <c r="B388" s="174" t="s">
        <v>779</v>
      </c>
      <c r="C388" s="174" t="s">
        <v>771</v>
      </c>
      <c r="D388" s="170">
        <f>IF(ISNUMBER(SEARCH(Checksheet!$U$11,B388)),MAX($D$1:D387)+1,"")</f>
        <v>387</v>
      </c>
      <c r="E388" s="170" t="str">
        <f t="shared" si="6"/>
        <v>400-093-376-002-S ｼｻｸ</v>
      </c>
    </row>
    <row r="389" spans="1:5">
      <c r="A389" s="174" t="s">
        <v>780</v>
      </c>
      <c r="B389" s="174" t="s">
        <v>781</v>
      </c>
      <c r="C389" s="174" t="s">
        <v>771</v>
      </c>
      <c r="D389" s="170">
        <f>IF(ISNUMBER(SEARCH(Checksheet!$U$11,B389)),MAX($D$1:D388)+1,"")</f>
        <v>388</v>
      </c>
      <c r="E389" s="170" t="str">
        <f t="shared" si="6"/>
        <v>400-089-778-002</v>
      </c>
    </row>
    <row r="390" spans="1:5">
      <c r="A390" s="174" t="s">
        <v>782</v>
      </c>
      <c r="B390" s="174" t="s">
        <v>783</v>
      </c>
      <c r="C390" s="174" t="s">
        <v>771</v>
      </c>
      <c r="D390" s="170">
        <f>IF(ISNUMBER(SEARCH(Checksheet!$U$11,B390)),MAX($D$1:D389)+1,"")</f>
        <v>389</v>
      </c>
      <c r="E390" s="170" t="str">
        <f t="shared" si="6"/>
        <v>WRMT41418-1</v>
      </c>
    </row>
    <row r="391" spans="1:5">
      <c r="A391" s="174" t="s">
        <v>784</v>
      </c>
      <c r="B391" s="174" t="s">
        <v>785</v>
      </c>
      <c r="C391" s="174" t="s">
        <v>771</v>
      </c>
      <c r="D391" s="170">
        <f>IF(ISNUMBER(SEARCH(Checksheet!$U$11,B391)),MAX($D$1:D390)+1,"")</f>
        <v>390</v>
      </c>
      <c r="E391" s="170" t="str">
        <f t="shared" si="6"/>
        <v>WRMT41418-2</v>
      </c>
    </row>
    <row r="392" spans="1:5">
      <c r="A392" s="174" t="s">
        <v>786</v>
      </c>
      <c r="B392" s="174" t="s">
        <v>787</v>
      </c>
      <c r="C392" s="174" t="s">
        <v>771</v>
      </c>
      <c r="D392" s="170">
        <f>IF(ISNUMBER(SEARCH(Checksheet!$U$11,B392)),MAX($D$1:D391)+1,"")</f>
        <v>391</v>
      </c>
      <c r="E392" s="170" t="str">
        <f t="shared" si="6"/>
        <v>WRMT41418-4</v>
      </c>
    </row>
    <row r="393" spans="1:5">
      <c r="A393" s="174" t="s">
        <v>788</v>
      </c>
      <c r="B393" s="174" t="s">
        <v>789</v>
      </c>
      <c r="C393" s="174" t="s">
        <v>771</v>
      </c>
      <c r="D393" s="170">
        <f>IF(ISNUMBER(SEARCH(Checksheet!$U$11,B393)),MAX($D$1:D392)+1,"")</f>
        <v>392</v>
      </c>
      <c r="E393" s="170" t="str">
        <f t="shared" si="6"/>
        <v>WRMT41418-6</v>
      </c>
    </row>
    <row r="394" spans="1:5">
      <c r="A394" s="174" t="s">
        <v>790</v>
      </c>
      <c r="B394" s="174" t="s">
        <v>791</v>
      </c>
      <c r="C394" s="174" t="s">
        <v>771</v>
      </c>
      <c r="D394" s="170">
        <f>IF(ISNUMBER(SEARCH(Checksheet!$U$11,B394)),MAX($D$1:D393)+1,"")</f>
        <v>393</v>
      </c>
      <c r="E394" s="170" t="str">
        <f t="shared" si="6"/>
        <v>400-002-405-3-S ｼｻｸ</v>
      </c>
    </row>
    <row r="395" spans="1:5">
      <c r="A395" s="174" t="s">
        <v>792</v>
      </c>
      <c r="B395" s="174" t="s">
        <v>793</v>
      </c>
      <c r="C395" s="174" t="s">
        <v>771</v>
      </c>
      <c r="D395" s="170">
        <f>IF(ISNUMBER(SEARCH(Checksheet!$U$11,B395)),MAX($D$1:D394)+1,"")</f>
        <v>394</v>
      </c>
      <c r="E395" s="170" t="str">
        <f t="shared" si="6"/>
        <v>400-048-668-002-7-S ｼｻ</v>
      </c>
    </row>
    <row r="396" spans="1:5">
      <c r="A396" s="174" t="s">
        <v>794</v>
      </c>
      <c r="B396" s="174" t="s">
        <v>795</v>
      </c>
      <c r="C396" s="174" t="s">
        <v>771</v>
      </c>
      <c r="D396" s="170">
        <f>IF(ISNUMBER(SEARCH(Checksheet!$U$11,B396)),MAX($D$1:D395)+1,"")</f>
        <v>395</v>
      </c>
      <c r="E396" s="170" t="str">
        <f t="shared" si="6"/>
        <v>400-048-669-002-5-S ｼｻ</v>
      </c>
    </row>
    <row r="397" spans="1:5">
      <c r="A397" s="174" t="s">
        <v>796</v>
      </c>
      <c r="B397" s="174" t="s">
        <v>797</v>
      </c>
      <c r="C397" s="174" t="s">
        <v>771</v>
      </c>
      <c r="D397" s="170">
        <f>IF(ISNUMBER(SEARCH(Checksheet!$U$11,B397)),MAX($D$1:D396)+1,"")</f>
        <v>396</v>
      </c>
      <c r="E397" s="170" t="str">
        <f t="shared" si="6"/>
        <v>400-048-684-002-7-S ｼｻ</v>
      </c>
    </row>
    <row r="398" spans="1:5">
      <c r="A398" s="174" t="s">
        <v>798</v>
      </c>
      <c r="B398" s="174" t="s">
        <v>799</v>
      </c>
      <c r="C398" s="174" t="s">
        <v>771</v>
      </c>
      <c r="D398" s="170">
        <f>IF(ISNUMBER(SEARCH(Checksheet!$U$11,B398)),MAX($D$1:D397)+1,"")</f>
        <v>397</v>
      </c>
      <c r="E398" s="170" t="str">
        <f t="shared" si="6"/>
        <v>400-048-691-001-5-S ｼｻ</v>
      </c>
    </row>
    <row r="399" spans="1:5">
      <c r="A399" s="174" t="s">
        <v>800</v>
      </c>
      <c r="B399" s="174" t="s">
        <v>801</v>
      </c>
      <c r="C399" s="174" t="s">
        <v>771</v>
      </c>
      <c r="D399" s="170">
        <f>IF(ISNUMBER(SEARCH(Checksheet!$U$11,B399)),MAX($D$1:D398)+1,"")</f>
        <v>398</v>
      </c>
      <c r="E399" s="170" t="str">
        <f t="shared" si="6"/>
        <v>400-055-745-002-5-S ｼｻ</v>
      </c>
    </row>
    <row r="400" spans="1:5">
      <c r="A400" s="174" t="s">
        <v>802</v>
      </c>
      <c r="B400" s="174" t="s">
        <v>803</v>
      </c>
      <c r="C400" s="174" t="s">
        <v>771</v>
      </c>
      <c r="D400" s="170">
        <f>IF(ISNUMBER(SEARCH(Checksheet!$U$11,B400)),MAX($D$1:D399)+1,"")</f>
        <v>399</v>
      </c>
      <c r="E400" s="170" t="str">
        <f t="shared" si="6"/>
        <v>400-089-416-002</v>
      </c>
    </row>
    <row r="401" spans="1:5">
      <c r="A401" s="174" t="s">
        <v>804</v>
      </c>
      <c r="B401" s="174" t="s">
        <v>805</v>
      </c>
      <c r="C401" s="174" t="s">
        <v>771</v>
      </c>
      <c r="D401" s="170">
        <f>IF(ISNUMBER(SEARCH(Checksheet!$U$11,B401)),MAX($D$1:D400)+1,"")</f>
        <v>400</v>
      </c>
      <c r="E401" s="170" t="str">
        <f t="shared" si="6"/>
        <v>400-089-416-007</v>
      </c>
    </row>
    <row r="402" spans="1:5">
      <c r="A402" s="174" t="s">
        <v>806</v>
      </c>
      <c r="B402" s="174" t="s">
        <v>807</v>
      </c>
      <c r="C402" s="174" t="s">
        <v>771</v>
      </c>
      <c r="D402" s="170">
        <f>IF(ISNUMBER(SEARCH(Checksheet!$U$11,B402)),MAX($D$1:D401)+1,"")</f>
        <v>401</v>
      </c>
      <c r="E402" s="170" t="str">
        <f t="shared" si="6"/>
        <v>400-089-416-004</v>
      </c>
    </row>
    <row r="403" spans="1:5">
      <c r="A403" s="174" t="s">
        <v>808</v>
      </c>
      <c r="B403" s="174" t="s">
        <v>809</v>
      </c>
      <c r="C403" s="174" t="s">
        <v>771</v>
      </c>
      <c r="D403" s="170">
        <f>IF(ISNUMBER(SEARCH(Checksheet!$U$11,B403)),MAX($D$1:D402)+1,"")</f>
        <v>402</v>
      </c>
      <c r="E403" s="170" t="str">
        <f t="shared" si="6"/>
        <v>400-089-416-010</v>
      </c>
    </row>
    <row r="404" spans="1:5">
      <c r="A404" s="174" t="s">
        <v>810</v>
      </c>
      <c r="B404" s="174" t="s">
        <v>811</v>
      </c>
      <c r="C404" s="174" t="s">
        <v>771</v>
      </c>
      <c r="D404" s="170">
        <f>IF(ISNUMBER(SEARCH(Checksheet!$U$11,B404)),MAX($D$1:D403)+1,"")</f>
        <v>403</v>
      </c>
      <c r="E404" s="170" t="str">
        <f t="shared" si="6"/>
        <v>400-089-778-025</v>
      </c>
    </row>
    <row r="405" spans="1:5">
      <c r="A405" s="174" t="s">
        <v>812</v>
      </c>
      <c r="B405" s="174" t="s">
        <v>813</v>
      </c>
      <c r="C405" s="174" t="s">
        <v>771</v>
      </c>
      <c r="D405" s="170">
        <f>IF(ISNUMBER(SEARCH(Checksheet!$U$11,B405)),MAX($D$1:D404)+1,"")</f>
        <v>404</v>
      </c>
      <c r="E405" s="170" t="str">
        <f t="shared" si="6"/>
        <v>400-089-416-006</v>
      </c>
    </row>
    <row r="406" spans="1:5">
      <c r="A406" s="174" t="s">
        <v>814</v>
      </c>
      <c r="B406" s="174" t="s">
        <v>815</v>
      </c>
      <c r="C406" s="174" t="s">
        <v>771</v>
      </c>
      <c r="D406" s="170">
        <f>IF(ISNUMBER(SEARCH(Checksheet!$U$11,B406)),MAX($D$1:D405)+1,"")</f>
        <v>405</v>
      </c>
      <c r="E406" s="170" t="str">
        <f t="shared" si="6"/>
        <v>400-089-416-009</v>
      </c>
    </row>
    <row r="407" spans="1:5">
      <c r="A407" s="174" t="s">
        <v>816</v>
      </c>
      <c r="B407" s="174" t="s">
        <v>817</v>
      </c>
      <c r="C407" s="174" t="s">
        <v>771</v>
      </c>
      <c r="D407" s="170">
        <f>IF(ISNUMBER(SEARCH(Checksheet!$U$11,B407)),MAX($D$1:D406)+1,"")</f>
        <v>406</v>
      </c>
      <c r="E407" s="170" t="str">
        <f t="shared" si="6"/>
        <v>400-089-778-024</v>
      </c>
    </row>
    <row r="408" spans="1:5">
      <c r="A408" s="174" t="s">
        <v>818</v>
      </c>
      <c r="B408" s="174" t="s">
        <v>819</v>
      </c>
      <c r="C408" s="174" t="s">
        <v>771</v>
      </c>
      <c r="D408" s="170">
        <f>IF(ISNUMBER(SEARCH(Checksheet!$U$11,B408)),MAX($D$1:D407)+1,"")</f>
        <v>407</v>
      </c>
      <c r="E408" s="170" t="str">
        <f t="shared" si="6"/>
        <v>400-089-778-028</v>
      </c>
    </row>
    <row r="409" spans="1:5">
      <c r="A409" s="174" t="s">
        <v>820</v>
      </c>
      <c r="B409" s="174" t="s">
        <v>821</v>
      </c>
      <c r="C409" s="174" t="s">
        <v>771</v>
      </c>
      <c r="D409" s="170">
        <f>IF(ISNUMBER(SEARCH(Checksheet!$U$11,B409)),MAX($D$1:D408)+1,"")</f>
        <v>408</v>
      </c>
      <c r="E409" s="170" t="str">
        <f t="shared" si="6"/>
        <v>400-089-778-026</v>
      </c>
    </row>
    <row r="410" spans="1:5">
      <c r="A410" s="174" t="s">
        <v>822</v>
      </c>
      <c r="B410" s="174" t="s">
        <v>823</v>
      </c>
      <c r="C410" s="174" t="s">
        <v>771</v>
      </c>
      <c r="D410" s="170">
        <f>IF(ISNUMBER(SEARCH(Checksheet!$U$11,B410)),MAX($D$1:D409)+1,"")</f>
        <v>409</v>
      </c>
      <c r="E410" s="170" t="str">
        <f t="shared" si="6"/>
        <v>400-089-778-027</v>
      </c>
    </row>
    <row r="411" spans="1:5">
      <c r="A411" s="174" t="s">
        <v>824</v>
      </c>
      <c r="B411" s="174" t="s">
        <v>825</v>
      </c>
      <c r="C411" s="174" t="s">
        <v>771</v>
      </c>
      <c r="D411" s="170">
        <f>IF(ISNUMBER(SEARCH(Checksheet!$U$11,B411)),MAX($D$1:D410)+1,"")</f>
        <v>410</v>
      </c>
      <c r="E411" s="170" t="str">
        <f t="shared" si="6"/>
        <v>400-089-778-029</v>
      </c>
    </row>
    <row r="412" spans="1:5">
      <c r="A412" s="174" t="s">
        <v>826</v>
      </c>
      <c r="B412" s="174" t="s">
        <v>827</v>
      </c>
      <c r="C412" s="174" t="s">
        <v>771</v>
      </c>
      <c r="D412" s="170">
        <f>IF(ISNUMBER(SEARCH(Checksheet!$U$11,B412)),MAX($D$1:D411)+1,"")</f>
        <v>411</v>
      </c>
      <c r="E412" s="170" t="str">
        <f t="shared" si="6"/>
        <v>400-089-778-030</v>
      </c>
    </row>
    <row r="413" spans="1:5">
      <c r="A413" s="174" t="s">
        <v>828</v>
      </c>
      <c r="B413" s="174" t="s">
        <v>829</v>
      </c>
      <c r="C413" s="174" t="s">
        <v>771</v>
      </c>
      <c r="D413" s="170">
        <f>IF(ISNUMBER(SEARCH(Checksheet!$U$11,B413)),MAX($D$1:D412)+1,"")</f>
        <v>412</v>
      </c>
      <c r="E413" s="170" t="str">
        <f t="shared" si="6"/>
        <v>400-089-778-031</v>
      </c>
    </row>
    <row r="414" spans="1:5">
      <c r="A414" s="174" t="s">
        <v>830</v>
      </c>
      <c r="B414" s="174" t="s">
        <v>831</v>
      </c>
      <c r="C414" s="174" t="s">
        <v>771</v>
      </c>
      <c r="D414" s="170">
        <f>IF(ISNUMBER(SEARCH(Checksheet!$U$11,B414)),MAX($D$1:D413)+1,"")</f>
        <v>413</v>
      </c>
      <c r="E414" s="170" t="str">
        <f t="shared" si="6"/>
        <v>400-089-778-032</v>
      </c>
    </row>
    <row r="415" spans="1:5">
      <c r="A415" s="174" t="s">
        <v>832</v>
      </c>
      <c r="B415" s="174" t="s">
        <v>833</v>
      </c>
      <c r="C415" s="174" t="s">
        <v>771</v>
      </c>
      <c r="D415" s="170">
        <f>IF(ISNUMBER(SEARCH(Checksheet!$U$11,B415)),MAX($D$1:D414)+1,"")</f>
        <v>414</v>
      </c>
      <c r="E415" s="170" t="str">
        <f t="shared" si="6"/>
        <v>400-089-778-038</v>
      </c>
    </row>
    <row r="416" spans="1:5">
      <c r="A416" s="174" t="s">
        <v>834</v>
      </c>
      <c r="B416" s="174" t="s">
        <v>835</v>
      </c>
      <c r="C416" s="174" t="s">
        <v>771</v>
      </c>
      <c r="D416" s="170">
        <f>IF(ISNUMBER(SEARCH(Checksheet!$U$11,B416)),MAX($D$1:D415)+1,"")</f>
        <v>415</v>
      </c>
      <c r="E416" s="170" t="str">
        <f t="shared" si="6"/>
        <v>400-089-778-039</v>
      </c>
    </row>
    <row r="417" spans="1:5">
      <c r="A417" s="174" t="s">
        <v>836</v>
      </c>
      <c r="B417" s="174" t="s">
        <v>837</v>
      </c>
      <c r="C417" s="174" t="s">
        <v>771</v>
      </c>
      <c r="D417" s="170">
        <f>IF(ISNUMBER(SEARCH(Checksheet!$U$11,B417)),MAX($D$1:D416)+1,"")</f>
        <v>416</v>
      </c>
      <c r="E417" s="170" t="str">
        <f t="shared" si="6"/>
        <v>400-089-778-073</v>
      </c>
    </row>
    <row r="418" spans="1:5">
      <c r="A418" s="174" t="s">
        <v>838</v>
      </c>
      <c r="B418" s="174" t="s">
        <v>839</v>
      </c>
      <c r="C418" s="174" t="s">
        <v>771</v>
      </c>
      <c r="D418" s="170">
        <f>IF(ISNUMBER(SEARCH(Checksheet!$U$11,B418)),MAX($D$1:D417)+1,"")</f>
        <v>417</v>
      </c>
      <c r="E418" s="170" t="str">
        <f t="shared" si="6"/>
        <v>400-089-778-074</v>
      </c>
    </row>
    <row r="419" spans="1:5">
      <c r="A419" s="174" t="s">
        <v>840</v>
      </c>
      <c r="B419" s="174" t="s">
        <v>841</v>
      </c>
      <c r="C419" s="174" t="s">
        <v>771</v>
      </c>
      <c r="D419" s="170">
        <f>IF(ISNUMBER(SEARCH(Checksheet!$U$11,B419)),MAX($D$1:D418)+1,"")</f>
        <v>418</v>
      </c>
      <c r="E419" s="170" t="str">
        <f t="shared" si="6"/>
        <v>400-089-778-075</v>
      </c>
    </row>
    <row r="420" spans="1:5">
      <c r="A420" s="174" t="s">
        <v>842</v>
      </c>
      <c r="B420" s="174" t="s">
        <v>843</v>
      </c>
      <c r="C420" s="174" t="s">
        <v>771</v>
      </c>
      <c r="D420" s="170">
        <f>IF(ISNUMBER(SEARCH(Checksheet!$U$11,B420)),MAX($D$1:D419)+1,"")</f>
        <v>419</v>
      </c>
      <c r="E420" s="170" t="str">
        <f t="shared" si="6"/>
        <v>400-089-778-076</v>
      </c>
    </row>
    <row r="421" spans="1:5">
      <c r="A421" s="174" t="s">
        <v>844</v>
      </c>
      <c r="B421" s="174" t="s">
        <v>845</v>
      </c>
      <c r="C421" s="174" t="s">
        <v>771</v>
      </c>
      <c r="D421" s="170">
        <f>IF(ISNUMBER(SEARCH(Checksheet!$U$11,B421)),MAX($D$1:D420)+1,"")</f>
        <v>420</v>
      </c>
      <c r="E421" s="170" t="str">
        <f t="shared" si="6"/>
        <v>400-093-376-001</v>
      </c>
    </row>
    <row r="422" spans="1:5">
      <c r="A422" s="174" t="s">
        <v>846</v>
      </c>
      <c r="B422" s="174" t="s">
        <v>847</v>
      </c>
      <c r="C422" s="174" t="s">
        <v>771</v>
      </c>
      <c r="D422" s="170">
        <f>IF(ISNUMBER(SEARCH(Checksheet!$U$11,B422)),MAX($D$1:D421)+1,"")</f>
        <v>421</v>
      </c>
      <c r="E422" s="170" t="str">
        <f t="shared" si="6"/>
        <v>400-093-376-002</v>
      </c>
    </row>
    <row r="423" spans="1:5">
      <c r="A423" s="174" t="s">
        <v>848</v>
      </c>
      <c r="B423" s="174" t="s">
        <v>849</v>
      </c>
      <c r="C423" s="174" t="s">
        <v>771</v>
      </c>
      <c r="D423" s="170">
        <f>IF(ISNUMBER(SEARCH(Checksheet!$U$11,B423)),MAX($D$1:D422)+1,"")</f>
        <v>422</v>
      </c>
      <c r="E423" s="170" t="str">
        <f t="shared" si="6"/>
        <v>400-093-376-003</v>
      </c>
    </row>
    <row r="424" spans="1:5">
      <c r="A424" s="174" t="s">
        <v>850</v>
      </c>
      <c r="B424" s="174" t="s">
        <v>851</v>
      </c>
      <c r="C424" s="174" t="s">
        <v>771</v>
      </c>
      <c r="D424" s="170">
        <f>IF(ISNUMBER(SEARCH(Checksheet!$U$11,B424)),MAX($D$1:D423)+1,"")</f>
        <v>423</v>
      </c>
      <c r="E424" s="170" t="str">
        <f t="shared" si="6"/>
        <v>400-093-376-004</v>
      </c>
    </row>
    <row r="425" spans="1:5">
      <c r="A425" s="174" t="s">
        <v>852</v>
      </c>
      <c r="B425" s="174" t="s">
        <v>853</v>
      </c>
      <c r="C425" s="174" t="s">
        <v>771</v>
      </c>
      <c r="D425" s="170">
        <f>IF(ISNUMBER(SEARCH(Checksheet!$U$11,B425)),MAX($D$1:D424)+1,"")</f>
        <v>424</v>
      </c>
      <c r="E425" s="170" t="str">
        <f t="shared" si="6"/>
        <v>400-093-376-005</v>
      </c>
    </row>
    <row r="426" spans="1:5">
      <c r="A426" s="174" t="s">
        <v>854</v>
      </c>
      <c r="B426" s="174" t="s">
        <v>855</v>
      </c>
      <c r="C426" s="174" t="s">
        <v>771</v>
      </c>
      <c r="D426" s="170">
        <f>IF(ISNUMBER(SEARCH(Checksheet!$U$11,B426)),MAX($D$1:D425)+1,"")</f>
        <v>425</v>
      </c>
      <c r="E426" s="170" t="str">
        <f t="shared" si="6"/>
        <v>400-098-478-001</v>
      </c>
    </row>
    <row r="427" spans="1:5">
      <c r="A427" s="174" t="s">
        <v>856</v>
      </c>
      <c r="B427" s="174" t="s">
        <v>857</v>
      </c>
      <c r="C427" s="174" t="s">
        <v>771</v>
      </c>
      <c r="D427" s="170">
        <f>IF(ISNUMBER(SEARCH(Checksheet!$U$11,B427)),MAX($D$1:D426)+1,"")</f>
        <v>426</v>
      </c>
      <c r="E427" s="170" t="str">
        <f t="shared" si="6"/>
        <v>400-089-778-077</v>
      </c>
    </row>
    <row r="428" spans="1:5">
      <c r="A428" s="174" t="s">
        <v>858</v>
      </c>
      <c r="B428" s="174" t="s">
        <v>859</v>
      </c>
      <c r="C428" s="174" t="s">
        <v>771</v>
      </c>
      <c r="D428" s="170">
        <f>IF(ISNUMBER(SEARCH(Checksheet!$U$11,B428)),MAX($D$1:D427)+1,"")</f>
        <v>427</v>
      </c>
      <c r="E428" s="170" t="str">
        <f t="shared" si="6"/>
        <v>400-089-896-002</v>
      </c>
    </row>
    <row r="429" spans="1:5">
      <c r="A429" s="174" t="s">
        <v>860</v>
      </c>
      <c r="B429" s="174" t="s">
        <v>861</v>
      </c>
      <c r="C429" s="174" t="s">
        <v>771</v>
      </c>
      <c r="D429" s="170">
        <f>IF(ISNUMBER(SEARCH(Checksheet!$U$11,B429)),MAX($D$1:D428)+1,"")</f>
        <v>428</v>
      </c>
      <c r="E429" s="170" t="str">
        <f t="shared" si="6"/>
        <v>400-098-478-002</v>
      </c>
    </row>
    <row r="430" spans="1:5">
      <c r="A430" s="174" t="s">
        <v>862</v>
      </c>
      <c r="B430" s="174" t="s">
        <v>863</v>
      </c>
      <c r="C430" s="174" t="s">
        <v>771</v>
      </c>
      <c r="D430" s="170">
        <f>IF(ISNUMBER(SEARCH(Checksheet!$U$11,B430)),MAX($D$1:D429)+1,"")</f>
        <v>429</v>
      </c>
      <c r="E430" s="170" t="str">
        <f t="shared" si="6"/>
        <v>400-089-778-021</v>
      </c>
    </row>
    <row r="431" spans="1:5">
      <c r="A431" s="174" t="s">
        <v>864</v>
      </c>
      <c r="B431" s="174" t="s">
        <v>865</v>
      </c>
      <c r="C431" s="174" t="s">
        <v>771</v>
      </c>
      <c r="D431" s="170">
        <f>IF(ISNUMBER(SEARCH(Checksheet!$U$11,B431)),MAX($D$1:D430)+1,"")</f>
        <v>430</v>
      </c>
      <c r="E431" s="170" t="str">
        <f t="shared" si="6"/>
        <v>400-089-778-022</v>
      </c>
    </row>
    <row r="432" spans="1:5">
      <c r="A432" s="174" t="s">
        <v>866</v>
      </c>
      <c r="B432" s="174" t="s">
        <v>867</v>
      </c>
      <c r="C432" s="174" t="s">
        <v>771</v>
      </c>
      <c r="D432" s="170">
        <f>IF(ISNUMBER(SEARCH(Checksheet!$U$11,B432)),MAX($D$1:D431)+1,"")</f>
        <v>431</v>
      </c>
      <c r="E432" s="170" t="str">
        <f t="shared" si="6"/>
        <v>400-089-778-023</v>
      </c>
    </row>
    <row r="433" spans="1:5">
      <c r="A433" s="174" t="s">
        <v>868</v>
      </c>
      <c r="B433" s="174" t="s">
        <v>869</v>
      </c>
      <c r="C433" s="174" t="s">
        <v>771</v>
      </c>
      <c r="D433" s="170">
        <f>IF(ISNUMBER(SEARCH(Checksheet!$U$11,B433)),MAX($D$1:D432)+1,"")</f>
        <v>432</v>
      </c>
      <c r="E433" s="170" t="str">
        <f t="shared" si="6"/>
        <v>400-048-668-003</v>
      </c>
    </row>
    <row r="434" spans="1:5">
      <c r="A434" s="174" t="s">
        <v>870</v>
      </c>
      <c r="B434" s="174" t="s">
        <v>871</v>
      </c>
      <c r="C434" s="174" t="s">
        <v>771</v>
      </c>
      <c r="D434" s="170">
        <f>IF(ISNUMBER(SEARCH(Checksheet!$U$11,B434)),MAX($D$1:D433)+1,"")</f>
        <v>433</v>
      </c>
      <c r="E434" s="170" t="str">
        <f t="shared" si="6"/>
        <v>400-048-669-003</v>
      </c>
    </row>
    <row r="435" spans="1:5">
      <c r="A435" s="174" t="s">
        <v>872</v>
      </c>
      <c r="B435" s="174" t="s">
        <v>873</v>
      </c>
      <c r="C435" s="174" t="s">
        <v>771</v>
      </c>
      <c r="D435" s="170">
        <f>IF(ISNUMBER(SEARCH(Checksheet!$U$11,B435)),MAX($D$1:D434)+1,"")</f>
        <v>434</v>
      </c>
      <c r="E435" s="170" t="str">
        <f t="shared" si="6"/>
        <v>400-048-684-003</v>
      </c>
    </row>
    <row r="436" spans="1:5">
      <c r="A436" s="174" t="s">
        <v>874</v>
      </c>
      <c r="B436" s="174" t="s">
        <v>875</v>
      </c>
      <c r="C436" s="174" t="s">
        <v>771</v>
      </c>
      <c r="D436" s="170">
        <f>IF(ISNUMBER(SEARCH(Checksheet!$U$11,B436)),MAX($D$1:D435)+1,"")</f>
        <v>435</v>
      </c>
      <c r="E436" s="170" t="str">
        <f t="shared" si="6"/>
        <v>400-048-691-002</v>
      </c>
    </row>
    <row r="437" spans="1:5">
      <c r="A437" s="174" t="s">
        <v>876</v>
      </c>
      <c r="B437" s="174" t="s">
        <v>877</v>
      </c>
      <c r="C437" s="174" t="s">
        <v>771</v>
      </c>
      <c r="D437" s="170">
        <f>IF(ISNUMBER(SEARCH(Checksheet!$U$11,B437)),MAX($D$1:D436)+1,"")</f>
        <v>436</v>
      </c>
      <c r="E437" s="170" t="str">
        <f t="shared" si="6"/>
        <v>WRMT41418-3</v>
      </c>
    </row>
    <row r="438" spans="1:5">
      <c r="A438" s="174" t="s">
        <v>878</v>
      </c>
      <c r="B438" s="174" t="s">
        <v>879</v>
      </c>
      <c r="C438" s="174" t="s">
        <v>771</v>
      </c>
      <c r="D438" s="170">
        <f>IF(ISNUMBER(SEARCH(Checksheet!$U$11,B438)),MAX($D$1:D437)+1,"")</f>
        <v>437</v>
      </c>
      <c r="E438" s="170" t="str">
        <f t="shared" si="6"/>
        <v>WRMT41418-5</v>
      </c>
    </row>
    <row r="439" spans="1:5">
      <c r="A439" s="174" t="s">
        <v>880</v>
      </c>
      <c r="B439" s="174" t="s">
        <v>881</v>
      </c>
      <c r="C439" s="174" t="s">
        <v>771</v>
      </c>
      <c r="D439" s="170">
        <f>IF(ISNUMBER(SEARCH(Checksheet!$U$11,B439)),MAX($D$1:D438)+1,"")</f>
        <v>438</v>
      </c>
      <c r="E439" s="170" t="str">
        <f t="shared" si="6"/>
        <v>WRMT41418-7</v>
      </c>
    </row>
    <row r="440" spans="1:5">
      <c r="A440" s="174" t="s">
        <v>882</v>
      </c>
      <c r="B440" s="174" t="s">
        <v>883</v>
      </c>
      <c r="C440" s="174" t="s">
        <v>771</v>
      </c>
      <c r="D440" s="170">
        <f>IF(ISNUMBER(SEARCH(Checksheet!$U$11,B440)),MAX($D$1:D439)+1,"")</f>
        <v>439</v>
      </c>
      <c r="E440" s="170" t="str">
        <f t="shared" si="6"/>
        <v>WRMT41418-8</v>
      </c>
    </row>
    <row r="441" spans="1:5">
      <c r="A441" s="174" t="s">
        <v>884</v>
      </c>
      <c r="B441" s="174" t="s">
        <v>885</v>
      </c>
      <c r="C441" s="174" t="s">
        <v>771</v>
      </c>
      <c r="D441" s="170">
        <f>IF(ISNUMBER(SEARCH(Checksheet!$U$11,B441)),MAX($D$1:D440)+1,"")</f>
        <v>440</v>
      </c>
      <c r="E441" s="170" t="str">
        <f t="shared" si="6"/>
        <v>WRMT41418-9</v>
      </c>
    </row>
    <row r="442" spans="1:5">
      <c r="A442" s="174" t="s">
        <v>886</v>
      </c>
      <c r="B442" s="174" t="s">
        <v>887</v>
      </c>
      <c r="C442" s="174" t="s">
        <v>771</v>
      </c>
      <c r="D442" s="170">
        <f>IF(ISNUMBER(SEARCH(Checksheet!$U$11,B442)),MAX($D$1:D441)+1,"")</f>
        <v>441</v>
      </c>
      <c r="E442" s="170" t="str">
        <f t="shared" si="6"/>
        <v>WRMT41418-10</v>
      </c>
    </row>
    <row r="443" spans="1:5">
      <c r="A443" s="174" t="s">
        <v>888</v>
      </c>
      <c r="B443" s="174" t="s">
        <v>889</v>
      </c>
      <c r="C443" s="174" t="s">
        <v>771</v>
      </c>
      <c r="D443" s="170">
        <f>IF(ISNUMBER(SEARCH(Checksheet!$U$11,B443)),MAX($D$1:D442)+1,"")</f>
        <v>442</v>
      </c>
      <c r="E443" s="170" t="str">
        <f t="shared" si="6"/>
        <v>WRMT41418-13</v>
      </c>
    </row>
    <row r="444" spans="1:5">
      <c r="A444" s="174" t="s">
        <v>890</v>
      </c>
      <c r="B444" s="174" t="s">
        <v>891</v>
      </c>
      <c r="C444" s="174" t="s">
        <v>771</v>
      </c>
      <c r="D444" s="170">
        <f>IF(ISNUMBER(SEARCH(Checksheet!$U$11,B444)),MAX($D$1:D443)+1,"")</f>
        <v>443</v>
      </c>
      <c r="E444" s="170" t="str">
        <f t="shared" si="6"/>
        <v>WRMT41418-101</v>
      </c>
    </row>
    <row r="445" spans="1:5">
      <c r="A445" s="174" t="s">
        <v>892</v>
      </c>
      <c r="B445" s="174" t="s">
        <v>893</v>
      </c>
      <c r="C445" s="174" t="s">
        <v>771</v>
      </c>
      <c r="D445" s="170">
        <f>IF(ISNUMBER(SEARCH(Checksheet!$U$11,B445)),MAX($D$1:D444)+1,"")</f>
        <v>444</v>
      </c>
      <c r="E445" s="170" t="str">
        <f t="shared" si="6"/>
        <v>WRMT41418-104</v>
      </c>
    </row>
    <row r="446" spans="1:5">
      <c r="A446" s="174" t="s">
        <v>894</v>
      </c>
      <c r="B446" s="174" t="s">
        <v>895</v>
      </c>
      <c r="C446" s="174" t="s">
        <v>771</v>
      </c>
      <c r="D446" s="170">
        <f>IF(ISNUMBER(SEARCH(Checksheet!$U$11,B446)),MAX($D$1:D445)+1,"")</f>
        <v>445</v>
      </c>
      <c r="E446" s="170" t="str">
        <f t="shared" si="6"/>
        <v>WRMT41418-105</v>
      </c>
    </row>
    <row r="447" spans="1:5">
      <c r="A447" s="174" t="s">
        <v>896</v>
      </c>
      <c r="B447" s="174" t="s">
        <v>897</v>
      </c>
      <c r="C447" s="174" t="s">
        <v>771</v>
      </c>
      <c r="D447" s="170">
        <f>IF(ISNUMBER(SEARCH(Checksheet!$U$11,B447)),MAX($D$1:D446)+1,"")</f>
        <v>446</v>
      </c>
      <c r="E447" s="170" t="str">
        <f t="shared" si="6"/>
        <v>WRMT41418-113</v>
      </c>
    </row>
    <row r="448" spans="1:5">
      <c r="A448" s="174" t="s">
        <v>898</v>
      </c>
      <c r="B448" s="174" t="s">
        <v>899</v>
      </c>
      <c r="C448" s="174" t="s">
        <v>771</v>
      </c>
      <c r="D448" s="170">
        <f>IF(ISNUMBER(SEARCH(Checksheet!$U$11,B448)),MAX($D$1:D447)+1,"")</f>
        <v>447</v>
      </c>
      <c r="E448" s="170" t="str">
        <f t="shared" si="6"/>
        <v>WRMT41418-901</v>
      </c>
    </row>
    <row r="449" spans="1:5">
      <c r="A449" s="174" t="s">
        <v>900</v>
      </c>
      <c r="B449" s="174" t="s">
        <v>901</v>
      </c>
      <c r="C449" s="174" t="s">
        <v>771</v>
      </c>
      <c r="D449" s="170">
        <f>IF(ISNUMBER(SEARCH(Checksheet!$U$11,B449)),MAX($D$1:D448)+1,"")</f>
        <v>448</v>
      </c>
      <c r="E449" s="170" t="str">
        <f t="shared" si="6"/>
        <v>WRMT41418-902</v>
      </c>
    </row>
    <row r="450" spans="1:5">
      <c r="A450" s="174" t="s">
        <v>902</v>
      </c>
      <c r="B450" s="174" t="s">
        <v>903</v>
      </c>
      <c r="C450" s="174" t="s">
        <v>771</v>
      </c>
      <c r="D450" s="170">
        <f>IF(ISNUMBER(SEARCH(Checksheet!$U$11,B450)),MAX($D$1:D449)+1,"")</f>
        <v>449</v>
      </c>
      <c r="E450" s="170" t="str">
        <f t="shared" si="6"/>
        <v>WRMT41418-912</v>
      </c>
    </row>
    <row r="451" spans="1:5">
      <c r="A451" s="174" t="s">
        <v>904</v>
      </c>
      <c r="B451" s="174" t="s">
        <v>905</v>
      </c>
      <c r="C451" s="174" t="s">
        <v>771</v>
      </c>
      <c r="D451" s="170">
        <f>IF(ISNUMBER(SEARCH(Checksheet!$U$11,B451)),MAX($D$1:D450)+1,"")</f>
        <v>450</v>
      </c>
      <c r="E451" s="170" t="str">
        <f t="shared" ref="E451:E514" si="7">IFERROR(INDEX($B:$B,MATCH(ROW()-1,$D:$D,0),1),"")</f>
        <v>400-089-778-022STRIPTP</v>
      </c>
    </row>
    <row r="452" spans="1:5">
      <c r="A452" s="174" t="s">
        <v>906</v>
      </c>
      <c r="B452" s="174" t="s">
        <v>907</v>
      </c>
      <c r="C452" s="174" t="s">
        <v>771</v>
      </c>
      <c r="D452" s="170">
        <f>IF(ISNUMBER(SEARCH(Checksheet!$U$11,B452)),MAX($D$1:D451)+1,"")</f>
        <v>451</v>
      </c>
      <c r="E452" s="170" t="str">
        <f t="shared" si="7"/>
        <v>400-089-778-022ACCHATP</v>
      </c>
    </row>
    <row r="453" spans="1:5">
      <c r="A453" s="174" t="s">
        <v>908</v>
      </c>
      <c r="B453" s="174" t="s">
        <v>909</v>
      </c>
      <c r="C453" s="174" t="s">
        <v>771</v>
      </c>
      <c r="D453" s="170">
        <f>IF(ISNUMBER(SEARCH(Checksheet!$U$11,B453)),MAX($D$1:D452)+1,"")</f>
        <v>452</v>
      </c>
      <c r="E453" s="170" t="str">
        <f t="shared" si="7"/>
        <v>400-089-778-028STRIPTP</v>
      </c>
    </row>
    <row r="454" spans="1:5">
      <c r="A454" s="174" t="s">
        <v>910</v>
      </c>
      <c r="B454" s="174" t="s">
        <v>911</v>
      </c>
      <c r="C454" s="174" t="s">
        <v>771</v>
      </c>
      <c r="D454" s="170">
        <f>IF(ISNUMBER(SEARCH(Checksheet!$U$11,B454)),MAX($D$1:D453)+1,"")</f>
        <v>453</v>
      </c>
      <c r="E454" s="170" t="str">
        <f t="shared" si="7"/>
        <v>400-089-778-028ACCHATP</v>
      </c>
    </row>
    <row r="455" spans="1:5">
      <c r="A455" s="174" t="s">
        <v>912</v>
      </c>
      <c r="B455" s="174" t="s">
        <v>913</v>
      </c>
      <c r="C455" s="174" t="s">
        <v>914</v>
      </c>
      <c r="D455" s="170">
        <f>IF(ISNUMBER(SEARCH(Checksheet!$U$11,B455)),MAX($D$1:D454)+1,"")</f>
        <v>454</v>
      </c>
      <c r="E455" s="170" t="str">
        <f t="shared" si="7"/>
        <v>A1V021-2000-1-S</v>
      </c>
    </row>
    <row r="456" spans="1:5">
      <c r="A456" s="174" t="s">
        <v>915</v>
      </c>
      <c r="B456" s="174" t="s">
        <v>916</v>
      </c>
      <c r="C456" s="174" t="s">
        <v>914</v>
      </c>
      <c r="D456" s="170">
        <f>IF(ISNUMBER(SEARCH(Checksheet!$U$11,B456)),MAX($D$1:D455)+1,"")</f>
        <v>455</v>
      </c>
      <c r="E456" s="170" t="str">
        <f t="shared" si="7"/>
        <v>A1V041-2000-2-S</v>
      </c>
    </row>
    <row r="457" spans="1:5">
      <c r="A457" s="174" t="s">
        <v>917</v>
      </c>
      <c r="B457" s="174" t="s">
        <v>918</v>
      </c>
      <c r="C457" s="174" t="s">
        <v>919</v>
      </c>
      <c r="D457" s="170">
        <f>IF(ISNUMBER(SEARCH(Checksheet!$U$11,B457)),MAX($D$1:D456)+1,"")</f>
        <v>456</v>
      </c>
      <c r="E457" s="170" t="str">
        <f t="shared" si="7"/>
        <v>3663-01-4-401-S(UL)</v>
      </c>
    </row>
    <row r="458" spans="1:5">
      <c r="A458" s="174" t="s">
        <v>920</v>
      </c>
      <c r="B458" s="174" t="s">
        <v>921</v>
      </c>
      <c r="C458" s="174" t="s">
        <v>919</v>
      </c>
      <c r="D458" s="170">
        <f>IF(ISNUMBER(SEARCH(Checksheet!$U$11,B458)),MAX($D$1:D457)+1,"")</f>
        <v>457</v>
      </c>
      <c r="E458" s="170" t="str">
        <f t="shared" si="7"/>
        <v>3663-01-4-402-S(UL)</v>
      </c>
    </row>
    <row r="459" spans="1:5">
      <c r="A459" s="174" t="s">
        <v>922</v>
      </c>
      <c r="B459" s="174" t="s">
        <v>923</v>
      </c>
      <c r="C459" s="174" t="s">
        <v>919</v>
      </c>
      <c r="D459" s="170">
        <f>IF(ISNUMBER(SEARCH(Checksheet!$U$11,B459)),MAX($D$1:D458)+1,"")</f>
        <v>458</v>
      </c>
      <c r="E459" s="170" t="str">
        <f t="shared" si="7"/>
        <v>3663-01-4-403-S(UL)</v>
      </c>
    </row>
    <row r="460" spans="1:5">
      <c r="A460" s="174" t="s">
        <v>924</v>
      </c>
      <c r="B460" s="174" t="s">
        <v>925</v>
      </c>
      <c r="C460" s="174" t="s">
        <v>919</v>
      </c>
      <c r="D460" s="170">
        <f>IF(ISNUMBER(SEARCH(Checksheet!$U$11,B460)),MAX($D$1:D459)+1,"")</f>
        <v>459</v>
      </c>
      <c r="E460" s="170" t="str">
        <f t="shared" si="7"/>
        <v>3663-01-4-404-S(UL)</v>
      </c>
    </row>
    <row r="461" spans="1:5">
      <c r="A461" s="174" t="s">
        <v>926</v>
      </c>
      <c r="B461" s="174" t="s">
        <v>927</v>
      </c>
      <c r="C461" s="174" t="s">
        <v>919</v>
      </c>
      <c r="D461" s="170">
        <f>IF(ISNUMBER(SEARCH(Checksheet!$U$11,B461)),MAX($D$1:D460)+1,"")</f>
        <v>460</v>
      </c>
      <c r="E461" s="170" t="str">
        <f t="shared" si="7"/>
        <v>3734-01-4-401A-S(UL)</v>
      </c>
    </row>
    <row r="462" spans="1:5">
      <c r="A462" s="174" t="s">
        <v>928</v>
      </c>
      <c r="B462" s="174" t="s">
        <v>929</v>
      </c>
      <c r="C462" s="174" t="s">
        <v>919</v>
      </c>
      <c r="D462" s="170">
        <f>IF(ISNUMBER(SEARCH(Checksheet!$U$11,B462)),MAX($D$1:D461)+1,"")</f>
        <v>461</v>
      </c>
      <c r="E462" s="170" t="str">
        <f t="shared" si="7"/>
        <v>2785-04-3-401C-S(UL)</v>
      </c>
    </row>
    <row r="463" spans="1:5">
      <c r="A463" s="174" t="s">
        <v>930</v>
      </c>
      <c r="B463" s="174" t="s">
        <v>931</v>
      </c>
      <c r="C463" s="174" t="s">
        <v>919</v>
      </c>
      <c r="D463" s="170">
        <f>IF(ISNUMBER(SEARCH(Checksheet!$U$11,B463)),MAX($D$1:D462)+1,"")</f>
        <v>462</v>
      </c>
      <c r="E463" s="170" t="str">
        <f t="shared" si="7"/>
        <v>2805-01-4-404-S(UL)</v>
      </c>
    </row>
    <row r="464" spans="1:5">
      <c r="A464" s="174" t="s">
        <v>932</v>
      </c>
      <c r="B464" s="174" t="s">
        <v>933</v>
      </c>
      <c r="C464" s="174" t="s">
        <v>919</v>
      </c>
      <c r="D464" s="170">
        <f>IF(ISNUMBER(SEARCH(Checksheet!$U$11,B464)),MAX($D$1:D463)+1,"")</f>
        <v>463</v>
      </c>
      <c r="E464" s="170" t="str">
        <f t="shared" si="7"/>
        <v>2805-01-4-405-S(UL)</v>
      </c>
    </row>
    <row r="465" spans="1:5">
      <c r="A465" s="174" t="s">
        <v>934</v>
      </c>
      <c r="B465" s="174" t="s">
        <v>935</v>
      </c>
      <c r="C465" s="174" t="s">
        <v>919</v>
      </c>
      <c r="D465" s="170">
        <f>IF(ISNUMBER(SEARCH(Checksheet!$U$11,B465)),MAX($D$1:D464)+1,"")</f>
        <v>464</v>
      </c>
      <c r="E465" s="170" t="str">
        <f t="shared" si="7"/>
        <v>2805-01-4-406A-S(UL)</v>
      </c>
    </row>
    <row r="466" spans="1:5">
      <c r="A466" s="174" t="s">
        <v>936</v>
      </c>
      <c r="B466" s="174" t="s">
        <v>937</v>
      </c>
      <c r="C466" s="174" t="s">
        <v>919</v>
      </c>
      <c r="D466" s="170">
        <f>IF(ISNUMBER(SEARCH(Checksheet!$U$11,B466)),MAX($D$1:D465)+1,"")</f>
        <v>465</v>
      </c>
      <c r="E466" s="170" t="str">
        <f t="shared" si="7"/>
        <v>2805-01-4-407-S(UL)</v>
      </c>
    </row>
    <row r="467" spans="1:5">
      <c r="A467" s="174" t="s">
        <v>938</v>
      </c>
      <c r="B467" s="174" t="s">
        <v>939</v>
      </c>
      <c r="C467" s="174" t="s">
        <v>919</v>
      </c>
      <c r="D467" s="170">
        <f>IF(ISNUMBER(SEARCH(Checksheet!$U$11,B467)),MAX($D$1:D466)+1,"")</f>
        <v>466</v>
      </c>
      <c r="E467" s="170" t="str">
        <f t="shared" si="7"/>
        <v>2805-01-4-408A-S(UL)</v>
      </c>
    </row>
    <row r="468" spans="1:5">
      <c r="A468" s="174" t="s">
        <v>940</v>
      </c>
      <c r="B468" s="174" t="s">
        <v>941</v>
      </c>
      <c r="C468" s="174" t="s">
        <v>919</v>
      </c>
      <c r="D468" s="170">
        <f>IF(ISNUMBER(SEARCH(Checksheet!$U$11,B468)),MAX($D$1:D467)+1,"")</f>
        <v>467</v>
      </c>
      <c r="E468" s="170" t="str">
        <f t="shared" si="7"/>
        <v>3231-01-4-413A-S(UL)</v>
      </c>
    </row>
    <row r="469" spans="1:5">
      <c r="A469" s="174" t="s">
        <v>942</v>
      </c>
      <c r="B469" s="174" t="s">
        <v>943</v>
      </c>
      <c r="C469" s="174" t="s">
        <v>919</v>
      </c>
      <c r="D469" s="170">
        <f>IF(ISNUMBER(SEARCH(Checksheet!$U$11,B469)),MAX($D$1:D468)+1,"")</f>
        <v>468</v>
      </c>
      <c r="E469" s="170" t="str">
        <f t="shared" si="7"/>
        <v>3327-01-4-403-S(UL)</v>
      </c>
    </row>
    <row r="470" spans="1:5">
      <c r="A470" s="174" t="s">
        <v>944</v>
      </c>
      <c r="B470" s="174" t="s">
        <v>945</v>
      </c>
      <c r="C470" s="174" t="s">
        <v>919</v>
      </c>
      <c r="D470" s="170">
        <f>IF(ISNUMBER(SEARCH(Checksheet!$U$11,B470)),MAX($D$1:D469)+1,"")</f>
        <v>469</v>
      </c>
      <c r="E470" s="170" t="str">
        <f t="shared" si="7"/>
        <v>3410-01-4-402-S(UL)</v>
      </c>
    </row>
    <row r="471" spans="1:5">
      <c r="A471" s="174" t="s">
        <v>946</v>
      </c>
      <c r="B471" s="174" t="s">
        <v>947</v>
      </c>
      <c r="C471" s="174" t="s">
        <v>919</v>
      </c>
      <c r="D471" s="170">
        <f>IF(ISNUMBER(SEARCH(Checksheet!$U$11,B471)),MAX($D$1:D470)+1,"")</f>
        <v>470</v>
      </c>
      <c r="E471" s="170" t="str">
        <f t="shared" si="7"/>
        <v>3613-01-4-403-S(UL)</v>
      </c>
    </row>
    <row r="472" spans="1:5">
      <c r="A472" s="174" t="s">
        <v>948</v>
      </c>
      <c r="B472" s="174" t="s">
        <v>949</v>
      </c>
      <c r="C472" s="174" t="s">
        <v>919</v>
      </c>
      <c r="D472" s="170">
        <f>IF(ISNUMBER(SEARCH(Checksheet!$U$11,B472)),MAX($D$1:D471)+1,"")</f>
        <v>471</v>
      </c>
      <c r="E472" s="170" t="str">
        <f t="shared" si="7"/>
        <v>3613-01-4-404-S(UL)</v>
      </c>
    </row>
    <row r="473" spans="1:5">
      <c r="A473" s="174" t="s">
        <v>950</v>
      </c>
      <c r="B473" s="174" t="s">
        <v>951</v>
      </c>
      <c r="C473" s="174" t="s">
        <v>919</v>
      </c>
      <c r="D473" s="170">
        <f>IF(ISNUMBER(SEARCH(Checksheet!$U$11,B473)),MAX($D$1:D472)+1,"")</f>
        <v>472</v>
      </c>
      <c r="E473" s="170" t="str">
        <f t="shared" si="7"/>
        <v>3613-01-4-405-S(UL)</v>
      </c>
    </row>
    <row r="474" spans="1:5">
      <c r="A474" s="174" t="s">
        <v>952</v>
      </c>
      <c r="B474" s="174" t="s">
        <v>953</v>
      </c>
      <c r="C474" s="174" t="s">
        <v>919</v>
      </c>
      <c r="D474" s="170">
        <f>IF(ISNUMBER(SEARCH(Checksheet!$U$11,B474)),MAX($D$1:D473)+1,"")</f>
        <v>473</v>
      </c>
      <c r="E474" s="170" t="str">
        <f t="shared" si="7"/>
        <v>3613-01-4-406-S(UL)</v>
      </c>
    </row>
    <row r="475" spans="1:5">
      <c r="A475" s="174" t="s">
        <v>954</v>
      </c>
      <c r="B475" s="174" t="s">
        <v>955</v>
      </c>
      <c r="C475" s="174" t="s">
        <v>919</v>
      </c>
      <c r="D475" s="170">
        <f>IF(ISNUMBER(SEARCH(Checksheet!$U$11,B475)),MAX($D$1:D474)+1,"")</f>
        <v>474</v>
      </c>
      <c r="E475" s="170" t="str">
        <f t="shared" si="7"/>
        <v>3613-01-4-407-S(UL)</v>
      </c>
    </row>
    <row r="476" spans="1:5">
      <c r="A476" s="174" t="s">
        <v>956</v>
      </c>
      <c r="B476" s="174" t="s">
        <v>957</v>
      </c>
      <c r="C476" s="174" t="s">
        <v>919</v>
      </c>
      <c r="D476" s="170">
        <f>IF(ISNUMBER(SEARCH(Checksheet!$U$11,B476)),MAX($D$1:D475)+1,"")</f>
        <v>475</v>
      </c>
      <c r="E476" s="170" t="str">
        <f t="shared" si="7"/>
        <v>3613-01-4-408-S(UL)</v>
      </c>
    </row>
    <row r="477" spans="1:5">
      <c r="A477" s="174" t="s">
        <v>958</v>
      </c>
      <c r="B477" s="174" t="s">
        <v>959</v>
      </c>
      <c r="C477" s="174" t="s">
        <v>919</v>
      </c>
      <c r="D477" s="170">
        <f>IF(ISNUMBER(SEARCH(Checksheet!$U$11,B477)),MAX($D$1:D476)+1,"")</f>
        <v>476</v>
      </c>
      <c r="E477" s="170" t="str">
        <f t="shared" si="7"/>
        <v>3613-01-4-409-S(UL)</v>
      </c>
    </row>
    <row r="478" spans="1:5">
      <c r="A478" s="174" t="s">
        <v>960</v>
      </c>
      <c r="B478" s="174" t="s">
        <v>961</v>
      </c>
      <c r="C478" s="174" t="s">
        <v>919</v>
      </c>
      <c r="D478" s="170">
        <f>IF(ISNUMBER(SEARCH(Checksheet!$U$11,B478)),MAX($D$1:D477)+1,"")</f>
        <v>477</v>
      </c>
      <c r="E478" s="170" t="str">
        <f t="shared" si="7"/>
        <v>3613-01-4-410-S(UL)</v>
      </c>
    </row>
    <row r="479" spans="1:5">
      <c r="A479" s="174" t="s">
        <v>962</v>
      </c>
      <c r="B479" s="174" t="s">
        <v>963</v>
      </c>
      <c r="C479" s="174" t="s">
        <v>919</v>
      </c>
      <c r="D479" s="170">
        <f>IF(ISNUMBER(SEARCH(Checksheet!$U$11,B479)),MAX($D$1:D478)+1,"")</f>
        <v>478</v>
      </c>
      <c r="E479" s="170" t="str">
        <f t="shared" si="7"/>
        <v>3613-01-4-411-S(UL)</v>
      </c>
    </row>
    <row r="480" spans="1:5">
      <c r="A480" s="174" t="s">
        <v>964</v>
      </c>
      <c r="B480" s="174" t="s">
        <v>965</v>
      </c>
      <c r="C480" s="174" t="s">
        <v>919</v>
      </c>
      <c r="D480" s="170">
        <f>IF(ISNUMBER(SEARCH(Checksheet!$U$11,B480)),MAX($D$1:D479)+1,"")</f>
        <v>479</v>
      </c>
      <c r="E480" s="170" t="str">
        <f t="shared" si="7"/>
        <v>3613-01-4-413-S(UL)</v>
      </c>
    </row>
    <row r="481" spans="1:5">
      <c r="A481" s="174" t="s">
        <v>966</v>
      </c>
      <c r="B481" s="174" t="s">
        <v>967</v>
      </c>
      <c r="C481" s="174" t="s">
        <v>919</v>
      </c>
      <c r="D481" s="170">
        <f>IF(ISNUMBER(SEARCH(Checksheet!$U$11,B481)),MAX($D$1:D480)+1,"")</f>
        <v>480</v>
      </c>
      <c r="E481" s="170" t="str">
        <f t="shared" si="7"/>
        <v>3613-01-4-414B-S(UL)</v>
      </c>
    </row>
    <row r="482" spans="1:5">
      <c r="A482" s="174" t="s">
        <v>968</v>
      </c>
      <c r="B482" s="174" t="s">
        <v>969</v>
      </c>
      <c r="C482" s="174" t="s">
        <v>919</v>
      </c>
      <c r="D482" s="170">
        <f>IF(ISNUMBER(SEARCH(Checksheet!$U$11,B482)),MAX($D$1:D481)+1,"")</f>
        <v>481</v>
      </c>
      <c r="E482" s="170" t="str">
        <f t="shared" si="7"/>
        <v>3613-01-4-420-S(UL)</v>
      </c>
    </row>
    <row r="483" spans="1:5">
      <c r="A483" s="174" t="s">
        <v>970</v>
      </c>
      <c r="B483" s="174" t="s">
        <v>971</v>
      </c>
      <c r="C483" s="174" t="s">
        <v>919</v>
      </c>
      <c r="D483" s="170">
        <f>IF(ISNUMBER(SEARCH(Checksheet!$U$11,B483)),MAX($D$1:D482)+1,"")</f>
        <v>482</v>
      </c>
      <c r="E483" s="170" t="str">
        <f t="shared" si="7"/>
        <v>3613-01-4-421A-S(UL)</v>
      </c>
    </row>
    <row r="484" spans="1:5">
      <c r="A484" s="174" t="s">
        <v>972</v>
      </c>
      <c r="B484" s="174" t="s">
        <v>973</v>
      </c>
      <c r="C484" s="174" t="s">
        <v>919</v>
      </c>
      <c r="D484" s="170">
        <f>IF(ISNUMBER(SEARCH(Checksheet!$U$11,B484)),MAX($D$1:D483)+1,"")</f>
        <v>483</v>
      </c>
      <c r="E484" s="170" t="str">
        <f t="shared" si="7"/>
        <v>3690-01-4-404-S(UL)</v>
      </c>
    </row>
    <row r="485" spans="1:5">
      <c r="A485" s="174" t="s">
        <v>974</v>
      </c>
      <c r="B485" s="174" t="s">
        <v>975</v>
      </c>
      <c r="C485" s="174" t="s">
        <v>919</v>
      </c>
      <c r="D485" s="170">
        <f>IF(ISNUMBER(SEARCH(Checksheet!$U$11,B485)),MAX($D$1:D484)+1,"")</f>
        <v>484</v>
      </c>
      <c r="E485" s="170" t="str">
        <f t="shared" si="7"/>
        <v>3690-01-4-407-S(UL)</v>
      </c>
    </row>
    <row r="486" spans="1:5">
      <c r="A486" s="174" t="s">
        <v>976</v>
      </c>
      <c r="B486" s="174" t="s">
        <v>977</v>
      </c>
      <c r="C486" s="174" t="s">
        <v>919</v>
      </c>
      <c r="D486" s="170">
        <f>IF(ISNUMBER(SEARCH(Checksheet!$U$11,B486)),MAX($D$1:D485)+1,"")</f>
        <v>485</v>
      </c>
      <c r="E486" s="170" t="str">
        <f t="shared" si="7"/>
        <v>3690-01-4-408-S(UL)</v>
      </c>
    </row>
    <row r="487" spans="1:5">
      <c r="A487" s="174" t="s">
        <v>978</v>
      </c>
      <c r="B487" s="174" t="s">
        <v>979</v>
      </c>
      <c r="C487" s="174" t="s">
        <v>919</v>
      </c>
      <c r="D487" s="170">
        <f>IF(ISNUMBER(SEARCH(Checksheet!$U$11,B487)),MAX($D$1:D486)+1,"")</f>
        <v>486</v>
      </c>
      <c r="E487" s="170" t="str">
        <f t="shared" si="7"/>
        <v>3690-01-4-409-S(UL)</v>
      </c>
    </row>
    <row r="488" spans="1:5">
      <c r="A488" s="174" t="s">
        <v>980</v>
      </c>
      <c r="B488" s="174" t="s">
        <v>981</v>
      </c>
      <c r="C488" s="174" t="s">
        <v>919</v>
      </c>
      <c r="D488" s="170">
        <f>IF(ISNUMBER(SEARCH(Checksheet!$U$11,B488)),MAX($D$1:D487)+1,"")</f>
        <v>487</v>
      </c>
      <c r="E488" s="170" t="str">
        <f t="shared" si="7"/>
        <v>3690-01-4-410-S(UL)</v>
      </c>
    </row>
    <row r="489" spans="1:5">
      <c r="A489" s="174" t="s">
        <v>982</v>
      </c>
      <c r="B489" s="174" t="s">
        <v>983</v>
      </c>
      <c r="C489" s="174" t="s">
        <v>919</v>
      </c>
      <c r="D489" s="170">
        <f>IF(ISNUMBER(SEARCH(Checksheet!$U$11,B489)),MAX($D$1:D488)+1,"")</f>
        <v>488</v>
      </c>
      <c r="E489" s="170" t="str">
        <f t="shared" si="7"/>
        <v>3690-01-4-411-S(UL)</v>
      </c>
    </row>
    <row r="490" spans="1:5">
      <c r="A490" s="174" t="s">
        <v>984</v>
      </c>
      <c r="B490" s="174" t="s">
        <v>985</v>
      </c>
      <c r="C490" s="174" t="s">
        <v>919</v>
      </c>
      <c r="D490" s="170">
        <f>IF(ISNUMBER(SEARCH(Checksheet!$U$11,B490)),MAX($D$1:D489)+1,"")</f>
        <v>489</v>
      </c>
      <c r="E490" s="170" t="str">
        <f t="shared" si="7"/>
        <v>3690-01-4-412-S(UL)</v>
      </c>
    </row>
    <row r="491" spans="1:5">
      <c r="A491" s="174" t="s">
        <v>986</v>
      </c>
      <c r="B491" s="174" t="s">
        <v>987</v>
      </c>
      <c r="C491" s="174" t="s">
        <v>919</v>
      </c>
      <c r="D491" s="170">
        <f>IF(ISNUMBER(SEARCH(Checksheet!$U$11,B491)),MAX($D$1:D490)+1,"")</f>
        <v>490</v>
      </c>
      <c r="E491" s="170" t="str">
        <f t="shared" si="7"/>
        <v>3690-01-4-414-S(UL)</v>
      </c>
    </row>
    <row r="492" spans="1:5">
      <c r="A492" s="174" t="s">
        <v>988</v>
      </c>
      <c r="B492" s="174" t="s">
        <v>989</v>
      </c>
      <c r="C492" s="174" t="s">
        <v>919</v>
      </c>
      <c r="D492" s="170">
        <f>IF(ISNUMBER(SEARCH(Checksheet!$U$11,B492)),MAX($D$1:D491)+1,"")</f>
        <v>491</v>
      </c>
      <c r="E492" s="170" t="str">
        <f t="shared" si="7"/>
        <v>3690-01-4-421-S(UL)</v>
      </c>
    </row>
    <row r="493" spans="1:5">
      <c r="A493" s="174" t="s">
        <v>990</v>
      </c>
      <c r="B493" s="174" t="s">
        <v>991</v>
      </c>
      <c r="C493" s="174" t="s">
        <v>919</v>
      </c>
      <c r="D493" s="170">
        <f>IF(ISNUMBER(SEARCH(Checksheet!$U$11,B493)),MAX($D$1:D492)+1,"")</f>
        <v>492</v>
      </c>
      <c r="E493" s="170" t="str">
        <f t="shared" si="7"/>
        <v>3690-01-4-422-S(UL)</v>
      </c>
    </row>
    <row r="494" spans="1:5">
      <c r="A494" s="174" t="s">
        <v>992</v>
      </c>
      <c r="B494" s="174" t="s">
        <v>993</v>
      </c>
      <c r="C494" s="174" t="s">
        <v>919</v>
      </c>
      <c r="D494" s="170">
        <f>IF(ISNUMBER(SEARCH(Checksheet!$U$11,B494)),MAX($D$1:D493)+1,"")</f>
        <v>493</v>
      </c>
      <c r="E494" s="170" t="str">
        <f t="shared" si="7"/>
        <v>3690-01-4-430-S(UL)</v>
      </c>
    </row>
    <row r="495" spans="1:5">
      <c r="A495" s="174" t="s">
        <v>994</v>
      </c>
      <c r="B495" s="174" t="s">
        <v>995</v>
      </c>
      <c r="C495" s="174" t="s">
        <v>919</v>
      </c>
      <c r="D495" s="170">
        <f>IF(ISNUMBER(SEARCH(Checksheet!$U$11,B495)),MAX($D$1:D494)+1,"")</f>
        <v>494</v>
      </c>
      <c r="E495" s="170" t="str">
        <f t="shared" si="7"/>
        <v>6149-01-4-402-S(UL)</v>
      </c>
    </row>
    <row r="496" spans="1:5">
      <c r="A496" s="174" t="s">
        <v>996</v>
      </c>
      <c r="B496" s="174" t="s">
        <v>997</v>
      </c>
      <c r="C496" s="174" t="s">
        <v>919</v>
      </c>
      <c r="D496" s="170">
        <f>IF(ISNUMBER(SEARCH(Checksheet!$U$11,B496)),MAX($D$1:D495)+1,"")</f>
        <v>495</v>
      </c>
      <c r="E496" s="170" t="str">
        <f t="shared" si="7"/>
        <v>6165-01-4-401A-S(UL)</v>
      </c>
    </row>
    <row r="497" spans="1:5">
      <c r="A497" s="174" t="s">
        <v>998</v>
      </c>
      <c r="B497" s="174" t="s">
        <v>999</v>
      </c>
      <c r="C497" s="174" t="s">
        <v>919</v>
      </c>
      <c r="D497" s="170">
        <f>IF(ISNUMBER(SEARCH(Checksheet!$U$11,B497)),MAX($D$1:D496)+1,"")</f>
        <v>496</v>
      </c>
      <c r="E497" s="170" t="str">
        <f t="shared" si="7"/>
        <v>6165-01-4-403A-S(UL)</v>
      </c>
    </row>
    <row r="498" spans="1:5">
      <c r="A498" s="174" t="s">
        <v>1000</v>
      </c>
      <c r="B498" s="174" t="s">
        <v>1001</v>
      </c>
      <c r="C498" s="174" t="s">
        <v>919</v>
      </c>
      <c r="D498" s="170">
        <f>IF(ISNUMBER(SEARCH(Checksheet!$U$11,B498)),MAX($D$1:D497)+1,"")</f>
        <v>497</v>
      </c>
      <c r="E498" s="170" t="str">
        <f t="shared" si="7"/>
        <v>6208-03-4-401D-S(UL)</v>
      </c>
    </row>
    <row r="499" spans="1:5">
      <c r="A499" s="174" t="s">
        <v>1002</v>
      </c>
      <c r="B499" s="174" t="s">
        <v>1003</v>
      </c>
      <c r="C499" s="174" t="s">
        <v>919</v>
      </c>
      <c r="D499" s="170">
        <f>IF(ISNUMBER(SEARCH(Checksheet!$U$11,B499)),MAX($D$1:D498)+1,"")</f>
        <v>498</v>
      </c>
      <c r="E499" s="170" t="str">
        <f t="shared" si="7"/>
        <v>3696-01-4-405-S(UL)</v>
      </c>
    </row>
    <row r="500" spans="1:5">
      <c r="A500" s="174" t="s">
        <v>1004</v>
      </c>
      <c r="B500" s="174" t="s">
        <v>1005</v>
      </c>
      <c r="C500" s="174" t="s">
        <v>919</v>
      </c>
      <c r="D500" s="170">
        <f>IF(ISNUMBER(SEARCH(Checksheet!$U$11,B500)),MAX($D$1:D499)+1,"")</f>
        <v>499</v>
      </c>
      <c r="E500" s="170" t="str">
        <f t="shared" si="7"/>
        <v>3696-01-4-406-S(UL)</v>
      </c>
    </row>
    <row r="501" spans="1:5">
      <c r="A501" s="174" t="s">
        <v>1006</v>
      </c>
      <c r="B501" s="174" t="s">
        <v>1007</v>
      </c>
      <c r="C501" s="174" t="s">
        <v>919</v>
      </c>
      <c r="D501" s="170">
        <f>IF(ISNUMBER(SEARCH(Checksheet!$U$11,B501)),MAX($D$1:D500)+1,"")</f>
        <v>500</v>
      </c>
      <c r="E501" s="170" t="str">
        <f t="shared" si="7"/>
        <v>3696-01-4-407-S(UL)</v>
      </c>
    </row>
    <row r="502" spans="1:5">
      <c r="A502" s="174" t="s">
        <v>1008</v>
      </c>
      <c r="B502" s="174" t="s">
        <v>1009</v>
      </c>
      <c r="C502" s="174" t="s">
        <v>919</v>
      </c>
      <c r="D502" s="170">
        <f>IF(ISNUMBER(SEARCH(Checksheet!$U$11,B502)),MAX($D$1:D501)+1,"")</f>
        <v>501</v>
      </c>
      <c r="E502" s="170" t="str">
        <f t="shared" si="7"/>
        <v>3696-01-4-411-S(UL)</v>
      </c>
    </row>
    <row r="503" spans="1:5">
      <c r="A503" s="174" t="s">
        <v>1010</v>
      </c>
      <c r="B503" s="174" t="s">
        <v>1011</v>
      </c>
      <c r="C503" s="174" t="s">
        <v>919</v>
      </c>
      <c r="D503" s="170">
        <f>IF(ISNUMBER(SEARCH(Checksheet!$U$11,B503)),MAX($D$1:D502)+1,"")</f>
        <v>502</v>
      </c>
      <c r="E503" s="170" t="str">
        <f t="shared" si="7"/>
        <v>3726-01-4-441-S(UL)</v>
      </c>
    </row>
    <row r="504" spans="1:5">
      <c r="A504" s="174" t="s">
        <v>1012</v>
      </c>
      <c r="B504" s="174" t="s">
        <v>1013</v>
      </c>
      <c r="C504" s="174" t="s">
        <v>919</v>
      </c>
      <c r="D504" s="170">
        <f>IF(ISNUMBER(SEARCH(Checksheet!$U$11,B504)),MAX($D$1:D503)+1,"")</f>
        <v>503</v>
      </c>
      <c r="E504" s="170" t="str">
        <f t="shared" si="7"/>
        <v>3726-01-4-442-S(UL)</v>
      </c>
    </row>
    <row r="505" spans="1:5">
      <c r="A505" s="174" t="s">
        <v>1014</v>
      </c>
      <c r="B505" s="174" t="s">
        <v>1015</v>
      </c>
      <c r="C505" s="174" t="s">
        <v>919</v>
      </c>
      <c r="D505" s="170">
        <f>IF(ISNUMBER(SEARCH(Checksheet!$U$11,B505)),MAX($D$1:D504)+1,"")</f>
        <v>504</v>
      </c>
      <c r="E505" s="170" t="str">
        <f t="shared" si="7"/>
        <v>2961-03-4-427A-S(UL)</v>
      </c>
    </row>
    <row r="506" spans="1:5">
      <c r="A506" s="174" t="s">
        <v>1016</v>
      </c>
      <c r="B506" s="174" t="s">
        <v>1017</v>
      </c>
      <c r="C506" s="174" t="s">
        <v>919</v>
      </c>
      <c r="D506" s="170">
        <f>IF(ISNUMBER(SEARCH(Checksheet!$U$11,B506)),MAX($D$1:D505)+1,"")</f>
        <v>505</v>
      </c>
      <c r="E506" s="170" t="str">
        <f t="shared" si="7"/>
        <v>2961-03-4-427A-S ｼｻｸ</v>
      </c>
    </row>
    <row r="507" spans="1:5">
      <c r="A507" s="174" t="s">
        <v>1018</v>
      </c>
      <c r="B507" s="174" t="s">
        <v>1019</v>
      </c>
      <c r="C507" s="174" t="s">
        <v>919</v>
      </c>
      <c r="D507" s="170">
        <f>IF(ISNUMBER(SEARCH(Checksheet!$U$11,B507)),MAX($D$1:D506)+1,"")</f>
        <v>506</v>
      </c>
      <c r="E507" s="170" t="str">
        <f t="shared" si="7"/>
        <v>2961-03-4-428B-S(UL)</v>
      </c>
    </row>
    <row r="508" spans="1:5">
      <c r="A508" s="174" t="s">
        <v>1020</v>
      </c>
      <c r="B508" s="174" t="s">
        <v>1021</v>
      </c>
      <c r="C508" s="174" t="s">
        <v>919</v>
      </c>
      <c r="D508" s="170">
        <f>IF(ISNUMBER(SEARCH(Checksheet!$U$11,B508)),MAX($D$1:D507)+1,"")</f>
        <v>507</v>
      </c>
      <c r="E508" s="170" t="str">
        <f t="shared" si="7"/>
        <v>3726-01-4-443-S(UL)</v>
      </c>
    </row>
    <row r="509" spans="1:5">
      <c r="A509" s="174" t="s">
        <v>1022</v>
      </c>
      <c r="B509" s="174" t="s">
        <v>1023</v>
      </c>
      <c r="C509" s="174" t="s">
        <v>919</v>
      </c>
      <c r="D509" s="170">
        <f>IF(ISNUMBER(SEARCH(Checksheet!$U$11,B509)),MAX($D$1:D508)+1,"")</f>
        <v>508</v>
      </c>
      <c r="E509" s="170" t="str">
        <f t="shared" si="7"/>
        <v>3707-01-4-401-S ｼｻｸ</v>
      </c>
    </row>
    <row r="510" spans="1:5">
      <c r="A510" s="174" t="s">
        <v>1024</v>
      </c>
      <c r="B510" s="174" t="s">
        <v>1025</v>
      </c>
      <c r="C510" s="174" t="s">
        <v>919</v>
      </c>
      <c r="D510" s="170">
        <f>IF(ISNUMBER(SEARCH(Checksheet!$U$11,B510)),MAX($D$1:D509)+1,"")</f>
        <v>509</v>
      </c>
      <c r="E510" s="170" t="str">
        <f t="shared" si="7"/>
        <v>3724-01-4-405B-S(UL)</v>
      </c>
    </row>
    <row r="511" spans="1:5">
      <c r="A511" s="174" t="s">
        <v>1026</v>
      </c>
      <c r="B511" s="174" t="s">
        <v>1027</v>
      </c>
      <c r="C511" s="174" t="s">
        <v>919</v>
      </c>
      <c r="D511" s="170">
        <f>IF(ISNUMBER(SEARCH(Checksheet!$U$11,B511)),MAX($D$1:D510)+1,"")</f>
        <v>510</v>
      </c>
      <c r="E511" s="170" t="str">
        <f t="shared" si="7"/>
        <v>3613-01-4-401A-S(UL)</v>
      </c>
    </row>
    <row r="512" spans="1:5">
      <c r="A512" s="174" t="s">
        <v>1028</v>
      </c>
      <c r="B512" s="174" t="s">
        <v>1029</v>
      </c>
      <c r="C512" s="174" t="s">
        <v>919</v>
      </c>
      <c r="D512" s="170">
        <f>IF(ISNUMBER(SEARCH(Checksheet!$U$11,B512)),MAX($D$1:D511)+1,"")</f>
        <v>511</v>
      </c>
      <c r="E512" s="170" t="str">
        <f t="shared" si="7"/>
        <v>3707-01-4-401-S(UL)</v>
      </c>
    </row>
    <row r="513" spans="1:5">
      <c r="A513" s="174" t="s">
        <v>1030</v>
      </c>
      <c r="B513" s="174" t="s">
        <v>1031</v>
      </c>
      <c r="C513" s="174" t="s">
        <v>919</v>
      </c>
      <c r="D513" s="170">
        <f>IF(ISNUMBER(SEARCH(Checksheet!$U$11,B513)),MAX($D$1:D512)+1,"")</f>
        <v>512</v>
      </c>
      <c r="E513" s="170" t="str">
        <f t="shared" si="7"/>
        <v>3690-02-4-414-S(UL)</v>
      </c>
    </row>
    <row r="514" spans="1:5">
      <c r="A514" s="174" t="s">
        <v>1032</v>
      </c>
      <c r="B514" s="174" t="s">
        <v>1033</v>
      </c>
      <c r="C514" s="174" t="s">
        <v>919</v>
      </c>
      <c r="D514" s="170">
        <f>IF(ISNUMBER(SEARCH(Checksheet!$U$11,B514)),MAX($D$1:D513)+1,"")</f>
        <v>513</v>
      </c>
      <c r="E514" s="170" t="str">
        <f t="shared" si="7"/>
        <v>3724-01-4-405B-S ｼｻｸ</v>
      </c>
    </row>
    <row r="515" spans="1:5">
      <c r="A515" s="174" t="s">
        <v>1034</v>
      </c>
      <c r="B515" s="174" t="s">
        <v>1035</v>
      </c>
      <c r="C515" s="174" t="s">
        <v>919</v>
      </c>
      <c r="D515" s="170">
        <f>IF(ISNUMBER(SEARCH(Checksheet!$U$11,B515)),MAX($D$1:D514)+1,"")</f>
        <v>514</v>
      </c>
      <c r="E515" s="170" t="str">
        <f t="shared" ref="E515:E578" si="8">IFERROR(INDEX($B:$B,MATCH(ROW()-1,$D:$D,0),1),"")</f>
        <v>3724-01-4-407B-S ｼｻｸ</v>
      </c>
    </row>
    <row r="516" spans="1:5">
      <c r="A516" s="174" t="s">
        <v>1036</v>
      </c>
      <c r="B516" s="174" t="s">
        <v>1037</v>
      </c>
      <c r="C516" s="174" t="s">
        <v>919</v>
      </c>
      <c r="D516" s="170">
        <f>IF(ISNUMBER(SEARCH(Checksheet!$U$11,B516)),MAX($D$1:D515)+1,"")</f>
        <v>515</v>
      </c>
      <c r="E516" s="170" t="str">
        <f t="shared" si="8"/>
        <v>2961-03-4-428B-S ｼｻｸ</v>
      </c>
    </row>
    <row r="517" spans="1:5">
      <c r="A517" s="174" t="s">
        <v>1038</v>
      </c>
      <c r="B517" s="174" t="s">
        <v>1039</v>
      </c>
      <c r="C517" s="174" t="s">
        <v>919</v>
      </c>
      <c r="D517" s="170">
        <f>IF(ISNUMBER(SEARCH(Checksheet!$U$11,B517)),MAX($D$1:D516)+1,"")</f>
        <v>516</v>
      </c>
      <c r="E517" s="170" t="str">
        <f t="shared" si="8"/>
        <v>3707-01-4-402-S(UL)</v>
      </c>
    </row>
    <row r="518" spans="1:5">
      <c r="A518" s="174" t="s">
        <v>1040</v>
      </c>
      <c r="B518" s="174" t="s">
        <v>1041</v>
      </c>
      <c r="C518" s="174" t="s">
        <v>919</v>
      </c>
      <c r="D518" s="170">
        <f>IF(ISNUMBER(SEARCH(Checksheet!$U$11,B518)),MAX($D$1:D517)+1,"")</f>
        <v>517</v>
      </c>
      <c r="E518" s="170" t="str">
        <f t="shared" si="8"/>
        <v>3726-01-4-443-S ｼｻｸ</v>
      </c>
    </row>
    <row r="519" spans="1:5">
      <c r="A519" s="174" t="s">
        <v>1042</v>
      </c>
      <c r="B519" s="174" t="s">
        <v>1043</v>
      </c>
      <c r="C519" s="174" t="s">
        <v>919</v>
      </c>
      <c r="D519" s="170">
        <f>IF(ISNUMBER(SEARCH(Checksheet!$U$11,B519)),MAX($D$1:D518)+1,"")</f>
        <v>518</v>
      </c>
      <c r="E519" s="170" t="str">
        <f t="shared" si="8"/>
        <v>3707-01-4-402ﾋﾀﾁ-S ｼｻｸ</v>
      </c>
    </row>
    <row r="520" spans="1:5">
      <c r="A520" s="174" t="s">
        <v>1044</v>
      </c>
      <c r="B520" s="174" t="s">
        <v>1045</v>
      </c>
      <c r="C520" s="174" t="s">
        <v>919</v>
      </c>
      <c r="D520" s="170">
        <f>IF(ISNUMBER(SEARCH(Checksheet!$U$11,B520)),MAX($D$1:D519)+1,"")</f>
        <v>519</v>
      </c>
      <c r="E520" s="170" t="str">
        <f t="shared" si="8"/>
        <v>6239-01-4-402-S(UL)</v>
      </c>
    </row>
    <row r="521" spans="1:5">
      <c r="A521" s="174" t="s">
        <v>1046</v>
      </c>
      <c r="B521" s="174" t="s">
        <v>1047</v>
      </c>
      <c r="C521" s="174" t="s">
        <v>919</v>
      </c>
      <c r="D521" s="170">
        <f>IF(ISNUMBER(SEARCH(Checksheet!$U$11,B521)),MAX($D$1:D520)+1,"")</f>
        <v>520</v>
      </c>
      <c r="E521" s="170" t="str">
        <f t="shared" si="8"/>
        <v>3724-01-4-407B-S(UL)</v>
      </c>
    </row>
    <row r="522" spans="1:5">
      <c r="A522" s="174" t="s">
        <v>1048</v>
      </c>
      <c r="B522" s="174" t="s">
        <v>1049</v>
      </c>
      <c r="C522" s="174" t="s">
        <v>919</v>
      </c>
      <c r="D522" s="170">
        <f>IF(ISNUMBER(SEARCH(Checksheet!$U$11,B522)),MAX($D$1:D521)+1,"")</f>
        <v>521</v>
      </c>
      <c r="E522" s="170" t="str">
        <f t="shared" si="8"/>
        <v>3724-01-4-401-S ｼｻｸ</v>
      </c>
    </row>
    <row r="523" spans="1:5">
      <c r="A523" s="174" t="s">
        <v>1050</v>
      </c>
      <c r="B523" s="174" t="s">
        <v>1051</v>
      </c>
      <c r="C523" s="174" t="s">
        <v>919</v>
      </c>
      <c r="D523" s="170">
        <f>IF(ISNUMBER(SEARCH(Checksheet!$U$11,B523)),MAX($D$1:D522)+1,"")</f>
        <v>522</v>
      </c>
      <c r="E523" s="170" t="str">
        <f t="shared" si="8"/>
        <v>3707-01-4-403-S(UL)</v>
      </c>
    </row>
    <row r="524" spans="1:5">
      <c r="A524" s="174" t="s">
        <v>1052</v>
      </c>
      <c r="B524" s="174" t="s">
        <v>1053</v>
      </c>
      <c r="C524" s="174" t="s">
        <v>919</v>
      </c>
      <c r="D524" s="170">
        <f>IF(ISNUMBER(SEARCH(Checksheet!$U$11,B524)),MAX($D$1:D523)+1,"")</f>
        <v>523</v>
      </c>
      <c r="E524" s="170" t="str">
        <f t="shared" si="8"/>
        <v>3707-01-4-404-S(UL)</v>
      </c>
    </row>
    <row r="525" spans="1:5">
      <c r="A525" s="174" t="s">
        <v>1054</v>
      </c>
      <c r="B525" s="174" t="s">
        <v>1055</v>
      </c>
      <c r="C525" s="174" t="s">
        <v>919</v>
      </c>
      <c r="D525" s="170">
        <f>IF(ISNUMBER(SEARCH(Checksheet!$U$11,B525)),MAX($D$1:D524)+1,"")</f>
        <v>524</v>
      </c>
      <c r="E525" s="170" t="str">
        <f t="shared" si="8"/>
        <v>6239-01-4-404-S(UL)</v>
      </c>
    </row>
    <row r="526" spans="1:5">
      <c r="A526" s="174" t="s">
        <v>1056</v>
      </c>
      <c r="B526" s="174" t="s">
        <v>1057</v>
      </c>
      <c r="C526" s="174" t="s">
        <v>919</v>
      </c>
      <c r="D526" s="170">
        <f>IF(ISNUMBER(SEARCH(Checksheet!$U$11,B526)),MAX($D$1:D525)+1,"")</f>
        <v>525</v>
      </c>
      <c r="E526" s="170" t="str">
        <f t="shared" si="8"/>
        <v>3690-01-4-405-S(UL)</v>
      </c>
    </row>
    <row r="527" spans="1:5">
      <c r="A527" s="174" t="s">
        <v>1058</v>
      </c>
      <c r="B527" s="174" t="s">
        <v>1059</v>
      </c>
      <c r="C527" s="174" t="s">
        <v>919</v>
      </c>
      <c r="D527" s="170">
        <f>IF(ISNUMBER(SEARCH(Checksheet!$U$11,B527)),MAX($D$1:D526)+1,"")</f>
        <v>526</v>
      </c>
      <c r="E527" s="170" t="str">
        <f t="shared" si="8"/>
        <v>3724-01-4-409B-S(UL)</v>
      </c>
    </row>
    <row r="528" spans="1:5">
      <c r="A528" s="174" t="s">
        <v>1060</v>
      </c>
      <c r="B528" s="174" t="s">
        <v>1061</v>
      </c>
      <c r="C528" s="174" t="s">
        <v>919</v>
      </c>
      <c r="D528" s="170">
        <f>IF(ISNUMBER(SEARCH(Checksheet!$U$11,B528)),MAX($D$1:D527)+1,"")</f>
        <v>527</v>
      </c>
      <c r="E528" s="170" t="str">
        <f t="shared" si="8"/>
        <v>3724-01-4-409B-S ｼｻｸ</v>
      </c>
    </row>
    <row r="529" spans="1:5">
      <c r="A529" s="174" t="s">
        <v>1062</v>
      </c>
      <c r="B529" s="174" t="s">
        <v>1063</v>
      </c>
      <c r="C529" s="174" t="s">
        <v>919</v>
      </c>
      <c r="D529" s="170">
        <f>IF(ISNUMBER(SEARCH(Checksheet!$U$11,B529)),MAX($D$1:D528)+1,"")</f>
        <v>528</v>
      </c>
      <c r="E529" s="170" t="str">
        <f t="shared" si="8"/>
        <v>3724-01-4-403-S ｼｻｸ</v>
      </c>
    </row>
    <row r="530" spans="1:5">
      <c r="A530" s="174" t="s">
        <v>1064</v>
      </c>
      <c r="B530" s="174" t="s">
        <v>1065</v>
      </c>
      <c r="C530" s="174" t="s">
        <v>919</v>
      </c>
      <c r="D530" s="170">
        <f>IF(ISNUMBER(SEARCH(Checksheet!$U$11,B530)),MAX($D$1:D529)+1,"")</f>
        <v>529</v>
      </c>
      <c r="E530" s="170" t="str">
        <f t="shared" si="8"/>
        <v>6239-01-4-402A-S(UL)</v>
      </c>
    </row>
    <row r="531" spans="1:5">
      <c r="A531" s="174" t="s">
        <v>1066</v>
      </c>
      <c r="B531" s="174" t="s">
        <v>1067</v>
      </c>
      <c r="C531" s="174" t="s">
        <v>919</v>
      </c>
      <c r="D531" s="170">
        <f>IF(ISNUMBER(SEARCH(Checksheet!$U$11,B531)),MAX($D$1:D530)+1,"")</f>
        <v>530</v>
      </c>
      <c r="E531" s="170" t="str">
        <f t="shared" si="8"/>
        <v>3707-01-4-405-S(UL)</v>
      </c>
    </row>
    <row r="532" spans="1:5">
      <c r="A532" s="174" t="s">
        <v>1068</v>
      </c>
      <c r="B532" s="174" t="s">
        <v>1069</v>
      </c>
      <c r="C532" s="174" t="s">
        <v>919</v>
      </c>
      <c r="D532" s="170">
        <f>IF(ISNUMBER(SEARCH(Checksheet!$U$11,B532)),MAX($D$1:D531)+1,"")</f>
        <v>531</v>
      </c>
      <c r="E532" s="170" t="str">
        <f t="shared" si="8"/>
        <v>6239-01-4-401-S(UL)</v>
      </c>
    </row>
    <row r="533" spans="1:5">
      <c r="A533" s="174" t="s">
        <v>1070</v>
      </c>
      <c r="B533" s="174" t="s">
        <v>1071</v>
      </c>
      <c r="C533" s="174" t="s">
        <v>919</v>
      </c>
      <c r="D533" s="170">
        <f>IF(ISNUMBER(SEARCH(Checksheet!$U$11,B533)),MAX($D$1:D532)+1,"")</f>
        <v>532</v>
      </c>
      <c r="E533" s="170" t="str">
        <f t="shared" si="8"/>
        <v>6239-01-4-401A-S(UL)</v>
      </c>
    </row>
    <row r="534" spans="1:5">
      <c r="A534" s="174" t="s">
        <v>1072</v>
      </c>
      <c r="B534" s="174" t="s">
        <v>1073</v>
      </c>
      <c r="C534" s="174" t="s">
        <v>919</v>
      </c>
      <c r="D534" s="170">
        <f>IF(ISNUMBER(SEARCH(Checksheet!$U$11,B534)),MAX($D$1:D533)+1,"")</f>
        <v>533</v>
      </c>
      <c r="E534" s="170" t="str">
        <f t="shared" si="8"/>
        <v>6239-01-4-403-S(UL)</v>
      </c>
    </row>
    <row r="535" spans="1:5">
      <c r="A535" s="174" t="s">
        <v>1074</v>
      </c>
      <c r="B535" s="174" t="s">
        <v>1075</v>
      </c>
      <c r="C535" s="174" t="s">
        <v>919</v>
      </c>
      <c r="D535" s="170">
        <f>IF(ISNUMBER(SEARCH(Checksheet!$U$11,B535)),MAX($D$1:D534)+1,"")</f>
        <v>534</v>
      </c>
      <c r="E535" s="170" t="str">
        <f t="shared" si="8"/>
        <v>3426-01-4-401-Sｼｻｸ</v>
      </c>
    </row>
    <row r="536" spans="1:5">
      <c r="A536" s="174" t="s">
        <v>1076</v>
      </c>
      <c r="B536" s="174" t="s">
        <v>1077</v>
      </c>
      <c r="C536" s="174" t="s">
        <v>919</v>
      </c>
      <c r="D536" s="170">
        <f>IF(ISNUMBER(SEARCH(Checksheet!$U$11,B536)),MAX($D$1:D535)+1,"")</f>
        <v>535</v>
      </c>
      <c r="E536" s="170" t="str">
        <f t="shared" si="8"/>
        <v>3426-01-4-402-Sｼｻｸ</v>
      </c>
    </row>
    <row r="537" spans="1:5">
      <c r="A537" s="174" t="s">
        <v>1078</v>
      </c>
      <c r="B537" s="174" t="s">
        <v>1079</v>
      </c>
      <c r="C537" s="174" t="s">
        <v>919</v>
      </c>
      <c r="D537" s="170">
        <f>IF(ISNUMBER(SEARCH(Checksheet!$U$11,B537)),MAX($D$1:D536)+1,"")</f>
        <v>536</v>
      </c>
      <c r="E537" s="170" t="str">
        <f t="shared" si="8"/>
        <v>3426-01-4-403-Sｼｻｸ</v>
      </c>
    </row>
    <row r="538" spans="1:5">
      <c r="A538" s="174" t="s">
        <v>1080</v>
      </c>
      <c r="B538" s="174" t="s">
        <v>1081</v>
      </c>
      <c r="C538" s="174" t="s">
        <v>919</v>
      </c>
      <c r="D538" s="170">
        <f>IF(ISNUMBER(SEARCH(Checksheet!$U$11,B538)),MAX($D$1:D537)+1,"")</f>
        <v>537</v>
      </c>
      <c r="E538" s="170" t="str">
        <f t="shared" si="8"/>
        <v>3426-01-4-412-Sｼｻｸ</v>
      </c>
    </row>
    <row r="539" spans="1:5">
      <c r="A539" s="174" t="s">
        <v>1082</v>
      </c>
      <c r="B539" s="174" t="s">
        <v>1083</v>
      </c>
      <c r="C539" s="174" t="s">
        <v>919</v>
      </c>
      <c r="D539" s="170">
        <f>IF(ISNUMBER(SEARCH(Checksheet!$U$11,B539)),MAX($D$1:D538)+1,"")</f>
        <v>538</v>
      </c>
      <c r="E539" s="170" t="str">
        <f t="shared" si="8"/>
        <v>6239-02-4-401(UL)</v>
      </c>
    </row>
    <row r="540" spans="1:5">
      <c r="A540" s="174" t="s">
        <v>1084</v>
      </c>
      <c r="B540" s="174" t="s">
        <v>1085</v>
      </c>
      <c r="C540" s="174" t="s">
        <v>919</v>
      </c>
      <c r="D540" s="170">
        <f>IF(ISNUMBER(SEARCH(Checksheet!$U$11,B540)),MAX($D$1:D539)+1,"")</f>
        <v>539</v>
      </c>
      <c r="E540" s="170" t="str">
        <f t="shared" si="8"/>
        <v>3753-01-4-401-Sｼｻｸ</v>
      </c>
    </row>
    <row r="541" spans="1:5">
      <c r="A541" s="174" t="s">
        <v>1086</v>
      </c>
      <c r="B541" s="174" t="s">
        <v>1087</v>
      </c>
      <c r="C541" s="174" t="s">
        <v>919</v>
      </c>
      <c r="D541" s="170">
        <f>IF(ISNUMBER(SEARCH(Checksheet!$U$11,B541)),MAX($D$1:D540)+1,"")</f>
        <v>540</v>
      </c>
      <c r="E541" s="170" t="str">
        <f t="shared" si="8"/>
        <v>3753-01-4-403-Sｼｻｸ</v>
      </c>
    </row>
    <row r="542" spans="1:5">
      <c r="A542" s="174" t="s">
        <v>1088</v>
      </c>
      <c r="B542" s="174" t="s">
        <v>1089</v>
      </c>
      <c r="C542" s="174" t="s">
        <v>919</v>
      </c>
      <c r="D542" s="170">
        <f>IF(ISNUMBER(SEARCH(Checksheet!$U$11,B542)),MAX($D$1:D541)+1,"")</f>
        <v>541</v>
      </c>
      <c r="E542" s="170" t="str">
        <f t="shared" si="8"/>
        <v>3753-01-4-409-Sｼｻｸ</v>
      </c>
    </row>
    <row r="543" spans="1:5">
      <c r="A543" s="174" t="s">
        <v>1090</v>
      </c>
      <c r="B543" s="174" t="s">
        <v>1091</v>
      </c>
      <c r="C543" s="174" t="s">
        <v>919</v>
      </c>
      <c r="D543" s="170">
        <f>IF(ISNUMBER(SEARCH(Checksheet!$U$11,B543)),MAX($D$1:D542)+1,"")</f>
        <v>542</v>
      </c>
      <c r="E543" s="170" t="str">
        <f t="shared" si="8"/>
        <v>3753-01-4-410-Sｼｻｸ</v>
      </c>
    </row>
    <row r="544" spans="1:5">
      <c r="A544" s="174" t="s">
        <v>1092</v>
      </c>
      <c r="B544" s="174" t="s">
        <v>1093</v>
      </c>
      <c r="C544" s="174" t="s">
        <v>919</v>
      </c>
      <c r="D544" s="170">
        <f>IF(ISNUMBER(SEARCH(Checksheet!$U$11,B544)),MAX($D$1:D543)+1,"")</f>
        <v>543</v>
      </c>
      <c r="E544" s="170" t="str">
        <f t="shared" si="8"/>
        <v>3753-01-4-411A-Sｼｻｸ</v>
      </c>
    </row>
    <row r="545" spans="1:5">
      <c r="A545" s="174" t="s">
        <v>1094</v>
      </c>
      <c r="B545" s="174" t="s">
        <v>1095</v>
      </c>
      <c r="C545" s="174" t="s">
        <v>919</v>
      </c>
      <c r="D545" s="170">
        <f>IF(ISNUMBER(SEARCH(Checksheet!$U$11,B545)),MAX($D$1:D544)+1,"")</f>
        <v>544</v>
      </c>
      <c r="E545" s="170" t="str">
        <f t="shared" si="8"/>
        <v>3426-01-4-404-Sｼｻｸ</v>
      </c>
    </row>
    <row r="546" spans="1:5">
      <c r="A546" s="174" t="s">
        <v>1096</v>
      </c>
      <c r="B546" s="174" t="s">
        <v>1097</v>
      </c>
      <c r="C546" s="174" t="s">
        <v>919</v>
      </c>
      <c r="D546" s="170">
        <f>IF(ISNUMBER(SEARCH(Checksheet!$U$11,B546)),MAX($D$1:D545)+1,"")</f>
        <v>545</v>
      </c>
      <c r="E546" s="170" t="str">
        <f t="shared" si="8"/>
        <v>3426-01-4-405-Sｼｻｸ</v>
      </c>
    </row>
    <row r="547" spans="1:5">
      <c r="A547" s="174" t="s">
        <v>1098</v>
      </c>
      <c r="B547" s="174" t="s">
        <v>1099</v>
      </c>
      <c r="C547" s="174" t="s">
        <v>919</v>
      </c>
      <c r="D547" s="170">
        <f>IF(ISNUMBER(SEARCH(Checksheet!$U$11,B547)),MAX($D$1:D546)+1,"")</f>
        <v>546</v>
      </c>
      <c r="E547" s="170" t="str">
        <f t="shared" si="8"/>
        <v>3426-01-4-406-Sｼｻｸ</v>
      </c>
    </row>
    <row r="548" spans="1:5">
      <c r="A548" s="174" t="s">
        <v>1100</v>
      </c>
      <c r="B548" s="174" t="s">
        <v>1101</v>
      </c>
      <c r="C548" s="174" t="s">
        <v>919</v>
      </c>
      <c r="D548" s="170">
        <f>IF(ISNUMBER(SEARCH(Checksheet!$U$11,B548)),MAX($D$1:D547)+1,"")</f>
        <v>547</v>
      </c>
      <c r="E548" s="170" t="str">
        <f t="shared" si="8"/>
        <v>3426-01-4-407-Sｼｻｸ</v>
      </c>
    </row>
    <row r="549" spans="1:5">
      <c r="A549" s="174" t="s">
        <v>1102</v>
      </c>
      <c r="B549" s="174" t="s">
        <v>1103</v>
      </c>
      <c r="C549" s="174" t="s">
        <v>919</v>
      </c>
      <c r="D549" s="170">
        <f>IF(ISNUMBER(SEARCH(Checksheet!$U$11,B549)),MAX($D$1:D548)+1,"")</f>
        <v>548</v>
      </c>
      <c r="E549" s="170" t="str">
        <f t="shared" si="8"/>
        <v>3426-01-4-409-Sｼｻｸ</v>
      </c>
    </row>
    <row r="550" spans="1:5">
      <c r="A550" s="174" t="s">
        <v>1104</v>
      </c>
      <c r="B550" s="174" t="s">
        <v>1105</v>
      </c>
      <c r="C550" s="174" t="s">
        <v>919</v>
      </c>
      <c r="D550" s="170">
        <f>IF(ISNUMBER(SEARCH(Checksheet!$U$11,B550)),MAX($D$1:D549)+1,"")</f>
        <v>549</v>
      </c>
      <c r="E550" s="170" t="str">
        <f t="shared" si="8"/>
        <v>3753-01-4-402-Sｼｻｸ</v>
      </c>
    </row>
    <row r="551" spans="1:5">
      <c r="A551" s="174" t="s">
        <v>1106</v>
      </c>
      <c r="B551" s="174" t="s">
        <v>1107</v>
      </c>
      <c r="C551" s="174" t="s">
        <v>919</v>
      </c>
      <c r="D551" s="170">
        <f>IF(ISNUMBER(SEARCH(Checksheet!$U$11,B551)),MAX($D$1:D550)+1,"")</f>
        <v>550</v>
      </c>
      <c r="E551" s="170" t="str">
        <f t="shared" si="8"/>
        <v>3753-01-4-412-Sｼｻｸ</v>
      </c>
    </row>
    <row r="552" spans="1:5">
      <c r="A552" s="174" t="s">
        <v>1108</v>
      </c>
      <c r="B552" s="174" t="s">
        <v>1109</v>
      </c>
      <c r="C552" s="174" t="s">
        <v>919</v>
      </c>
      <c r="D552" s="170">
        <f>IF(ISNUMBER(SEARCH(Checksheet!$U$11,B552)),MAX($D$1:D551)+1,"")</f>
        <v>551</v>
      </c>
      <c r="E552" s="170" t="str">
        <f t="shared" si="8"/>
        <v>3613-01-4-402ｼｻｸ</v>
      </c>
    </row>
    <row r="553" spans="1:5">
      <c r="A553" s="174" t="s">
        <v>1110</v>
      </c>
      <c r="B553" s="174" t="s">
        <v>1111</v>
      </c>
      <c r="C553" s="174" t="s">
        <v>919</v>
      </c>
      <c r="D553" s="170">
        <f>IF(ISNUMBER(SEARCH(Checksheet!$U$11,B553)),MAX($D$1:D552)+1,"")</f>
        <v>552</v>
      </c>
      <c r="E553" s="170" t="str">
        <f t="shared" si="8"/>
        <v>3724-01-4-401-S(UL)</v>
      </c>
    </row>
    <row r="554" spans="1:5">
      <c r="A554" s="174" t="s">
        <v>1112</v>
      </c>
      <c r="B554" s="174" t="s">
        <v>1113</v>
      </c>
      <c r="C554" s="174" t="s">
        <v>919</v>
      </c>
      <c r="D554" s="170">
        <f>IF(ISNUMBER(SEARCH(Checksheet!$U$11,B554)),MAX($D$1:D553)+1,"")</f>
        <v>553</v>
      </c>
      <c r="E554" s="170" t="str">
        <f t="shared" si="8"/>
        <v>3724-01-4-403-S(UL)</v>
      </c>
    </row>
    <row r="555" spans="1:5">
      <c r="A555" s="174" t="s">
        <v>1114</v>
      </c>
      <c r="B555" s="174" t="s">
        <v>1115</v>
      </c>
      <c r="C555" s="174" t="s">
        <v>919</v>
      </c>
      <c r="D555" s="170">
        <f>IF(ISNUMBER(SEARCH(Checksheet!$U$11,B555)),MAX($D$1:D554)+1,"")</f>
        <v>554</v>
      </c>
      <c r="E555" s="170" t="str">
        <f t="shared" si="8"/>
        <v>3724-01-4-411-S(UL)</v>
      </c>
    </row>
    <row r="556" spans="1:5">
      <c r="A556" s="174" t="s">
        <v>1116</v>
      </c>
      <c r="B556" s="174" t="s">
        <v>1117</v>
      </c>
      <c r="C556" s="174" t="s">
        <v>919</v>
      </c>
      <c r="D556" s="170">
        <f>IF(ISNUMBER(SEARCH(Checksheet!$U$11,B556)),MAX($D$1:D555)+1,"")</f>
        <v>555</v>
      </c>
      <c r="E556" s="170" t="str">
        <f t="shared" si="8"/>
        <v>3724-01-4-411-S ｼｻｸ</v>
      </c>
    </row>
    <row r="557" spans="1:5">
      <c r="A557" s="174" t="s">
        <v>1118</v>
      </c>
      <c r="B557" s="174" t="s">
        <v>1119</v>
      </c>
      <c r="C557" s="174" t="s">
        <v>919</v>
      </c>
      <c r="D557" s="170">
        <f>IF(ISNUMBER(SEARCH(Checksheet!$U$11,B557)),MAX($D$1:D556)+1,"")</f>
        <v>556</v>
      </c>
      <c r="E557" s="170" t="str">
        <f t="shared" si="8"/>
        <v>2779-01-4-404E-S(UL)</v>
      </c>
    </row>
    <row r="558" spans="1:5">
      <c r="A558" s="174" t="s">
        <v>1120</v>
      </c>
      <c r="B558" s="174" t="s">
        <v>1121</v>
      </c>
      <c r="C558" s="174" t="s">
        <v>919</v>
      </c>
      <c r="D558" s="170">
        <f>IF(ISNUMBER(SEARCH(Checksheet!$U$11,B558)),MAX($D$1:D557)+1,"")</f>
        <v>557</v>
      </c>
      <c r="E558" s="170" t="str">
        <f t="shared" si="8"/>
        <v>6239-02-4-402(UL)</v>
      </c>
    </row>
    <row r="559" spans="1:5">
      <c r="A559" s="174" t="s">
        <v>1122</v>
      </c>
      <c r="B559" s="174" t="s">
        <v>1123</v>
      </c>
      <c r="C559" s="174" t="s">
        <v>919</v>
      </c>
      <c r="D559" s="170">
        <f>IF(ISNUMBER(SEARCH(Checksheet!$U$11,B559)),MAX($D$1:D558)+1,"")</f>
        <v>558</v>
      </c>
      <c r="E559" s="170" t="str">
        <f t="shared" si="8"/>
        <v>3426-01-4-410A-Sｼｻｸ</v>
      </c>
    </row>
    <row r="560" spans="1:5">
      <c r="A560" s="174" t="s">
        <v>1124</v>
      </c>
      <c r="B560" s="174" t="s">
        <v>1125</v>
      </c>
      <c r="C560" s="174" t="s">
        <v>1126</v>
      </c>
      <c r="D560" s="170">
        <f>IF(ISNUMBER(SEARCH(Checksheet!$U$11,B560)),MAX($D$1:D559)+1,"")</f>
        <v>559</v>
      </c>
      <c r="E560" s="170" t="str">
        <f t="shared" si="8"/>
        <v>20A1 ﾒｲﾝ1-1ﾊｰﾈｽ-S</v>
      </c>
    </row>
    <row r="561" spans="1:5">
      <c r="A561" s="174" t="s">
        <v>1127</v>
      </c>
      <c r="B561" s="174" t="s">
        <v>1128</v>
      </c>
      <c r="C561" s="174" t="s">
        <v>1126</v>
      </c>
      <c r="D561" s="170">
        <f>IF(ISNUMBER(SEARCH(Checksheet!$U$11,B561)),MAX($D$1:D560)+1,"")</f>
        <v>560</v>
      </c>
      <c r="E561" s="170" t="str">
        <f t="shared" si="8"/>
        <v>20A1 ｽﾞｶﾞﾗﾋｮｳｼﾞﾊｰﾈｽ-S</v>
      </c>
    </row>
    <row r="562" spans="1:5">
      <c r="A562" s="174" t="s">
        <v>1129</v>
      </c>
      <c r="B562" s="174" t="s">
        <v>1130</v>
      </c>
      <c r="C562" s="174" t="s">
        <v>1126</v>
      </c>
      <c r="D562" s="170">
        <f>IF(ISNUMBER(SEARCH(Checksheet!$U$11,B562)),MAX($D$1:D561)+1,"")</f>
        <v>561</v>
      </c>
      <c r="E562" s="170" t="str">
        <f t="shared" si="8"/>
        <v>20A1 ﾒｲﾝ1-2ﾊｰﾈｽ-S</v>
      </c>
    </row>
    <row r="563" spans="1:5">
      <c r="A563" s="174" t="s">
        <v>1131</v>
      </c>
      <c r="B563" s="174" t="s">
        <v>1132</v>
      </c>
      <c r="C563" s="174" t="s">
        <v>1126</v>
      </c>
      <c r="D563" s="170">
        <f>IF(ISNUMBER(SEARCH(Checksheet!$U$11,B563)),MAX($D$1:D562)+1,"")</f>
        <v>562</v>
      </c>
      <c r="E563" s="170" t="str">
        <f t="shared" si="8"/>
        <v>20A1 ﾒｲﾝ1-3ﾊｰﾈｽ-S</v>
      </c>
    </row>
    <row r="564" spans="1:5">
      <c r="A564" s="174" t="s">
        <v>1133</v>
      </c>
      <c r="B564" s="174" t="s">
        <v>1134</v>
      </c>
      <c r="C564" s="174" t="s">
        <v>1126</v>
      </c>
      <c r="D564" s="170">
        <f>IF(ISNUMBER(SEARCH(Checksheet!$U$11,B564)),MAX($D$1:D563)+1,"")</f>
        <v>563</v>
      </c>
      <c r="E564" s="170" t="str">
        <f t="shared" si="8"/>
        <v>20A1メイン1-1（SK）タンシシサ-S</v>
      </c>
    </row>
    <row r="565" spans="1:5">
      <c r="A565" s="174" t="s">
        <v>1135</v>
      </c>
      <c r="B565" s="174" t="s">
        <v>1136</v>
      </c>
      <c r="C565" s="174" t="s">
        <v>1126</v>
      </c>
      <c r="D565" s="170">
        <f>IF(ISNUMBER(SEARCH(Checksheet!$U$11,B565)),MAX($D$1:D564)+1,"")</f>
        <v>564</v>
      </c>
      <c r="E565" s="170" t="str">
        <f t="shared" si="8"/>
        <v>SNKV 28AWG ｹﾝｼｮｳ ｼｻｸ</v>
      </c>
    </row>
    <row r="566" spans="1:5">
      <c r="A566" s="174" t="s">
        <v>1137</v>
      </c>
      <c r="B566" s="174" t="s">
        <v>1138</v>
      </c>
      <c r="C566" s="174" t="s">
        <v>1126</v>
      </c>
      <c r="D566" s="170">
        <f>IF(ISNUMBER(SEARCH(Checksheet!$U$11,B566)),MAX($D$1:D565)+1,"")</f>
        <v>565</v>
      </c>
      <c r="E566" s="170" t="str">
        <f t="shared" si="8"/>
        <v>1061 AWG28 ｹﾝｼｮｳ ｼｻｸ</v>
      </c>
    </row>
    <row r="567" spans="1:5">
      <c r="A567" s="174" t="s">
        <v>1139</v>
      </c>
      <c r="B567" s="174" t="s">
        <v>1140</v>
      </c>
      <c r="C567" s="174" t="s">
        <v>1126</v>
      </c>
      <c r="D567" s="170">
        <f>IF(ISNUMBER(SEARCH(Checksheet!$U$11,B567)),MAX($D$1:D566)+1,"")</f>
        <v>566</v>
      </c>
      <c r="E567" s="170" t="str">
        <f t="shared" si="8"/>
        <v>1061 AWG26 ｹﾝｼｮｳ ｼｻｸ</v>
      </c>
    </row>
    <row r="568" spans="1:5">
      <c r="A568" s="174" t="s">
        <v>1141</v>
      </c>
      <c r="B568" s="174" t="s">
        <v>1142</v>
      </c>
      <c r="C568" s="174" t="s">
        <v>1126</v>
      </c>
      <c r="D568" s="170">
        <f>IF(ISNUMBER(SEARCH(Checksheet!$U$11,B568)),MAX($D$1:D567)+1,"")</f>
        <v>567</v>
      </c>
      <c r="E568" s="170" t="str">
        <f t="shared" si="8"/>
        <v>W13619H1(MS)-S</v>
      </c>
    </row>
    <row r="569" spans="1:5">
      <c r="A569" s="174" t="s">
        <v>1143</v>
      </c>
      <c r="B569" s="174" t="s">
        <v>1144</v>
      </c>
      <c r="C569" s="174" t="s">
        <v>1126</v>
      </c>
      <c r="D569" s="170">
        <f>IF(ISNUMBER(SEARCH(Checksheet!$U$11,B569)),MAX($D$1:D568)+1,"")</f>
        <v>568</v>
      </c>
      <c r="E569" s="170" t="str">
        <f t="shared" si="8"/>
        <v>W13613H4(MS)-S</v>
      </c>
    </row>
    <row r="570" spans="1:5">
      <c r="A570" s="174" t="s">
        <v>1145</v>
      </c>
      <c r="B570" s="174" t="s">
        <v>1146</v>
      </c>
      <c r="C570" s="174" t="s">
        <v>1126</v>
      </c>
      <c r="D570" s="170">
        <f>IF(ISNUMBER(SEARCH(Checksheet!$U$11,B570)),MAX($D$1:D569)+1,"")</f>
        <v>569</v>
      </c>
      <c r="E570" s="170" t="str">
        <f t="shared" si="8"/>
        <v>W13615H2(MS)-S</v>
      </c>
    </row>
    <row r="571" spans="1:5">
      <c r="A571" s="174" t="s">
        <v>1147</v>
      </c>
      <c r="B571" s="174" t="s">
        <v>1148</v>
      </c>
      <c r="C571" s="174" t="s">
        <v>1126</v>
      </c>
      <c r="D571" s="170">
        <f>IF(ISNUMBER(SEARCH(Checksheet!$U$11,B571)),MAX($D$1:D570)+1,"")</f>
        <v>570</v>
      </c>
      <c r="E571" s="170" t="str">
        <f t="shared" si="8"/>
        <v>W13622H2(MS)-S</v>
      </c>
    </row>
    <row r="572" spans="1:5">
      <c r="A572" s="174" t="s">
        <v>1149</v>
      </c>
      <c r="B572" s="174" t="s">
        <v>1150</v>
      </c>
      <c r="C572" s="174" t="s">
        <v>1126</v>
      </c>
      <c r="D572" s="170">
        <f>IF(ISNUMBER(SEARCH(Checksheet!$U$11,B572)),MAX($D$1:D571)+1,"")</f>
        <v>571</v>
      </c>
      <c r="E572" s="170" t="str">
        <f t="shared" si="8"/>
        <v>W13623H2(MS)-S</v>
      </c>
    </row>
    <row r="573" spans="1:5">
      <c r="A573" s="174" t="s">
        <v>1151</v>
      </c>
      <c r="B573" s="174" t="s">
        <v>1152</v>
      </c>
      <c r="C573" s="174" t="s">
        <v>1126</v>
      </c>
      <c r="D573" s="170">
        <f>IF(ISNUMBER(SEARCH(Checksheet!$U$11,B573)),MAX($D$1:D572)+1,"")</f>
        <v>572</v>
      </c>
      <c r="E573" s="170" t="str">
        <f t="shared" si="8"/>
        <v>W13624H4(MS)-S</v>
      </c>
    </row>
    <row r="574" spans="1:5">
      <c r="A574" s="174" t="s">
        <v>1153</v>
      </c>
      <c r="B574" s="174" t="s">
        <v>1154</v>
      </c>
      <c r="C574" s="174" t="s">
        <v>1126</v>
      </c>
      <c r="D574" s="170">
        <f>IF(ISNUMBER(SEARCH(Checksheet!$U$11,B574)),MAX($D$1:D573)+1,"")</f>
        <v>573</v>
      </c>
      <c r="E574" s="170" t="str">
        <f t="shared" si="8"/>
        <v>W136MOTAH2(MS)-S</v>
      </c>
    </row>
    <row r="575" spans="1:5">
      <c r="A575" s="174" t="s">
        <v>1155</v>
      </c>
      <c r="B575" s="174" t="s">
        <v>1156</v>
      </c>
      <c r="C575" s="174" t="s">
        <v>1126</v>
      </c>
      <c r="D575" s="170">
        <f>IF(ISNUMBER(SEARCH(Checksheet!$U$11,B575)),MAX($D$1:D574)+1,"")</f>
        <v>574</v>
      </c>
      <c r="E575" s="170" t="str">
        <f t="shared" si="8"/>
        <v>W136MOTAH2(MS)1-S</v>
      </c>
    </row>
    <row r="576" spans="1:5">
      <c r="A576" s="174" t="s">
        <v>1157</v>
      </c>
      <c r="B576" s="174" t="s">
        <v>1158</v>
      </c>
      <c r="C576" s="174" t="s">
        <v>1126</v>
      </c>
      <c r="D576" s="170">
        <f>IF(ISNUMBER(SEARCH(Checksheet!$U$11,B576)),MAX($D$1:D575)+1,"")</f>
        <v>575</v>
      </c>
      <c r="E576" s="170" t="str">
        <f t="shared" si="8"/>
        <v>W136MOTBH2(MS)-S</v>
      </c>
    </row>
    <row r="577" spans="1:5">
      <c r="A577" s="174" t="s">
        <v>1159</v>
      </c>
      <c r="B577" s="174" t="s">
        <v>1160</v>
      </c>
      <c r="C577" s="174" t="s">
        <v>1126</v>
      </c>
      <c r="D577" s="170">
        <f>IF(ISNUMBER(SEARCH(Checksheet!$U$11,B577)),MAX($D$1:D576)+1,"")</f>
        <v>576</v>
      </c>
      <c r="E577" s="170" t="str">
        <f t="shared" si="8"/>
        <v>W136SOL2H2(MS)-S</v>
      </c>
    </row>
    <row r="578" spans="1:5">
      <c r="A578" s="174" t="s">
        <v>1161</v>
      </c>
      <c r="B578" s="174" t="s">
        <v>1162</v>
      </c>
      <c r="C578" s="174" t="s">
        <v>1126</v>
      </c>
      <c r="D578" s="170">
        <f>IF(ISNUMBER(SEARCH(Checksheet!$U$11,B578)),MAX($D$1:D577)+1,"")</f>
        <v>577</v>
      </c>
      <c r="E578" s="170" t="str">
        <f t="shared" si="8"/>
        <v>BHKV0.08FSWｹﾝｼｮｳTP</v>
      </c>
    </row>
    <row r="579" spans="1:5">
      <c r="A579" s="174" t="s">
        <v>1163</v>
      </c>
      <c r="B579" s="174" t="s">
        <v>1164</v>
      </c>
      <c r="C579" s="174" t="s">
        <v>1165</v>
      </c>
      <c r="D579" s="170">
        <f>IF(ISNUMBER(SEARCH(Checksheet!$U$11,B579)),MAX($D$1:D578)+1,"")</f>
        <v>578</v>
      </c>
      <c r="E579" s="170" t="str">
        <f t="shared" ref="E579:E604" si="9">IFERROR(INDEX($B:$B,MATCH(ROW()-1,$D:$D,0),1),"")</f>
        <v>CCA18009=3MRD-S</v>
      </c>
    </row>
    <row r="580" spans="1:5">
      <c r="A580" s="174" t="s">
        <v>1166</v>
      </c>
      <c r="B580" s="174" t="s">
        <v>1167</v>
      </c>
      <c r="C580" s="174" t="s">
        <v>1165</v>
      </c>
      <c r="D580" s="170">
        <f>IF(ISNUMBER(SEARCH(Checksheet!$U$11,B580)),MAX($D$1:D579)+1,"")</f>
        <v>579</v>
      </c>
      <c r="E580" s="170" t="str">
        <f t="shared" si="9"/>
        <v>CCA19011=4MRD-S</v>
      </c>
    </row>
    <row r="581" spans="1:5">
      <c r="A581" s="174" t="s">
        <v>1168</v>
      </c>
      <c r="B581" s="174" t="s">
        <v>1169</v>
      </c>
      <c r="C581" s="174" t="s">
        <v>1165</v>
      </c>
      <c r="D581" s="170">
        <f>IF(ISNUMBER(SEARCH(Checksheet!$U$11,B581)),MAX($D$1:D580)+1,"")</f>
        <v>580</v>
      </c>
      <c r="E581" s="170" t="str">
        <f t="shared" si="9"/>
        <v>CCA19012=3MRD-S</v>
      </c>
    </row>
    <row r="582" spans="1:5">
      <c r="A582" s="174" t="s">
        <v>1170</v>
      </c>
      <c r="B582" s="174" t="s">
        <v>1171</v>
      </c>
      <c r="C582" s="174" t="s">
        <v>1165</v>
      </c>
      <c r="D582" s="170">
        <f>IF(ISNUMBER(SEARCH(Checksheet!$U$11,B582)),MAX($D$1:D581)+1,"")</f>
        <v>581</v>
      </c>
      <c r="E582" s="170" t="str">
        <f t="shared" si="9"/>
        <v>CCA19014=3MRD-S</v>
      </c>
    </row>
    <row r="583" spans="1:5">
      <c r="A583" s="174" t="s">
        <v>1172</v>
      </c>
      <c r="B583" s="174" t="s">
        <v>1173</v>
      </c>
      <c r="C583" s="174" t="s">
        <v>1165</v>
      </c>
      <c r="D583" s="170">
        <f>IF(ISNUMBER(SEARCH(Checksheet!$U$11,B583)),MAX($D$1:D582)+1,"")</f>
        <v>582</v>
      </c>
      <c r="E583" s="170" t="str">
        <f t="shared" si="9"/>
        <v>CCA19010=3MRD-S</v>
      </c>
    </row>
    <row r="584" spans="1:5">
      <c r="A584" s="174" t="s">
        <v>1174</v>
      </c>
      <c r="B584" s="174" t="s">
        <v>1175</v>
      </c>
      <c r="C584" s="174" t="s">
        <v>1165</v>
      </c>
      <c r="D584" s="170">
        <f>IF(ISNUMBER(SEARCH(Checksheet!$U$11,B584)),MAX($D$1:D583)+1,"")</f>
        <v>583</v>
      </c>
      <c r="E584" s="170" t="str">
        <f t="shared" si="9"/>
        <v>CCA19016=3MRD-S</v>
      </c>
    </row>
    <row r="585" spans="1:5">
      <c r="A585" s="174" t="s">
        <v>1176</v>
      </c>
      <c r="B585" s="174" t="s">
        <v>1177</v>
      </c>
      <c r="C585" s="174" t="s">
        <v>1165</v>
      </c>
      <c r="D585" s="170">
        <f>IF(ISNUMBER(SEARCH(Checksheet!$U$11,B585)),MAX($D$1:D584)+1,"")</f>
        <v>584</v>
      </c>
      <c r="E585" s="170" t="str">
        <f t="shared" si="9"/>
        <v>CCA19017=5MRD-S</v>
      </c>
    </row>
    <row r="586" spans="1:5">
      <c r="A586" s="174" t="s">
        <v>1178</v>
      </c>
      <c r="B586" s="174" t="s">
        <v>1179</v>
      </c>
      <c r="C586" s="174" t="s">
        <v>1165</v>
      </c>
      <c r="D586" s="170">
        <f>IF(ISNUMBER(SEARCH(Checksheet!$U$11,B586)),MAX($D$1:D585)+1,"")</f>
        <v>585</v>
      </c>
      <c r="E586" s="170" t="str">
        <f t="shared" si="9"/>
        <v>CCA19051=2MRD-S</v>
      </c>
    </row>
    <row r="587" spans="1:5">
      <c r="A587" s="174" t="s">
        <v>1180</v>
      </c>
      <c r="B587" s="174" t="s">
        <v>1181</v>
      </c>
      <c r="C587" s="174" t="s">
        <v>1165</v>
      </c>
      <c r="D587" s="170">
        <f>IF(ISNUMBER(SEARCH(Checksheet!$U$11,B587)),MAX($D$1:D586)+1,"")</f>
        <v>586</v>
      </c>
      <c r="E587" s="170" t="str">
        <f t="shared" si="9"/>
        <v>CCA19103=3MRD-S</v>
      </c>
    </row>
    <row r="588" spans="1:5">
      <c r="A588" s="174" t="s">
        <v>1182</v>
      </c>
      <c r="B588" s="174" t="s">
        <v>1183</v>
      </c>
      <c r="C588" s="174" t="s">
        <v>1165</v>
      </c>
      <c r="D588" s="170">
        <f>IF(ISNUMBER(SEARCH(Checksheet!$U$11,B588)),MAX($D$1:D587)+1,"")</f>
        <v>587</v>
      </c>
      <c r="E588" s="170" t="str">
        <f t="shared" si="9"/>
        <v>CCA19104=3MRD-S</v>
      </c>
    </row>
    <row r="589" spans="1:5">
      <c r="A589" s="174" t="s">
        <v>1184</v>
      </c>
      <c r="B589" s="174" t="s">
        <v>1185</v>
      </c>
      <c r="C589" s="174" t="s">
        <v>1186</v>
      </c>
      <c r="D589" s="170">
        <f>IF(ISNUMBER(SEARCH(Checksheet!$U$11,B589)),MAX($D$1:D588)+1,"")</f>
        <v>588</v>
      </c>
      <c r="E589" s="170" t="str">
        <f t="shared" si="9"/>
        <v>603-124A-00-S</v>
      </c>
    </row>
    <row r="590" spans="1:5">
      <c r="A590" s="174" t="s">
        <v>1187</v>
      </c>
      <c r="B590" s="174" t="s">
        <v>1188</v>
      </c>
      <c r="C590" s="174" t="s">
        <v>1186</v>
      </c>
      <c r="D590" s="170">
        <f>IF(ISNUMBER(SEARCH(Checksheet!$U$11,B590)),MAX($D$1:D589)+1,"")</f>
        <v>589</v>
      </c>
      <c r="E590" s="170" t="str">
        <f t="shared" si="9"/>
        <v>683-242A-00-S</v>
      </c>
    </row>
    <row r="591" spans="1:5">
      <c r="A591" s="174" t="s">
        <v>1189</v>
      </c>
      <c r="B591" s="174" t="s">
        <v>1190</v>
      </c>
      <c r="C591" s="174" t="s">
        <v>1186</v>
      </c>
      <c r="D591" s="170">
        <f>IF(ISNUMBER(SEARCH(Checksheet!$U$11,B591)),MAX($D$1:D590)+1,"")</f>
        <v>590</v>
      </c>
      <c r="E591" s="170" t="str">
        <f t="shared" si="9"/>
        <v>76A-251A-00-S</v>
      </c>
    </row>
    <row r="592" spans="1:5">
      <c r="A592" s="174" t="s">
        <v>1191</v>
      </c>
      <c r="B592" s="174" t="s">
        <v>1192</v>
      </c>
      <c r="C592" s="174" t="s">
        <v>1193</v>
      </c>
      <c r="D592" s="170">
        <f>IF(ISNUMBER(SEARCH(Checksheet!$U$11,B592)),MAX($D$1:D591)+1,"")</f>
        <v>591</v>
      </c>
      <c r="E592" s="170" t="str">
        <f t="shared" si="9"/>
        <v>JS0062-281X02-S(RN)</v>
      </c>
    </row>
    <row r="593" spans="1:5">
      <c r="A593" s="174" t="s">
        <v>1194</v>
      </c>
      <c r="B593" s="174" t="s">
        <v>1195</v>
      </c>
      <c r="C593" s="174" t="s">
        <v>1193</v>
      </c>
      <c r="D593" s="170">
        <f>IF(ISNUMBER(SEARCH(Checksheet!$U$11,B593)),MAX($D$1:D592)+1,"")</f>
        <v>592</v>
      </c>
      <c r="E593" s="170" t="str">
        <f t="shared" si="9"/>
        <v>JS0062-280X03-S(RN)</v>
      </c>
    </row>
    <row r="594" spans="1:5">
      <c r="A594" s="174" t="s">
        <v>1196</v>
      </c>
      <c r="B594" s="174" t="s">
        <v>1197</v>
      </c>
      <c r="C594" s="174" t="s">
        <v>1193</v>
      </c>
      <c r="D594" s="170">
        <f>IF(ISNUMBER(SEARCH(Checksheet!$U$11,B594)),MAX($D$1:D593)+1,"")</f>
        <v>593</v>
      </c>
      <c r="E594" s="170" t="str">
        <f t="shared" si="9"/>
        <v>JS0062-270X02-S(RN)</v>
      </c>
    </row>
    <row r="595" spans="1:5">
      <c r="A595" s="174" t="s">
        <v>1198</v>
      </c>
      <c r="B595" s="174" t="s">
        <v>1199</v>
      </c>
      <c r="C595" s="174" t="s">
        <v>1193</v>
      </c>
      <c r="D595" s="170">
        <f>IF(ISNUMBER(SEARCH(Checksheet!$U$11,B595)),MAX($D$1:D594)+1,"")</f>
        <v>594</v>
      </c>
      <c r="E595" s="170" t="str">
        <f t="shared" si="9"/>
        <v>JS0062-283X03-S(RN)</v>
      </c>
    </row>
    <row r="596" spans="1:5">
      <c r="A596" s="174" t="s">
        <v>1200</v>
      </c>
      <c r="B596" s="174" t="s">
        <v>1201</v>
      </c>
      <c r="C596" s="174" t="s">
        <v>1193</v>
      </c>
      <c r="D596" s="170">
        <f>IF(ISNUMBER(SEARCH(Checksheet!$U$11,B596)),MAX($D$1:D595)+1,"")</f>
        <v>595</v>
      </c>
      <c r="E596" s="170" t="str">
        <f t="shared" si="9"/>
        <v>JS0062-282X02-S(RN)</v>
      </c>
    </row>
    <row r="597" spans="1:5">
      <c r="A597" s="174" t="s">
        <v>1202</v>
      </c>
      <c r="B597" s="174" t="s">
        <v>1203</v>
      </c>
      <c r="C597" s="174" t="s">
        <v>1193</v>
      </c>
      <c r="D597" s="170">
        <f>IF(ISNUMBER(SEARCH(Checksheet!$U$11,B597)),MAX($D$1:D596)+1,"")</f>
        <v>596</v>
      </c>
      <c r="E597" s="170" t="str">
        <f t="shared" si="9"/>
        <v>JS0062-284X03-S(RN)</v>
      </c>
    </row>
    <row r="598" spans="1:5">
      <c r="A598" s="174" t="s">
        <v>1204</v>
      </c>
      <c r="B598" s="174" t="s">
        <v>1205</v>
      </c>
      <c r="C598" s="174" t="s">
        <v>1193</v>
      </c>
      <c r="D598" s="170">
        <f>IF(ISNUMBER(SEARCH(Checksheet!$U$11,B598)),MAX($D$1:D597)+1,"")</f>
        <v>597</v>
      </c>
      <c r="E598" s="170" t="str">
        <f t="shared" si="9"/>
        <v>270ﾋｮｳｶﾗｲﾝﾏｰｸ-Sｼｻｸ(RN)</v>
      </c>
    </row>
    <row r="599" spans="1:5">
      <c r="A599" s="174" t="s">
        <v>1206</v>
      </c>
      <c r="B599" s="174" t="s">
        <v>1207</v>
      </c>
      <c r="C599" s="174" t="s">
        <v>1208</v>
      </c>
      <c r="D599" s="170">
        <f>IF(ISNUMBER(SEARCH(Checksheet!$U$11,B599)),MAX($D$1:D598)+1,"")</f>
        <v>598</v>
      </c>
      <c r="E599" s="170" t="str">
        <f t="shared" si="9"/>
        <v>40078417-1-S(V1.25)</v>
      </c>
    </row>
    <row r="600" spans="1:5">
      <c r="A600" s="174" t="s">
        <v>1209</v>
      </c>
      <c r="B600" s="174" t="s">
        <v>1210</v>
      </c>
      <c r="C600" s="174" t="s">
        <v>1208</v>
      </c>
      <c r="D600" s="170">
        <f>IF(ISNUMBER(SEARCH(Checksheet!$U$11,B600)),MAX($D$1:D599)+1,"")</f>
        <v>599</v>
      </c>
      <c r="E600" s="170" t="str">
        <f t="shared" si="9"/>
        <v>40078417-1-S</v>
      </c>
    </row>
    <row r="601" spans="1:5">
      <c r="A601" s="174" t="s">
        <v>1211</v>
      </c>
      <c r="B601" s="174" t="s">
        <v>1212</v>
      </c>
      <c r="C601" s="174" t="s">
        <v>1208</v>
      </c>
      <c r="D601" s="170">
        <f>IF(ISNUMBER(SEARCH(Checksheet!$U$11,B601)),MAX($D$1:D600)+1,"")</f>
        <v>600</v>
      </c>
      <c r="E601" s="170" t="str">
        <f t="shared" si="9"/>
        <v>40108478(1M)-S</v>
      </c>
    </row>
    <row r="602" spans="1:5">
      <c r="A602" s="174" t="s">
        <v>1213</v>
      </c>
      <c r="B602" s="174" t="s">
        <v>1214</v>
      </c>
      <c r="C602" s="174" t="s">
        <v>1208</v>
      </c>
      <c r="D602" s="170">
        <f>IF(ISNUMBER(SEARCH(Checksheet!$U$11,B602)),MAX($D$1:D601)+1,"")</f>
        <v>601</v>
      </c>
      <c r="E602" s="170" t="str">
        <f t="shared" si="9"/>
        <v>40108479(2M)-S</v>
      </c>
    </row>
    <row r="603" spans="1:5">
      <c r="A603" s="174" t="s">
        <v>1215</v>
      </c>
      <c r="B603" s="174" t="s">
        <v>1216</v>
      </c>
      <c r="C603" s="174" t="s">
        <v>1208</v>
      </c>
      <c r="D603" s="170">
        <f>IF(ISNUMBER(SEARCH(Checksheet!$U$11,B603)),MAX($D$1:D602)+1,"")</f>
        <v>602</v>
      </c>
      <c r="E603" s="170" t="str">
        <f t="shared" si="9"/>
        <v>40108480(3M)-S</v>
      </c>
    </row>
    <row r="604" spans="1:5">
      <c r="A604" s="174" t="s">
        <v>1217</v>
      </c>
      <c r="B604" s="174" t="s">
        <v>1218</v>
      </c>
      <c r="C604" s="174" t="s">
        <v>1208</v>
      </c>
      <c r="D604" s="170">
        <f>IF(ISNUMBER(SEARCH(Checksheet!$U$11,B604)),MAX($D$1:D603)+1,"")</f>
        <v>603</v>
      </c>
      <c r="E604" s="170" t="str">
        <f t="shared" si="9"/>
        <v>40108481(5M)-S</v>
      </c>
    </row>
    <row r="605" spans="1:5">
      <c r="A605" s="174" t="s">
        <v>1252</v>
      </c>
      <c r="B605" s="174" t="s">
        <v>1252</v>
      </c>
      <c r="C605" s="174" t="s">
        <v>1253</v>
      </c>
      <c r="D605" s="170">
        <f>IF(ISNUMBER(SEARCH(Checksheet!$U$11,B605)),MAX($D$1:D604)+1,"")</f>
        <v>604</v>
      </c>
    </row>
    <row r="606" spans="1:5">
      <c r="A606" s="174" t="s">
        <v>1254</v>
      </c>
      <c r="B606" s="174" t="s">
        <v>1254</v>
      </c>
      <c r="C606" s="174" t="s">
        <v>1253</v>
      </c>
      <c r="D606" s="170">
        <f>IF(ISNUMBER(SEARCH(Checksheet!$U$11,B606)),MAX($D$1:D605)+1,"")</f>
        <v>605</v>
      </c>
    </row>
    <row r="607" spans="1:5">
      <c r="A607" s="174" t="s">
        <v>1255</v>
      </c>
      <c r="B607" s="174" t="s">
        <v>1255</v>
      </c>
      <c r="C607" s="174" t="s">
        <v>1253</v>
      </c>
      <c r="D607" s="170">
        <f>IF(ISNUMBER(SEARCH(Checksheet!$U$11,B607)),MAX($D$1:D606)+1,"")</f>
        <v>606</v>
      </c>
    </row>
    <row r="608" spans="1:5">
      <c r="A608" s="174" t="s">
        <v>1256</v>
      </c>
      <c r="B608" s="174" t="s">
        <v>1256</v>
      </c>
      <c r="C608" s="174" t="s">
        <v>1253</v>
      </c>
      <c r="D608" s="170">
        <f>IF(ISNUMBER(SEARCH(Checksheet!$U$11,B608)),MAX($D$1:D607)+1,"")</f>
        <v>607</v>
      </c>
    </row>
    <row r="609" spans="1:4">
      <c r="A609" s="174" t="s">
        <v>1257</v>
      </c>
      <c r="B609" s="174" t="s">
        <v>1257</v>
      </c>
      <c r="C609" s="174" t="s">
        <v>1253</v>
      </c>
      <c r="D609" s="170">
        <f>IF(ISNUMBER(SEARCH(Checksheet!$U$11,B609)),MAX($D$1:D608)+1,"")</f>
        <v>608</v>
      </c>
    </row>
    <row r="610" spans="1:4">
      <c r="A610" s="174" t="s">
        <v>1258</v>
      </c>
      <c r="B610" s="174" t="s">
        <v>1258</v>
      </c>
      <c r="C610" s="174" t="s">
        <v>1253</v>
      </c>
      <c r="D610" s="170">
        <f>IF(ISNUMBER(SEARCH(Checksheet!$U$11,B610)),MAX($D$1:D609)+1,"")</f>
        <v>609</v>
      </c>
    </row>
    <row r="611" spans="1:4">
      <c r="A611" s="174" t="s">
        <v>1259</v>
      </c>
      <c r="B611" s="174" t="s">
        <v>1259</v>
      </c>
      <c r="C611" s="174" t="s">
        <v>1253</v>
      </c>
      <c r="D611" s="170">
        <f>IF(ISNUMBER(SEARCH(Checksheet!$U$11,B611)),MAX($D$1:D610)+1,"")</f>
        <v>610</v>
      </c>
    </row>
    <row r="612" spans="1:4">
      <c r="A612" s="174" t="s">
        <v>1260</v>
      </c>
      <c r="B612" s="174" t="s">
        <v>1260</v>
      </c>
      <c r="C612" s="174" t="s">
        <v>1253</v>
      </c>
      <c r="D612" s="170">
        <f>IF(ISNUMBER(SEARCH(Checksheet!$U$11,B612)),MAX($D$1:D611)+1,"")</f>
        <v>611</v>
      </c>
    </row>
    <row r="613" spans="1:4">
      <c r="A613" s="174" t="s">
        <v>1261</v>
      </c>
      <c r="B613" s="174" t="s">
        <v>1261</v>
      </c>
      <c r="C613" s="174" t="s">
        <v>1253</v>
      </c>
      <c r="D613" s="170">
        <f>IF(ISNUMBER(SEARCH(Checksheet!$U$11,B613)),MAX($D$1:D612)+1,"")</f>
        <v>612</v>
      </c>
    </row>
    <row r="614" spans="1:4">
      <c r="A614" s="174" t="s">
        <v>1262</v>
      </c>
      <c r="B614" s="174" t="s">
        <v>1262</v>
      </c>
      <c r="C614" s="174" t="s">
        <v>1253</v>
      </c>
      <c r="D614" s="170">
        <f>IF(ISNUMBER(SEARCH(Checksheet!$U$11,B614)),MAX($D$1:D613)+1,"")</f>
        <v>613</v>
      </c>
    </row>
    <row r="615" spans="1:4">
      <c r="A615" s="174" t="s">
        <v>1263</v>
      </c>
      <c r="B615" s="174" t="s">
        <v>1263</v>
      </c>
      <c r="C615" s="174" t="s">
        <v>1253</v>
      </c>
      <c r="D615" s="170">
        <f>IF(ISNUMBER(SEARCH(Checksheet!$U$11,B615)),MAX($D$1:D614)+1,"")</f>
        <v>614</v>
      </c>
    </row>
    <row r="616" spans="1:4">
      <c r="A616" s="174" t="s">
        <v>1264</v>
      </c>
      <c r="B616" s="174" t="s">
        <v>1264</v>
      </c>
      <c r="C616" s="174" t="s">
        <v>1253</v>
      </c>
      <c r="D616" s="170">
        <f>IF(ISNUMBER(SEARCH(Checksheet!$U$11,B616)),MAX($D$1:D615)+1,"")</f>
        <v>615</v>
      </c>
    </row>
    <row r="617" spans="1:4">
      <c r="A617" s="174" t="s">
        <v>1265</v>
      </c>
      <c r="B617" s="174" t="s">
        <v>1265</v>
      </c>
      <c r="C617" s="174" t="s">
        <v>1253</v>
      </c>
      <c r="D617" s="170">
        <f>IF(ISNUMBER(SEARCH(Checksheet!$U$11,B617)),MAX($D$1:D616)+1,"")</f>
        <v>616</v>
      </c>
    </row>
    <row r="618" spans="1:4">
      <c r="A618" s="174" t="s">
        <v>1266</v>
      </c>
      <c r="B618" s="174" t="s">
        <v>1266</v>
      </c>
      <c r="C618" s="174" t="s">
        <v>1253</v>
      </c>
      <c r="D618" s="170">
        <f>IF(ISNUMBER(SEARCH(Checksheet!$U$11,B618)),MAX($D$1:D617)+1,"")</f>
        <v>617</v>
      </c>
    </row>
    <row r="619" spans="1:4">
      <c r="A619" s="174" t="s">
        <v>1267</v>
      </c>
      <c r="B619" s="174" t="s">
        <v>1267</v>
      </c>
      <c r="C619" s="174" t="s">
        <v>1253</v>
      </c>
      <c r="D619" s="170">
        <f>IF(ISNUMBER(SEARCH(Checksheet!$U$11,B619)),MAX($D$1:D618)+1,"")</f>
        <v>618</v>
      </c>
    </row>
    <row r="620" spans="1:4">
      <c r="A620" s="174" t="s">
        <v>1268</v>
      </c>
      <c r="B620" s="174" t="s">
        <v>1268</v>
      </c>
      <c r="C620" s="174" t="s">
        <v>1253</v>
      </c>
      <c r="D620" s="170">
        <f>IF(ISNUMBER(SEARCH(Checksheet!$U$11,B620)),MAX($D$1:D619)+1,"")</f>
        <v>619</v>
      </c>
    </row>
    <row r="621" spans="1:4">
      <c r="A621" s="174" t="s">
        <v>1269</v>
      </c>
      <c r="B621" s="174" t="s">
        <v>1269</v>
      </c>
      <c r="C621" s="174" t="s">
        <v>1253</v>
      </c>
      <c r="D621" s="170">
        <f>IF(ISNUMBER(SEARCH(Checksheet!$U$11,B621)),MAX($D$1:D620)+1,"")</f>
        <v>620</v>
      </c>
    </row>
    <row r="622" spans="1:4">
      <c r="A622" s="174" t="s">
        <v>1270</v>
      </c>
      <c r="B622" s="174" t="s">
        <v>1270</v>
      </c>
      <c r="C622" s="174" t="s">
        <v>1253</v>
      </c>
      <c r="D622" s="170">
        <f>IF(ISNUMBER(SEARCH(Checksheet!$U$11,B622)),MAX($D$1:D621)+1,"")</f>
        <v>621</v>
      </c>
    </row>
    <row r="623" spans="1:4">
      <c r="A623" s="174" t="s">
        <v>1271</v>
      </c>
      <c r="B623" s="174" t="s">
        <v>1271</v>
      </c>
      <c r="C623" s="174" t="s">
        <v>1253</v>
      </c>
      <c r="D623" s="170">
        <f>IF(ISNUMBER(SEARCH(Checksheet!$U$11,B623)),MAX($D$1:D622)+1,"")</f>
        <v>622</v>
      </c>
    </row>
    <row r="624" spans="1:4">
      <c r="A624" s="174" t="s">
        <v>1272</v>
      </c>
      <c r="B624" s="174" t="s">
        <v>1272</v>
      </c>
      <c r="C624" s="174" t="s">
        <v>1253</v>
      </c>
      <c r="D624" s="170">
        <f>IF(ISNUMBER(SEARCH(Checksheet!$U$11,B624)),MAX($D$1:D623)+1,"")</f>
        <v>623</v>
      </c>
    </row>
    <row r="625" spans="1:4">
      <c r="A625" s="174" t="s">
        <v>1273</v>
      </c>
      <c r="B625" s="174" t="s">
        <v>1273</v>
      </c>
      <c r="C625" s="174" t="s">
        <v>1253</v>
      </c>
      <c r="D625" s="170">
        <f>IF(ISNUMBER(SEARCH(Checksheet!$U$11,B625)),MAX($D$1:D624)+1,"")</f>
        <v>624</v>
      </c>
    </row>
    <row r="626" spans="1:4">
      <c r="A626" s="174" t="s">
        <v>1274</v>
      </c>
      <c r="B626" s="174" t="s">
        <v>1274</v>
      </c>
      <c r="C626" s="174" t="s">
        <v>1253</v>
      </c>
      <c r="D626" s="170">
        <f>IF(ISNUMBER(SEARCH(Checksheet!$U$11,B626)),MAX($D$1:D625)+1,"")</f>
        <v>625</v>
      </c>
    </row>
    <row r="627" spans="1:4">
      <c r="A627" s="174" t="s">
        <v>1275</v>
      </c>
      <c r="B627" s="174" t="s">
        <v>1275</v>
      </c>
      <c r="C627" s="174" t="s">
        <v>1253</v>
      </c>
      <c r="D627" s="170">
        <f>IF(ISNUMBER(SEARCH(Checksheet!$U$11,B627)),MAX($D$1:D626)+1,"")</f>
        <v>626</v>
      </c>
    </row>
    <row r="628" spans="1:4">
      <c r="A628" s="174" t="s">
        <v>1276</v>
      </c>
      <c r="B628" s="174" t="s">
        <v>1276</v>
      </c>
      <c r="C628" s="174" t="s">
        <v>1253</v>
      </c>
      <c r="D628" s="170">
        <f>IF(ISNUMBER(SEARCH(Checksheet!$U$11,B628)),MAX($D$1:D627)+1,"")</f>
        <v>627</v>
      </c>
    </row>
    <row r="629" spans="1:4">
      <c r="A629" s="174" t="s">
        <v>1277</v>
      </c>
      <c r="B629" s="174" t="s">
        <v>1277</v>
      </c>
      <c r="C629" s="174" t="s">
        <v>1253</v>
      </c>
      <c r="D629" s="170">
        <f>IF(ISNUMBER(SEARCH(Checksheet!$U$11,B629)),MAX($D$1:D628)+1,"")</f>
        <v>628</v>
      </c>
    </row>
    <row r="630" spans="1:4">
      <c r="A630" s="174" t="s">
        <v>1278</v>
      </c>
      <c r="B630" s="174" t="s">
        <v>1278</v>
      </c>
      <c r="C630" s="174" t="s">
        <v>1253</v>
      </c>
      <c r="D630" s="170">
        <f>IF(ISNUMBER(SEARCH(Checksheet!$U$11,B630)),MAX($D$1:D629)+1,"")</f>
        <v>629</v>
      </c>
    </row>
    <row r="631" spans="1:4">
      <c r="A631" s="174" t="s">
        <v>1279</v>
      </c>
      <c r="B631" s="174" t="s">
        <v>1279</v>
      </c>
      <c r="C631" s="174" t="s">
        <v>1280</v>
      </c>
      <c r="D631" s="170">
        <f>IF(ISNUMBER(SEARCH(Checksheet!$U$11,B631)),MAX($D$1:D630)+1,"")</f>
        <v>630</v>
      </c>
    </row>
    <row r="632" spans="1:4">
      <c r="A632" s="174" t="s">
        <v>1281</v>
      </c>
      <c r="B632" s="174" t="s">
        <v>1281</v>
      </c>
      <c r="C632" s="174" t="s">
        <v>1282</v>
      </c>
      <c r="D632" s="170">
        <f>IF(ISNUMBER(SEARCH(Checksheet!$U$11,B632)),MAX($D$1:D631)+1,"")</f>
        <v>631</v>
      </c>
    </row>
    <row r="633" spans="1:4">
      <c r="A633" s="174" t="s">
        <v>1283</v>
      </c>
      <c r="B633" s="174" t="s">
        <v>1283</v>
      </c>
      <c r="C633" s="174" t="s">
        <v>1282</v>
      </c>
      <c r="D633" s="170">
        <f>IF(ISNUMBER(SEARCH(Checksheet!$U$11,B633)),MAX($D$1:D632)+1,"")</f>
        <v>632</v>
      </c>
    </row>
    <row r="634" spans="1:4">
      <c r="A634" s="174" t="s">
        <v>1284</v>
      </c>
      <c r="B634" s="174" t="s">
        <v>1284</v>
      </c>
      <c r="C634" s="174" t="s">
        <v>1282</v>
      </c>
      <c r="D634" s="170">
        <f>IF(ISNUMBER(SEARCH(Checksheet!$U$11,B634)),MAX($D$1:D633)+1,"")</f>
        <v>633</v>
      </c>
    </row>
    <row r="635" spans="1:4">
      <c r="A635" s="174" t="s">
        <v>1285</v>
      </c>
      <c r="B635" s="174" t="s">
        <v>1285</v>
      </c>
      <c r="C635" s="174" t="s">
        <v>1282</v>
      </c>
      <c r="D635" s="170">
        <f>IF(ISNUMBER(SEARCH(Checksheet!$U$11,B635)),MAX($D$1:D634)+1,"")</f>
        <v>634</v>
      </c>
    </row>
    <row r="636" spans="1:4">
      <c r="A636" s="174" t="s">
        <v>1286</v>
      </c>
      <c r="B636" s="174" t="s">
        <v>1286</v>
      </c>
      <c r="C636" s="174" t="s">
        <v>1282</v>
      </c>
      <c r="D636" s="170">
        <f>IF(ISNUMBER(SEARCH(Checksheet!$U$11,B636)),MAX($D$1:D635)+1,"")</f>
        <v>635</v>
      </c>
    </row>
    <row r="637" spans="1:4">
      <c r="A637" s="174" t="s">
        <v>1287</v>
      </c>
      <c r="B637" s="174" t="s">
        <v>1287</v>
      </c>
      <c r="C637" s="174" t="s">
        <v>1282</v>
      </c>
      <c r="D637" s="170">
        <f>IF(ISNUMBER(SEARCH(Checksheet!$U$11,B637)),MAX($D$1:D636)+1,"")</f>
        <v>636</v>
      </c>
    </row>
    <row r="638" spans="1:4">
      <c r="A638" s="174" t="s">
        <v>1288</v>
      </c>
      <c r="B638" s="174" t="s">
        <v>1288</v>
      </c>
      <c r="C638" s="174" t="s">
        <v>1289</v>
      </c>
      <c r="D638" s="170">
        <f>IF(ISNUMBER(SEARCH(Checksheet!$U$11,B638)),MAX($D$1:D637)+1,"")</f>
        <v>637</v>
      </c>
    </row>
    <row r="639" spans="1:4">
      <c r="A639" s="174" t="s">
        <v>1290</v>
      </c>
      <c r="B639" s="174" t="s">
        <v>1290</v>
      </c>
      <c r="C639" s="174" t="s">
        <v>1289</v>
      </c>
      <c r="D639" s="170">
        <f>IF(ISNUMBER(SEARCH(Checksheet!$U$11,B639)),MAX($D$1:D638)+1,"")</f>
        <v>638</v>
      </c>
    </row>
    <row r="640" spans="1:4">
      <c r="A640" s="174" t="s">
        <v>1291</v>
      </c>
      <c r="B640" s="174" t="s">
        <v>1291</v>
      </c>
      <c r="C640" s="174" t="s">
        <v>1289</v>
      </c>
      <c r="D640" s="170">
        <f>IF(ISNUMBER(SEARCH(Checksheet!$U$11,B640)),MAX($D$1:D639)+1,"")</f>
        <v>639</v>
      </c>
    </row>
    <row r="641" spans="1:4">
      <c r="A641" s="174" t="s">
        <v>1292</v>
      </c>
      <c r="B641" s="174" t="s">
        <v>1292</v>
      </c>
      <c r="C641" s="174" t="s">
        <v>1289</v>
      </c>
      <c r="D641" s="170">
        <f>IF(ISNUMBER(SEARCH(Checksheet!$U$11,B641)),MAX($D$1:D640)+1,"")</f>
        <v>640</v>
      </c>
    </row>
    <row r="642" spans="1:4">
      <c r="A642" s="174" t="s">
        <v>1293</v>
      </c>
      <c r="B642" s="174" t="s">
        <v>1293</v>
      </c>
      <c r="C642" s="174" t="s">
        <v>1289</v>
      </c>
      <c r="D642" s="170">
        <f>IF(ISNUMBER(SEARCH(Checksheet!$U$11,B642)),MAX($D$1:D641)+1,"")</f>
        <v>641</v>
      </c>
    </row>
    <row r="643" spans="1:4">
      <c r="A643" s="174" t="s">
        <v>1294</v>
      </c>
      <c r="B643" s="174" t="s">
        <v>1294</v>
      </c>
      <c r="C643" s="174" t="s">
        <v>1289</v>
      </c>
      <c r="D643" s="170">
        <f>IF(ISNUMBER(SEARCH(Checksheet!$U$11,B643)),MAX($D$1:D642)+1,"")</f>
        <v>642</v>
      </c>
    </row>
    <row r="644" spans="1:4">
      <c r="A644" s="174" t="s">
        <v>1295</v>
      </c>
      <c r="B644" s="174" t="s">
        <v>1295</v>
      </c>
      <c r="C644" s="174" t="s">
        <v>1289</v>
      </c>
      <c r="D644" s="170">
        <f>IF(ISNUMBER(SEARCH(Checksheet!$U$11,B644)),MAX($D$1:D643)+1,"")</f>
        <v>643</v>
      </c>
    </row>
    <row r="645" spans="1:4">
      <c r="A645" s="174" t="s">
        <v>1296</v>
      </c>
      <c r="B645" s="174" t="s">
        <v>1296</v>
      </c>
      <c r="C645" s="174" t="s">
        <v>1297</v>
      </c>
      <c r="D645" s="170">
        <f>IF(ISNUMBER(SEARCH(Checksheet!$U$11,B645)),MAX($D$1:D644)+1,"")</f>
        <v>644</v>
      </c>
    </row>
    <row r="646" spans="1:4">
      <c r="A646" s="174" t="s">
        <v>1298</v>
      </c>
      <c r="B646" s="174" t="s">
        <v>1298</v>
      </c>
      <c r="C646" s="174" t="s">
        <v>1297</v>
      </c>
      <c r="D646" s="170">
        <f>IF(ISNUMBER(SEARCH(Checksheet!$U$11,B646)),MAX($D$1:D645)+1,"")</f>
        <v>645</v>
      </c>
    </row>
    <row r="647" spans="1:4">
      <c r="A647" s="174" t="s">
        <v>1299</v>
      </c>
      <c r="B647" s="174" t="s">
        <v>1299</v>
      </c>
      <c r="C647" s="174" t="s">
        <v>1300</v>
      </c>
      <c r="D647" s="170">
        <f>IF(ISNUMBER(SEARCH(Checksheet!$U$11,B647)),MAX($D$1:D646)+1,"")</f>
        <v>646</v>
      </c>
    </row>
    <row r="648" spans="1:4">
      <c r="A648" s="174" t="s">
        <v>1301</v>
      </c>
      <c r="B648" s="174" t="s">
        <v>1301</v>
      </c>
      <c r="C648" s="174" t="s">
        <v>1300</v>
      </c>
      <c r="D648" s="170">
        <f>IF(ISNUMBER(SEARCH(Checksheet!$U$11,B648)),MAX($D$1:D647)+1,"")</f>
        <v>647</v>
      </c>
    </row>
    <row r="649" spans="1:4">
      <c r="A649" s="174" t="s">
        <v>1302</v>
      </c>
      <c r="B649" s="174" t="s">
        <v>1302</v>
      </c>
      <c r="C649" s="174" t="s">
        <v>1300</v>
      </c>
      <c r="D649" s="170">
        <f>IF(ISNUMBER(SEARCH(Checksheet!$U$11,B649)),MAX($D$1:D648)+1,"")</f>
        <v>648</v>
      </c>
    </row>
    <row r="650" spans="1:4">
      <c r="A650" s="174" t="s">
        <v>1303</v>
      </c>
      <c r="B650" s="174" t="s">
        <v>1303</v>
      </c>
      <c r="C650" s="174" t="s">
        <v>1300</v>
      </c>
      <c r="D650" s="170">
        <f>IF(ISNUMBER(SEARCH(Checksheet!$U$11,B650)),MAX($D$1:D649)+1,"")</f>
        <v>649</v>
      </c>
    </row>
    <row r="651" spans="1:4">
      <c r="A651" s="174" t="s">
        <v>1304</v>
      </c>
      <c r="B651" s="174" t="s">
        <v>1304</v>
      </c>
      <c r="C651" s="174" t="s">
        <v>1300</v>
      </c>
      <c r="D651" s="170">
        <f>IF(ISNUMBER(SEARCH(Checksheet!$U$11,B651)),MAX($D$1:D650)+1,"")</f>
        <v>650</v>
      </c>
    </row>
    <row r="652" spans="1:4">
      <c r="A652" s="174" t="s">
        <v>1305</v>
      </c>
      <c r="B652" s="174" t="s">
        <v>1305</v>
      </c>
      <c r="C652" s="174" t="s">
        <v>1300</v>
      </c>
      <c r="D652" s="170">
        <f>IF(ISNUMBER(SEARCH(Checksheet!$U$11,B652)),MAX($D$1:D651)+1,"")</f>
        <v>651</v>
      </c>
    </row>
    <row r="653" spans="1:4">
      <c r="A653" s="174" t="s">
        <v>1306</v>
      </c>
      <c r="B653" s="174" t="s">
        <v>1306</v>
      </c>
      <c r="C653" s="174" t="s">
        <v>1300</v>
      </c>
      <c r="D653" s="170">
        <f>IF(ISNUMBER(SEARCH(Checksheet!$U$11,B653)),MAX($D$1:D652)+1,"")</f>
        <v>652</v>
      </c>
    </row>
    <row r="654" spans="1:4">
      <c r="A654" s="174" t="s">
        <v>1307</v>
      </c>
      <c r="B654" s="174" t="s">
        <v>1307</v>
      </c>
      <c r="C654" s="174" t="s">
        <v>1300</v>
      </c>
      <c r="D654" s="170">
        <f>IF(ISNUMBER(SEARCH(Checksheet!$U$11,B654)),MAX($D$1:D653)+1,"")</f>
        <v>653</v>
      </c>
    </row>
    <row r="655" spans="1:4">
      <c r="A655" s="174" t="s">
        <v>1308</v>
      </c>
      <c r="B655" s="174" t="s">
        <v>1308</v>
      </c>
      <c r="C655" s="174" t="s">
        <v>1300</v>
      </c>
      <c r="D655" s="170">
        <f>IF(ISNUMBER(SEARCH(Checksheet!$U$11,B655)),MAX($D$1:D654)+1,"")</f>
        <v>654</v>
      </c>
    </row>
    <row r="656" spans="1:4">
      <c r="A656" s="174" t="s">
        <v>1309</v>
      </c>
      <c r="B656" s="174" t="s">
        <v>1309</v>
      </c>
      <c r="C656" s="174" t="s">
        <v>1300</v>
      </c>
      <c r="D656" s="170">
        <f>IF(ISNUMBER(SEARCH(Checksheet!$U$11,B656)),MAX($D$1:D655)+1,"")</f>
        <v>655</v>
      </c>
    </row>
    <row r="657" spans="1:4">
      <c r="A657" s="174" t="s">
        <v>1310</v>
      </c>
      <c r="B657" s="174" t="s">
        <v>1310</v>
      </c>
      <c r="C657" s="174" t="s">
        <v>1300</v>
      </c>
      <c r="D657" s="170">
        <f>IF(ISNUMBER(SEARCH(Checksheet!$U$11,B657)),MAX($D$1:D656)+1,"")</f>
        <v>656</v>
      </c>
    </row>
    <row r="658" spans="1:4">
      <c r="A658" s="174" t="s">
        <v>1311</v>
      </c>
      <c r="B658" s="174" t="s">
        <v>1311</v>
      </c>
      <c r="C658" s="174" t="s">
        <v>1300</v>
      </c>
      <c r="D658" s="170">
        <f>IF(ISNUMBER(SEARCH(Checksheet!$U$11,B658)),MAX($D$1:D657)+1,"")</f>
        <v>657</v>
      </c>
    </row>
    <row r="659" spans="1:4">
      <c r="A659" s="174" t="s">
        <v>1312</v>
      </c>
      <c r="B659" s="174" t="s">
        <v>1312</v>
      </c>
      <c r="C659" s="174" t="s">
        <v>1300</v>
      </c>
      <c r="D659" s="170">
        <f>IF(ISNUMBER(SEARCH(Checksheet!$U$11,B659)),MAX($D$1:D658)+1,"")</f>
        <v>658</v>
      </c>
    </row>
    <row r="660" spans="1:4">
      <c r="A660" s="174" t="s">
        <v>1313</v>
      </c>
      <c r="B660" s="174" t="s">
        <v>1313</v>
      </c>
      <c r="C660" s="174" t="s">
        <v>1300</v>
      </c>
      <c r="D660" s="170">
        <f>IF(ISNUMBER(SEARCH(Checksheet!$U$11,B660)),MAX($D$1:D659)+1,"")</f>
        <v>659</v>
      </c>
    </row>
    <row r="661" spans="1:4">
      <c r="A661" s="174" t="s">
        <v>1314</v>
      </c>
      <c r="B661" s="174" t="s">
        <v>1314</v>
      </c>
      <c r="C661" s="174" t="s">
        <v>1300</v>
      </c>
      <c r="D661" s="170">
        <f>IF(ISNUMBER(SEARCH(Checksheet!$U$11,B661)),MAX($D$1:D660)+1,"")</f>
        <v>660</v>
      </c>
    </row>
    <row r="662" spans="1:4">
      <c r="A662" s="174" t="s">
        <v>1315</v>
      </c>
      <c r="B662" s="174" t="s">
        <v>1315</v>
      </c>
      <c r="C662" s="174" t="s">
        <v>1300</v>
      </c>
      <c r="D662" s="170">
        <f>IF(ISNUMBER(SEARCH(Checksheet!$U$11,B662)),MAX($D$1:D661)+1,"")</f>
        <v>661</v>
      </c>
    </row>
    <row r="663" spans="1:4">
      <c r="A663" s="174" t="s">
        <v>1316</v>
      </c>
      <c r="B663" s="174" t="s">
        <v>1316</v>
      </c>
      <c r="C663" s="174" t="s">
        <v>1300</v>
      </c>
      <c r="D663" s="170">
        <f>IF(ISNUMBER(SEARCH(Checksheet!$U$11,B663)),MAX($D$1:D662)+1,"")</f>
        <v>662</v>
      </c>
    </row>
    <row r="664" spans="1:4">
      <c r="A664" s="174" t="s">
        <v>1317</v>
      </c>
      <c r="B664" s="174" t="s">
        <v>1317</v>
      </c>
      <c r="C664" s="174" t="s">
        <v>1300</v>
      </c>
      <c r="D664" s="170">
        <f>IF(ISNUMBER(SEARCH(Checksheet!$U$11,B664)),MAX($D$1:D663)+1,"")</f>
        <v>663</v>
      </c>
    </row>
    <row r="665" spans="1:4">
      <c r="A665" s="174" t="s">
        <v>1318</v>
      </c>
      <c r="B665" s="174" t="s">
        <v>1318</v>
      </c>
      <c r="C665" s="174" t="s">
        <v>1300</v>
      </c>
      <c r="D665" s="170">
        <f>IF(ISNUMBER(SEARCH(Checksheet!$U$11,B665)),MAX($D$1:D664)+1,"")</f>
        <v>664</v>
      </c>
    </row>
    <row r="666" spans="1:4">
      <c r="A666" s="174" t="s">
        <v>1319</v>
      </c>
      <c r="B666" s="174" t="s">
        <v>1319</v>
      </c>
      <c r="C666" s="174" t="s">
        <v>1300</v>
      </c>
      <c r="D666" s="170">
        <f>IF(ISNUMBER(SEARCH(Checksheet!$U$11,B666)),MAX($D$1:D665)+1,"")</f>
        <v>665</v>
      </c>
    </row>
    <row r="667" spans="1:4">
      <c r="A667" s="174" t="s">
        <v>1320</v>
      </c>
      <c r="B667" s="174" t="s">
        <v>1320</v>
      </c>
      <c r="C667" s="174" t="s">
        <v>1300</v>
      </c>
      <c r="D667" s="170">
        <f>IF(ISNUMBER(SEARCH(Checksheet!$U$11,B667)),MAX($D$1:D666)+1,"")</f>
        <v>666</v>
      </c>
    </row>
    <row r="668" spans="1:4">
      <c r="A668" s="174" t="s">
        <v>1321</v>
      </c>
      <c r="B668" s="174" t="s">
        <v>1321</v>
      </c>
      <c r="C668" s="174" t="s">
        <v>1300</v>
      </c>
      <c r="D668" s="170">
        <f>IF(ISNUMBER(SEARCH(Checksheet!$U$11,B668)),MAX($D$1:D667)+1,"")</f>
        <v>667</v>
      </c>
    </row>
    <row r="669" spans="1:4">
      <c r="A669" s="174" t="s">
        <v>1322</v>
      </c>
      <c r="B669" s="174" t="s">
        <v>1322</v>
      </c>
      <c r="C669" s="174" t="s">
        <v>1300</v>
      </c>
      <c r="D669" s="170">
        <f>IF(ISNUMBER(SEARCH(Checksheet!$U$11,B669)),MAX($D$1:D668)+1,"")</f>
        <v>668</v>
      </c>
    </row>
    <row r="670" spans="1:4">
      <c r="A670" s="174" t="s">
        <v>1323</v>
      </c>
      <c r="B670" s="174" t="s">
        <v>1323</v>
      </c>
      <c r="C670" s="174" t="s">
        <v>1253</v>
      </c>
      <c r="D670" s="170">
        <f>IF(ISNUMBER(SEARCH(Checksheet!$U$11,B670)),MAX($D$1:D669)+1,"")</f>
        <v>669</v>
      </c>
    </row>
    <row r="671" spans="1:4">
      <c r="A671" s="174" t="s">
        <v>1324</v>
      </c>
      <c r="B671" s="174" t="s">
        <v>1324</v>
      </c>
      <c r="C671" s="174" t="s">
        <v>1325</v>
      </c>
      <c r="D671" s="170">
        <f>IF(ISNUMBER(SEARCH(Checksheet!$U$11,B671)),MAX($D$1:D670)+1,"")</f>
        <v>670</v>
      </c>
    </row>
    <row r="672" spans="1:4">
      <c r="A672" s="174" t="s">
        <v>1326</v>
      </c>
      <c r="B672" s="174" t="s">
        <v>1326</v>
      </c>
      <c r="C672" s="174" t="s">
        <v>1325</v>
      </c>
      <c r="D672" s="170">
        <f>IF(ISNUMBER(SEARCH(Checksheet!$U$11,B672)),MAX($D$1:D671)+1,"")</f>
        <v>671</v>
      </c>
    </row>
    <row r="673" spans="1:4">
      <c r="A673" s="174" t="s">
        <v>1327</v>
      </c>
      <c r="B673" s="174" t="s">
        <v>1327</v>
      </c>
      <c r="C673" s="174" t="s">
        <v>1328</v>
      </c>
      <c r="D673" s="170">
        <f>IF(ISNUMBER(SEARCH(Checksheet!$U$11,B673)),MAX($D$1:D672)+1,"")</f>
        <v>672</v>
      </c>
    </row>
    <row r="674" spans="1:4">
      <c r="A674" s="174" t="s">
        <v>1329</v>
      </c>
      <c r="B674" s="174" t="s">
        <v>1329</v>
      </c>
      <c r="C674" s="174" t="s">
        <v>1328</v>
      </c>
      <c r="D674" s="170">
        <f>IF(ISNUMBER(SEARCH(Checksheet!$U$11,B674)),MAX($D$1:D673)+1,"")</f>
        <v>673</v>
      </c>
    </row>
    <row r="675" spans="1:4">
      <c r="A675" s="174" t="s">
        <v>1330</v>
      </c>
      <c r="B675" s="174" t="s">
        <v>1330</v>
      </c>
      <c r="C675" s="174" t="s">
        <v>1328</v>
      </c>
      <c r="D675" s="170">
        <f>IF(ISNUMBER(SEARCH(Checksheet!$U$11,B675)),MAX($D$1:D674)+1,"")</f>
        <v>674</v>
      </c>
    </row>
    <row r="676" spans="1:4">
      <c r="A676" s="174" t="s">
        <v>1331</v>
      </c>
      <c r="B676" s="174" t="s">
        <v>1331</v>
      </c>
      <c r="C676" s="174" t="s">
        <v>1328</v>
      </c>
      <c r="D676" s="170">
        <f>IF(ISNUMBER(SEARCH(Checksheet!$U$11,B676)),MAX($D$1:D675)+1,"")</f>
        <v>675</v>
      </c>
    </row>
    <row r="677" spans="1:4">
      <c r="A677" s="174" t="s">
        <v>1332</v>
      </c>
      <c r="B677" s="174" t="s">
        <v>1332</v>
      </c>
      <c r="C677" s="174" t="s">
        <v>1328</v>
      </c>
      <c r="D677" s="170">
        <f>IF(ISNUMBER(SEARCH(Checksheet!$U$11,B677)),MAX($D$1:D676)+1,"")</f>
        <v>676</v>
      </c>
    </row>
    <row r="678" spans="1:4">
      <c r="A678" s="174" t="s">
        <v>1333</v>
      </c>
      <c r="B678" s="174" t="s">
        <v>1333</v>
      </c>
      <c r="C678" s="174" t="s">
        <v>1328</v>
      </c>
      <c r="D678" s="170">
        <f>IF(ISNUMBER(SEARCH(Checksheet!$U$11,B678)),MAX($D$1:D677)+1,"")</f>
        <v>677</v>
      </c>
    </row>
    <row r="679" spans="1:4">
      <c r="A679" s="174" t="s">
        <v>1334</v>
      </c>
      <c r="B679" s="174" t="s">
        <v>1334</v>
      </c>
      <c r="C679" s="174" t="s">
        <v>1328</v>
      </c>
      <c r="D679" s="170">
        <f>IF(ISNUMBER(SEARCH(Checksheet!$U$11,B679)),MAX($D$1:D678)+1,"")</f>
        <v>678</v>
      </c>
    </row>
    <row r="680" spans="1:4">
      <c r="A680" s="174" t="s">
        <v>1335</v>
      </c>
      <c r="B680" s="174" t="s">
        <v>1335</v>
      </c>
      <c r="C680" s="174" t="s">
        <v>1328</v>
      </c>
      <c r="D680" s="170">
        <f>IF(ISNUMBER(SEARCH(Checksheet!$U$11,B680)),MAX($D$1:D679)+1,"")</f>
        <v>679</v>
      </c>
    </row>
    <row r="681" spans="1:4">
      <c r="A681" s="174" t="s">
        <v>1336</v>
      </c>
      <c r="B681" s="174" t="s">
        <v>1336</v>
      </c>
      <c r="C681" s="174" t="s">
        <v>1328</v>
      </c>
      <c r="D681" s="170">
        <f>IF(ISNUMBER(SEARCH(Checksheet!$U$11,B681)),MAX($D$1:D680)+1,"")</f>
        <v>680</v>
      </c>
    </row>
    <row r="682" spans="1:4">
      <c r="A682" s="174" t="s">
        <v>1337</v>
      </c>
      <c r="B682" s="174" t="s">
        <v>1337</v>
      </c>
      <c r="C682" s="174" t="s">
        <v>1328</v>
      </c>
      <c r="D682" s="170">
        <f>IF(ISNUMBER(SEARCH(Checksheet!$U$11,B682)),MAX($D$1:D681)+1,"")</f>
        <v>681</v>
      </c>
    </row>
    <row r="683" spans="1:4">
      <c r="A683" s="174" t="s">
        <v>1338</v>
      </c>
      <c r="B683" s="174" t="s">
        <v>1338</v>
      </c>
      <c r="C683" s="174" t="s">
        <v>1328</v>
      </c>
      <c r="D683" s="170">
        <f>IF(ISNUMBER(SEARCH(Checksheet!$U$11,B683)),MAX($D$1:D682)+1,"")</f>
        <v>682</v>
      </c>
    </row>
    <row r="684" spans="1:4">
      <c r="A684" s="174" t="s">
        <v>1339</v>
      </c>
      <c r="B684" s="174" t="s">
        <v>1339</v>
      </c>
      <c r="C684" s="174" t="s">
        <v>1328</v>
      </c>
      <c r="D684" s="170">
        <f>IF(ISNUMBER(SEARCH(Checksheet!$U$11,B684)),MAX($D$1:D683)+1,"")</f>
        <v>683</v>
      </c>
    </row>
    <row r="685" spans="1:4">
      <c r="A685" s="174" t="s">
        <v>1340</v>
      </c>
      <c r="B685" s="174" t="s">
        <v>1340</v>
      </c>
      <c r="C685" s="174" t="s">
        <v>1328</v>
      </c>
      <c r="D685" s="170">
        <f>IF(ISNUMBER(SEARCH(Checksheet!$U$11,B685)),MAX($D$1:D684)+1,"")</f>
        <v>684</v>
      </c>
    </row>
    <row r="686" spans="1:4">
      <c r="A686" s="174" t="s">
        <v>1341</v>
      </c>
      <c r="B686" s="174" t="s">
        <v>1341</v>
      </c>
      <c r="C686" s="174" t="s">
        <v>1328</v>
      </c>
      <c r="D686" s="170">
        <f>IF(ISNUMBER(SEARCH(Checksheet!$U$11,B686)),MAX($D$1:D685)+1,"")</f>
        <v>685</v>
      </c>
    </row>
    <row r="687" spans="1:4">
      <c r="A687" s="174" t="s">
        <v>1342</v>
      </c>
      <c r="B687" s="174" t="s">
        <v>1342</v>
      </c>
      <c r="C687" s="174" t="s">
        <v>1328</v>
      </c>
      <c r="D687" s="170">
        <f>IF(ISNUMBER(SEARCH(Checksheet!$U$11,B687)),MAX($D$1:D686)+1,"")</f>
        <v>686</v>
      </c>
    </row>
    <row r="688" spans="1:4">
      <c r="A688" s="174" t="s">
        <v>1343</v>
      </c>
      <c r="B688" s="174" t="s">
        <v>1343</v>
      </c>
      <c r="C688" s="174" t="s">
        <v>1328</v>
      </c>
      <c r="D688" s="170">
        <f>IF(ISNUMBER(SEARCH(Checksheet!$U$11,B688)),MAX($D$1:D687)+1,"")</f>
        <v>687</v>
      </c>
    </row>
    <row r="689" spans="1:4">
      <c r="A689" s="174" t="s">
        <v>1344</v>
      </c>
      <c r="B689" s="174" t="s">
        <v>1344</v>
      </c>
      <c r="C689" s="174" t="s">
        <v>1328</v>
      </c>
      <c r="D689" s="170">
        <f>IF(ISNUMBER(SEARCH(Checksheet!$U$11,B689)),MAX($D$1:D688)+1,"")</f>
        <v>688</v>
      </c>
    </row>
    <row r="690" spans="1:4">
      <c r="A690" s="174" t="s">
        <v>1345</v>
      </c>
      <c r="B690" s="174" t="s">
        <v>1345</v>
      </c>
      <c r="C690" s="174" t="s">
        <v>1328</v>
      </c>
      <c r="D690" s="170">
        <f>IF(ISNUMBER(SEARCH(Checksheet!$U$11,B690)),MAX($D$1:D689)+1,"")</f>
        <v>689</v>
      </c>
    </row>
    <row r="691" spans="1:4">
      <c r="A691" s="174" t="s">
        <v>1346</v>
      </c>
      <c r="B691" s="174" t="s">
        <v>1346</v>
      </c>
      <c r="C691" s="174" t="s">
        <v>1328</v>
      </c>
      <c r="D691" s="170">
        <f>IF(ISNUMBER(SEARCH(Checksheet!$U$11,B691)),MAX($D$1:D690)+1,"")</f>
        <v>690</v>
      </c>
    </row>
    <row r="692" spans="1:4">
      <c r="A692" s="174" t="s">
        <v>1347</v>
      </c>
      <c r="B692" s="174" t="s">
        <v>1347</v>
      </c>
      <c r="C692" s="174" t="s">
        <v>1328</v>
      </c>
      <c r="D692" s="170">
        <f>IF(ISNUMBER(SEARCH(Checksheet!$U$11,B692)),MAX($D$1:D691)+1,"")</f>
        <v>691</v>
      </c>
    </row>
    <row r="693" spans="1:4">
      <c r="A693" s="174" t="s">
        <v>1348</v>
      </c>
      <c r="B693" s="174" t="s">
        <v>1348</v>
      </c>
      <c r="C693" s="174" t="s">
        <v>1328</v>
      </c>
      <c r="D693" s="170">
        <f>IF(ISNUMBER(SEARCH(Checksheet!$U$11,B693)),MAX($D$1:D692)+1,"")</f>
        <v>692</v>
      </c>
    </row>
    <row r="694" spans="1:4">
      <c r="A694" s="174" t="s">
        <v>1349</v>
      </c>
      <c r="B694" s="174" t="s">
        <v>1349</v>
      </c>
      <c r="C694" s="174" t="s">
        <v>1328</v>
      </c>
      <c r="D694" s="170">
        <f>IF(ISNUMBER(SEARCH(Checksheet!$U$11,B694)),MAX($D$1:D693)+1,"")</f>
        <v>693</v>
      </c>
    </row>
    <row r="695" spans="1:4">
      <c r="A695" s="174" t="s">
        <v>1350</v>
      </c>
      <c r="B695" s="174" t="s">
        <v>1350</v>
      </c>
      <c r="C695" s="174" t="s">
        <v>1328</v>
      </c>
      <c r="D695" s="170">
        <f>IF(ISNUMBER(SEARCH(Checksheet!$U$11,B695)),MAX($D$1:D694)+1,"")</f>
        <v>694</v>
      </c>
    </row>
    <row r="696" spans="1:4">
      <c r="A696" s="174" t="s">
        <v>1351</v>
      </c>
      <c r="B696" s="174" t="s">
        <v>1351</v>
      </c>
      <c r="C696" s="174" t="s">
        <v>1328</v>
      </c>
      <c r="D696" s="170">
        <f>IF(ISNUMBER(SEARCH(Checksheet!$U$11,B696)),MAX($D$1:D695)+1,"")</f>
        <v>695</v>
      </c>
    </row>
    <row r="697" spans="1:4">
      <c r="A697" s="174" t="s">
        <v>1352</v>
      </c>
      <c r="B697" s="174" t="s">
        <v>1352</v>
      </c>
      <c r="C697" s="174" t="s">
        <v>1328</v>
      </c>
      <c r="D697" s="170">
        <f>IF(ISNUMBER(SEARCH(Checksheet!$U$11,B697)),MAX($D$1:D696)+1,"")</f>
        <v>696</v>
      </c>
    </row>
    <row r="698" spans="1:4">
      <c r="A698" s="174" t="s">
        <v>1353</v>
      </c>
      <c r="B698" s="174" t="s">
        <v>1353</v>
      </c>
      <c r="C698" s="174" t="s">
        <v>1328</v>
      </c>
      <c r="D698" s="170">
        <f>IF(ISNUMBER(SEARCH(Checksheet!$U$11,B698)),MAX($D$1:D697)+1,"")</f>
        <v>697</v>
      </c>
    </row>
    <row r="699" spans="1:4">
      <c r="A699" s="174" t="s">
        <v>1354</v>
      </c>
      <c r="B699" s="174" t="s">
        <v>1354</v>
      </c>
      <c r="C699" s="174" t="s">
        <v>1328</v>
      </c>
      <c r="D699" s="170">
        <f>IF(ISNUMBER(SEARCH(Checksheet!$U$11,B699)),MAX($D$1:D698)+1,"")</f>
        <v>698</v>
      </c>
    </row>
    <row r="700" spans="1:4">
      <c r="A700" s="174" t="s">
        <v>1355</v>
      </c>
      <c r="B700" s="174" t="s">
        <v>1355</v>
      </c>
      <c r="C700" s="174" t="s">
        <v>1328</v>
      </c>
      <c r="D700" s="170">
        <f>IF(ISNUMBER(SEARCH(Checksheet!$U$11,B700)),MAX($D$1:D699)+1,"")</f>
        <v>699</v>
      </c>
    </row>
    <row r="701" spans="1:4">
      <c r="A701" s="174" t="s">
        <v>1356</v>
      </c>
      <c r="B701" s="174" t="s">
        <v>1356</v>
      </c>
      <c r="C701" s="174" t="s">
        <v>1328</v>
      </c>
      <c r="D701" s="170">
        <f>IF(ISNUMBER(SEARCH(Checksheet!$U$11,B701)),MAX($D$1:D700)+1,"")</f>
        <v>700</v>
      </c>
    </row>
    <row r="702" spans="1:4">
      <c r="A702" s="174" t="s">
        <v>1436</v>
      </c>
      <c r="B702" s="174" t="s">
        <v>1430</v>
      </c>
      <c r="C702" s="174" t="s">
        <v>1431</v>
      </c>
      <c r="D702" s="170">
        <f>IF(ISNUMBER(SEARCH(Checksheet!$U$11,B702)),MAX($D$1:D701)+1,"")</f>
        <v>701</v>
      </c>
    </row>
    <row r="703" spans="1:4">
      <c r="A703" s="174" t="s">
        <v>1435</v>
      </c>
      <c r="B703" s="174" t="s">
        <v>1432</v>
      </c>
      <c r="C703" s="174" t="s">
        <v>1431</v>
      </c>
      <c r="D703" s="170">
        <f>IF(ISNUMBER(SEARCH(Checksheet!$U$11,B703)),MAX($D$1:D702)+1,"")</f>
        <v>702</v>
      </c>
    </row>
    <row r="704" spans="1:4">
      <c r="A704" s="174" t="s">
        <v>1437</v>
      </c>
      <c r="B704" s="174" t="s">
        <v>1433</v>
      </c>
      <c r="C704" s="174" t="s">
        <v>1431</v>
      </c>
      <c r="D704" s="170">
        <f>IF(ISNUMBER(SEARCH(Checksheet!$U$11,B704)),MAX($D$1:D703)+1,"")</f>
        <v>703</v>
      </c>
    </row>
    <row r="705" spans="1:4">
      <c r="A705" s="174" t="s">
        <v>1438</v>
      </c>
      <c r="B705" s="174" t="s">
        <v>1434</v>
      </c>
      <c r="C705" s="174" t="s">
        <v>1431</v>
      </c>
      <c r="D705" s="170">
        <f>IF(ISNUMBER(SEARCH(Checksheet!$U$11,B705)),MAX($D$1:D704)+1,"")</f>
        <v>704</v>
      </c>
    </row>
    <row r="706" spans="1:4">
      <c r="A706" s="174" t="s">
        <v>1439</v>
      </c>
      <c r="B706" s="174" t="s">
        <v>1440</v>
      </c>
      <c r="C706" s="174" t="s">
        <v>1550</v>
      </c>
      <c r="D706" s="170">
        <f>IF(ISNUMBER(SEARCH(Checksheet!$U$11,B706)),MAX($D$1:D705)+1,"")</f>
        <v>705</v>
      </c>
    </row>
    <row r="707" spans="1:4">
      <c r="A707" s="174" t="s">
        <v>1441</v>
      </c>
      <c r="B707" s="174" t="s">
        <v>1442</v>
      </c>
      <c r="C707" s="174" t="s">
        <v>1443</v>
      </c>
      <c r="D707" s="170">
        <f>IF(ISNUMBER(SEARCH(Checksheet!$U$11,B707)),MAX($D$1:D706)+1,"")</f>
        <v>706</v>
      </c>
    </row>
    <row r="708" spans="1:4">
      <c r="A708" s="174" t="s">
        <v>1444</v>
      </c>
      <c r="B708" s="174" t="s">
        <v>1445</v>
      </c>
      <c r="C708" s="174" t="s">
        <v>85</v>
      </c>
      <c r="D708" s="170">
        <f>IF(ISNUMBER(SEARCH(Checksheet!$U$11,B708)),MAX($D$1:D707)+1,"")</f>
        <v>707</v>
      </c>
    </row>
    <row r="709" spans="1:4">
      <c r="A709" s="175" t="s">
        <v>1459</v>
      </c>
      <c r="B709" s="175" t="s">
        <v>1460</v>
      </c>
      <c r="C709" s="175" t="s">
        <v>378</v>
      </c>
      <c r="D709" s="170">
        <f>IF(ISNUMBER(SEARCH(Checksheet!$U$11,B709)),MAX($D$1:D708)+1,"")</f>
        <v>708</v>
      </c>
    </row>
    <row r="710" spans="1:4">
      <c r="A710" s="170" t="s">
        <v>1463</v>
      </c>
      <c r="B710" s="170" t="s">
        <v>1462</v>
      </c>
      <c r="C710" s="170" t="s">
        <v>85</v>
      </c>
      <c r="D710" s="170">
        <f>IF(ISNUMBER(SEARCH(Checksheet!$U$11,B710)),MAX($D$1:D709)+1,"")</f>
        <v>709</v>
      </c>
    </row>
    <row r="711" spans="1:4">
      <c r="A711" s="170" t="s">
        <v>1464</v>
      </c>
      <c r="B711" s="170" t="s">
        <v>1465</v>
      </c>
      <c r="C711" s="170" t="s">
        <v>85</v>
      </c>
      <c r="D711" s="170">
        <f>IF(ISNUMBER(SEARCH(Checksheet!$U$11,B711)),MAX($D$1:D710)+1,"")</f>
        <v>710</v>
      </c>
    </row>
    <row r="712" spans="1:4">
      <c r="A712" s="170" t="s">
        <v>1466</v>
      </c>
      <c r="B712" s="170" t="s">
        <v>1467</v>
      </c>
      <c r="C712" s="170" t="s">
        <v>378</v>
      </c>
      <c r="D712" s="170">
        <f>IF(ISNUMBER(SEARCH(Checksheet!$U$11,B712)),MAX($D$1:D711)+1,"")</f>
        <v>711</v>
      </c>
    </row>
    <row r="713" spans="1:4">
      <c r="A713" s="170" t="s">
        <v>1471</v>
      </c>
      <c r="B713" s="170" t="s">
        <v>1472</v>
      </c>
      <c r="C713" s="170" t="s">
        <v>85</v>
      </c>
      <c r="D713" s="170">
        <f>IF(ISNUMBER(SEARCH(Checksheet!$U$11,B713)),MAX($D$1:D712)+1,"")</f>
        <v>712</v>
      </c>
    </row>
    <row r="714" spans="1:4">
      <c r="A714" s="170" t="s">
        <v>1473</v>
      </c>
      <c r="B714" s="170" t="s">
        <v>1474</v>
      </c>
      <c r="C714" s="170" t="s">
        <v>85</v>
      </c>
      <c r="D714" s="170">
        <f>IF(ISNUMBER(SEARCH(Checksheet!$U$11,B714)),MAX($D$1:D713)+1,"")</f>
        <v>713</v>
      </c>
    </row>
    <row r="715" spans="1:4">
      <c r="A715" s="170" t="s">
        <v>1475</v>
      </c>
      <c r="B715" s="170" t="s">
        <v>1476</v>
      </c>
      <c r="C715" s="170" t="s">
        <v>85</v>
      </c>
      <c r="D715" s="170">
        <f>IF(ISNUMBER(SEARCH(Checksheet!$U$11,B715)),MAX($D$1:D714)+1,"")</f>
        <v>714</v>
      </c>
    </row>
    <row r="716" spans="1:4">
      <c r="A716" s="170" t="s">
        <v>1477</v>
      </c>
      <c r="B716" s="170" t="s">
        <v>1478</v>
      </c>
      <c r="C716" s="170" t="s">
        <v>85</v>
      </c>
      <c r="D716" s="170">
        <f>IF(ISNUMBER(SEARCH(Checksheet!$U$11,B716)),MAX($D$1:D715)+1,"")</f>
        <v>715</v>
      </c>
    </row>
    <row r="717" spans="1:4">
      <c r="A717" s="170" t="s">
        <v>1479</v>
      </c>
      <c r="B717" s="170" t="s">
        <v>1480</v>
      </c>
      <c r="C717" s="170" t="s">
        <v>85</v>
      </c>
      <c r="D717" s="170">
        <f>IF(ISNUMBER(SEARCH(Checksheet!$U$11,B717)),MAX($D$1:D716)+1,"")</f>
        <v>716</v>
      </c>
    </row>
    <row r="718" spans="1:4">
      <c r="A718" s="170" t="s">
        <v>1481</v>
      </c>
      <c r="B718" s="170" t="s">
        <v>1482</v>
      </c>
      <c r="C718" s="170" t="s">
        <v>85</v>
      </c>
      <c r="D718" s="170">
        <f>IF(ISNUMBER(SEARCH(Checksheet!$U$11,B718)),MAX($D$1:D717)+1,"")</f>
        <v>717</v>
      </c>
    </row>
    <row r="719" spans="1:4">
      <c r="A719" s="170" t="s">
        <v>1483</v>
      </c>
      <c r="B719" s="170" t="s">
        <v>1484</v>
      </c>
      <c r="C719" s="170" t="s">
        <v>1186</v>
      </c>
      <c r="D719" s="170">
        <f>IF(ISNUMBER(SEARCH(Checksheet!$U$11,B719)),MAX($D$1:D718)+1,"")</f>
        <v>718</v>
      </c>
    </row>
    <row r="720" spans="1:4">
      <c r="A720" s="170" t="s">
        <v>1502</v>
      </c>
      <c r="B720" s="170" t="s">
        <v>1503</v>
      </c>
      <c r="C720" s="170" t="s">
        <v>85</v>
      </c>
      <c r="D720" s="170">
        <f>IF(ISNUMBER(SEARCH(Checksheet!$U$11,B720)),MAX($D$1:D719)+1,"")</f>
        <v>719</v>
      </c>
    </row>
    <row r="721" spans="1:4">
      <c r="A721" s="170" t="s">
        <v>1504</v>
      </c>
      <c r="B721" s="170" t="s">
        <v>1505</v>
      </c>
      <c r="C721" s="170" t="s">
        <v>85</v>
      </c>
      <c r="D721" s="170">
        <f>IF(ISNUMBER(SEARCH(Checksheet!$U$11,B721)),MAX($D$1:D720)+1,"")</f>
        <v>720</v>
      </c>
    </row>
    <row r="722" spans="1:4">
      <c r="A722" s="170" t="s">
        <v>1506</v>
      </c>
      <c r="B722" s="170" t="s">
        <v>1507</v>
      </c>
      <c r="C722" s="170" t="s">
        <v>919</v>
      </c>
      <c r="D722" s="170">
        <f>IF(ISNUMBER(SEARCH(Checksheet!$U$11,B722)),MAX($D$1:D721)+1,"")</f>
        <v>721</v>
      </c>
    </row>
    <row r="723" spans="1:4">
      <c r="A723" s="170" t="s">
        <v>1508</v>
      </c>
      <c r="B723" s="170" t="s">
        <v>1509</v>
      </c>
      <c r="C723" s="170" t="s">
        <v>919</v>
      </c>
      <c r="D723" s="170">
        <f>IF(ISNUMBER(SEARCH(Checksheet!$U$11,B723)),MAX($D$1:D722)+1,"")</f>
        <v>722</v>
      </c>
    </row>
    <row r="724" spans="1:4">
      <c r="A724" s="170" t="s">
        <v>1510</v>
      </c>
      <c r="B724" s="170" t="s">
        <v>1510</v>
      </c>
      <c r="C724" s="170" t="s">
        <v>1253</v>
      </c>
      <c r="D724" s="170">
        <f>IF(ISNUMBER(SEARCH(Checksheet!$U$11,B724)),MAX($D$1:D723)+1,"")</f>
        <v>723</v>
      </c>
    </row>
    <row r="725" spans="1:4" ht="15.75">
      <c r="A725" s="187" t="s">
        <v>1515</v>
      </c>
      <c r="B725" s="188" t="s">
        <v>1514</v>
      </c>
      <c r="C725" s="189" t="s">
        <v>85</v>
      </c>
      <c r="D725" s="170">
        <f>IF(ISNUMBER(SEARCH(Checksheet!$U$11,B725)),MAX($D$1:D724)+1,"")</f>
        <v>724</v>
      </c>
    </row>
    <row r="726" spans="1:4" ht="15.75">
      <c r="A726" s="180" t="s">
        <v>1544</v>
      </c>
      <c r="B726" s="181" t="s">
        <v>1545</v>
      </c>
      <c r="C726" s="182" t="s">
        <v>1548</v>
      </c>
      <c r="D726" s="170">
        <f>IF(ISNUMBER(SEARCH(Checksheet!$U$11,B726)),MAX($D$1:D725)+1,"")</f>
        <v>725</v>
      </c>
    </row>
    <row r="727" spans="1:4">
      <c r="A727" s="174" t="s">
        <v>1520</v>
      </c>
      <c r="B727" s="174" t="s">
        <v>1521</v>
      </c>
      <c r="C727" s="174" t="s">
        <v>1548</v>
      </c>
      <c r="D727" s="170">
        <f>IF(ISNUMBER(SEARCH(Checksheet!$U$11,B727)),MAX($D$1:D726)+1,"")</f>
        <v>726</v>
      </c>
    </row>
    <row r="728" spans="1:4">
      <c r="A728" s="174" t="s">
        <v>1522</v>
      </c>
      <c r="B728" s="174" t="s">
        <v>1523</v>
      </c>
      <c r="C728" s="174" t="s">
        <v>1549</v>
      </c>
      <c r="D728" s="170">
        <f>IF(ISNUMBER(SEARCH(Checksheet!$U$11,B728)),MAX($D$1:D727)+1,"")</f>
        <v>727</v>
      </c>
    </row>
    <row r="729" spans="1:4">
      <c r="A729" s="174" t="s">
        <v>1524</v>
      </c>
      <c r="B729" s="174" t="s">
        <v>1525</v>
      </c>
      <c r="C729" s="174" t="s">
        <v>85</v>
      </c>
      <c r="D729" s="170">
        <f>IF(ISNUMBER(SEARCH(Checksheet!$U$11,B729)),MAX($D$1:D728)+1,"")</f>
        <v>728</v>
      </c>
    </row>
    <row r="730" spans="1:4">
      <c r="A730" s="174" t="s">
        <v>1526</v>
      </c>
      <c r="B730" s="174" t="s">
        <v>1527</v>
      </c>
      <c r="C730" s="174" t="s">
        <v>378</v>
      </c>
      <c r="D730" s="170">
        <f>IF(ISNUMBER(SEARCH(Checksheet!$U$11,B730)),MAX($D$1:D729)+1,"")</f>
        <v>729</v>
      </c>
    </row>
    <row r="731" spans="1:4">
      <c r="A731" s="174" t="s">
        <v>1528</v>
      </c>
      <c r="B731" s="174" t="s">
        <v>1529</v>
      </c>
      <c r="C731" s="174" t="s">
        <v>919</v>
      </c>
      <c r="D731" s="170">
        <f>IF(ISNUMBER(SEARCH(Checksheet!$U$11,B731)),MAX($D$1:D730)+1,"")</f>
        <v>730</v>
      </c>
    </row>
    <row r="732" spans="1:4">
      <c r="A732" s="174" t="s">
        <v>1530</v>
      </c>
      <c r="B732" s="174" t="s">
        <v>1531</v>
      </c>
      <c r="C732" s="174" t="s">
        <v>919</v>
      </c>
      <c r="D732" s="170">
        <f>IF(ISNUMBER(SEARCH(Checksheet!$U$11,B732)),MAX($D$1:D731)+1,"")</f>
        <v>731</v>
      </c>
    </row>
    <row r="733" spans="1:4">
      <c r="A733" s="174" t="s">
        <v>1532</v>
      </c>
      <c r="B733" s="174" t="s">
        <v>1533</v>
      </c>
      <c r="C733" s="174" t="s">
        <v>919</v>
      </c>
      <c r="D733" s="170">
        <f>IF(ISNUMBER(SEARCH(Checksheet!$U$11,B733)),MAX($D$1:D732)+1,"")</f>
        <v>732</v>
      </c>
    </row>
    <row r="734" spans="1:4">
      <c r="A734" s="174" t="s">
        <v>1534</v>
      </c>
      <c r="B734" s="174" t="s">
        <v>1535</v>
      </c>
      <c r="C734" s="174" t="s">
        <v>919</v>
      </c>
      <c r="D734" s="170">
        <f>IF(ISNUMBER(SEARCH(Checksheet!$U$11,B734)),MAX($D$1:D733)+1,"")</f>
        <v>733</v>
      </c>
    </row>
    <row r="735" spans="1:4">
      <c r="A735" s="174" t="s">
        <v>1536</v>
      </c>
      <c r="B735" s="174" t="s">
        <v>1537</v>
      </c>
      <c r="C735" s="174" t="s">
        <v>919</v>
      </c>
      <c r="D735" s="170">
        <f>IF(ISNUMBER(SEARCH(Checksheet!$U$11,B735)),MAX($D$1:D734)+1,"")</f>
        <v>734</v>
      </c>
    </row>
    <row r="736" spans="1:4">
      <c r="A736" s="174" t="s">
        <v>1538</v>
      </c>
      <c r="B736" s="174" t="s">
        <v>1539</v>
      </c>
      <c r="C736" s="174" t="s">
        <v>919</v>
      </c>
      <c r="D736" s="170">
        <f>IF(ISNUMBER(SEARCH(Checksheet!$U$11,B736)),MAX($D$1:D735)+1,"")</f>
        <v>735</v>
      </c>
    </row>
    <row r="737" spans="1:5">
      <c r="A737" s="174" t="s">
        <v>1540</v>
      </c>
      <c r="B737" s="174" t="s">
        <v>1541</v>
      </c>
      <c r="C737" s="174" t="s">
        <v>1186</v>
      </c>
      <c r="D737" s="170">
        <f>IF(ISNUMBER(SEARCH(Checksheet!$U$11,B737)),MAX($D$1:D736)+1,"")</f>
        <v>736</v>
      </c>
    </row>
    <row r="738" spans="1:5" ht="15.75">
      <c r="A738" s="180" t="s">
        <v>1546</v>
      </c>
      <c r="B738" s="181" t="s">
        <v>1547</v>
      </c>
      <c r="C738" s="182" t="s">
        <v>85</v>
      </c>
      <c r="D738" s="170">
        <f>IF(ISNUMBER(SEARCH(Checksheet!$U$11,B738)),MAX($D$1:D737)+1,"")</f>
        <v>737</v>
      </c>
    </row>
    <row r="739" spans="1:5" ht="15.75">
      <c r="A739" s="180" t="s">
        <v>1551</v>
      </c>
      <c r="B739" s="183" t="s">
        <v>1552</v>
      </c>
      <c r="C739" s="174" t="s">
        <v>1186</v>
      </c>
      <c r="D739" s="170">
        <f>IF(ISNUMBER(SEARCH(Checksheet!$U$11,B739)),MAX($D$1:D738)+1,"")</f>
        <v>738</v>
      </c>
    </row>
    <row r="740" spans="1:5" ht="16.5" thickBot="1">
      <c r="A740" s="184" t="s">
        <v>1553</v>
      </c>
      <c r="B740" s="185" t="s">
        <v>1554</v>
      </c>
      <c r="C740" s="186" t="s">
        <v>85</v>
      </c>
      <c r="D740" s="170">
        <f>IF(ISNUMBER(SEARCH(Checksheet!$U$11,B740)),MAX($D$1:D739)+1,"")</f>
        <v>739</v>
      </c>
      <c r="E740" s="190"/>
    </row>
    <row r="741" spans="1:5" ht="15.75">
      <c r="A741" s="180" t="s">
        <v>1556</v>
      </c>
      <c r="B741" s="180" t="s">
        <v>1556</v>
      </c>
      <c r="C741" s="174" t="s">
        <v>1328</v>
      </c>
      <c r="D741" s="170">
        <f>IF(ISNUMBER(SEARCH(Checksheet!$U$11,B741)),MAX($D$1:D740)+1,"")</f>
        <v>740</v>
      </c>
    </row>
    <row r="742" spans="1:5">
      <c r="A742" s="165" t="s">
        <v>1557</v>
      </c>
      <c r="B742" s="165" t="s">
        <v>1557</v>
      </c>
      <c r="C742" s="174" t="s">
        <v>1253</v>
      </c>
      <c r="D742" s="170">
        <f>IF(ISNUMBER(SEARCH(Checksheet!$U$11,B742)),MAX($D$1:D741)+1,"")</f>
        <v>741</v>
      </c>
    </row>
    <row r="743" spans="1:5">
      <c r="A743" s="174" t="s">
        <v>1558</v>
      </c>
      <c r="B743" s="174" t="s">
        <v>1558</v>
      </c>
      <c r="C743" s="174" t="s">
        <v>1289</v>
      </c>
      <c r="D743" s="170">
        <f>IF(ISNUMBER(SEARCH(Checksheet!$U$11,B743)),MAX($D$1:D742)+1,"")</f>
        <v>742</v>
      </c>
    </row>
    <row r="744" spans="1:5">
      <c r="A744" s="174"/>
      <c r="B744" s="174"/>
      <c r="C744" s="174"/>
      <c r="D744" s="170" t="str">
        <f>IF(ISNUMBER(SEARCH(Checksheet!$U$11,B744)),MAX($D$1:D743)+1,"")</f>
        <v/>
      </c>
    </row>
    <row r="745" spans="1:5">
      <c r="A745" s="174"/>
      <c r="B745" s="174"/>
      <c r="C745" s="174"/>
      <c r="D745" s="170" t="str">
        <f>IF(ISNUMBER(SEARCH(Checksheet!$U$11,B745)),MAX($D$1:D744)+1,"")</f>
        <v/>
      </c>
    </row>
    <row r="746" spans="1:5">
      <c r="A746" s="174"/>
      <c r="B746" s="174"/>
      <c r="C746" s="174"/>
      <c r="D746" s="170" t="str">
        <f>IF(ISNUMBER(SEARCH(Checksheet!$U$11,B746)),MAX($D$1:D745)+1,"")</f>
        <v/>
      </c>
    </row>
    <row r="747" spans="1:5">
      <c r="A747" s="174"/>
      <c r="B747" s="174"/>
      <c r="C747" s="174"/>
      <c r="D747" s="170" t="str">
        <f>IF(ISNUMBER(SEARCH(Checksheet!$U$11,B747)),MAX($D$1:D746)+1,"")</f>
        <v/>
      </c>
    </row>
    <row r="748" spans="1:5">
      <c r="A748" s="174"/>
      <c r="B748" s="174"/>
      <c r="C748" s="174"/>
      <c r="D748" s="170" t="str">
        <f>IF(ISNUMBER(SEARCH(Checksheet!$U$11,B748)),MAX($D$1:D747)+1,"")</f>
        <v/>
      </c>
    </row>
    <row r="749" spans="1:5">
      <c r="A749" s="174"/>
      <c r="B749" s="174"/>
      <c r="C749" s="174"/>
      <c r="D749" s="170" t="str">
        <f>IF(ISNUMBER(SEARCH(Checksheet!$U$11,B749)),MAX($D$1:D748)+1,"")</f>
        <v/>
      </c>
    </row>
    <row r="750" spans="1:5">
      <c r="A750" s="174"/>
      <c r="B750" s="174"/>
      <c r="C750" s="174"/>
      <c r="D750" s="170" t="str">
        <f>IF(ISNUMBER(SEARCH(Checksheet!$U$11,B750)),MAX($D$1:D749)+1,"")</f>
        <v/>
      </c>
    </row>
    <row r="751" spans="1:5">
      <c r="D751" s="170" t="str">
        <f>IF(ISNUMBER(SEARCH(Checksheet!$U$11,B751)),MAX($D$1:D750)+1,"")</f>
        <v/>
      </c>
    </row>
    <row r="752" spans="1:5">
      <c r="D752" s="170" t="str">
        <f>IF(ISNUMBER(SEARCH(Checksheet!$U$11,B752)),MAX($D$1:D751)+1,"")</f>
        <v/>
      </c>
    </row>
    <row r="753" spans="4:4">
      <c r="D753" s="170" t="str">
        <f>IF(ISNUMBER(SEARCH(Checksheet!$U$11,B753)),MAX($D$1:D752)+1,"")</f>
        <v/>
      </c>
    </row>
    <row r="754" spans="4:4">
      <c r="D754" s="170" t="str">
        <f>IF(ISNUMBER(SEARCH(Checksheet!$U$11,B754)),MAX($D$1:D753)+1,"")</f>
        <v/>
      </c>
    </row>
    <row r="755" spans="4:4">
      <c r="D755" s="170" t="str">
        <f>IF(ISNUMBER(SEARCH(Checksheet!$U$11,B755)),MAX($D$1:D754)+1,"")</f>
        <v/>
      </c>
    </row>
    <row r="756" spans="4:4">
      <c r="D756" s="170" t="str">
        <f>IF(ISNUMBER(SEARCH(Checksheet!$U$11,B756)),MAX($D$1:D755)+1,"")</f>
        <v/>
      </c>
    </row>
    <row r="757" spans="4:4">
      <c r="D757" s="170" t="str">
        <f>IF(ISNUMBER(SEARCH(Checksheet!$U$11,B757)),MAX($D$1:D756)+1,"")</f>
        <v/>
      </c>
    </row>
    <row r="758" spans="4:4">
      <c r="D758" s="170" t="str">
        <f>IF(ISNUMBER(SEARCH(Checksheet!$U$11,B758)),MAX($D$1:D757)+1,"")</f>
        <v/>
      </c>
    </row>
    <row r="759" spans="4:4">
      <c r="D759" s="170" t="str">
        <f>IF(ISNUMBER(SEARCH(Checksheet!$U$11,B759)),MAX($D$1:D758)+1,"")</f>
        <v/>
      </c>
    </row>
    <row r="760" spans="4:4">
      <c r="D760" s="170" t="str">
        <f>IF(ISNUMBER(SEARCH(Checksheet!$U$11,B760)),MAX($D$1:D759)+1,"")</f>
        <v/>
      </c>
    </row>
    <row r="761" spans="4:4">
      <c r="D761" s="170" t="str">
        <f>IF(ISNUMBER(SEARCH(Checksheet!$U$11,B761)),MAX($D$1:D760)+1,"")</f>
        <v/>
      </c>
    </row>
    <row r="762" spans="4:4">
      <c r="D762" s="170" t="str">
        <f>IF(ISNUMBER(SEARCH(Checksheet!$U$11,B762)),MAX($D$1:D761)+1,"")</f>
        <v/>
      </c>
    </row>
    <row r="763" spans="4:4">
      <c r="D763" s="170" t="str">
        <f>IF(ISNUMBER(SEARCH(Checksheet!$U$11,B763)),MAX($D$1:D762)+1,"")</f>
        <v/>
      </c>
    </row>
    <row r="764" spans="4:4">
      <c r="D764" s="170" t="str">
        <f>IF(ISNUMBER(SEARCH(Checksheet!$U$11,B764)),MAX($D$1:D763)+1,"")</f>
        <v/>
      </c>
    </row>
    <row r="765" spans="4:4">
      <c r="D765" s="170" t="str">
        <f>IF(ISNUMBER(SEARCH(Checksheet!$U$11,B765)),MAX($D$1:D764)+1,"")</f>
        <v/>
      </c>
    </row>
    <row r="766" spans="4:4">
      <c r="D766" s="170" t="str">
        <f>IF(ISNUMBER(SEARCH(Checksheet!$U$11,B766)),MAX($D$1:D765)+1,"")</f>
        <v/>
      </c>
    </row>
    <row r="767" spans="4:4">
      <c r="D767" s="170" t="str">
        <f>IF(ISNUMBER(SEARCH(Checksheet!$U$11,B767)),MAX($D$1:D766)+1,"")</f>
        <v/>
      </c>
    </row>
    <row r="768" spans="4:4">
      <c r="D768" s="170" t="str">
        <f>IF(ISNUMBER(SEARCH(Checksheet!$U$11,B768)),MAX($D$1:D767)+1,"")</f>
        <v/>
      </c>
    </row>
    <row r="769" spans="4:4">
      <c r="D769" s="170" t="str">
        <f>IF(ISNUMBER(SEARCH(Checksheet!$U$11,B769)),MAX($D$1:D768)+1,"")</f>
        <v/>
      </c>
    </row>
    <row r="770" spans="4:4">
      <c r="D770" s="170" t="str">
        <f>IF(ISNUMBER(SEARCH(Checksheet!$U$11,B770)),MAX($D$1:D769)+1,"")</f>
        <v/>
      </c>
    </row>
    <row r="771" spans="4:4">
      <c r="D771" s="170" t="str">
        <f>IF(ISNUMBER(SEARCH(Checksheet!$U$11,B771)),MAX($D$1:D770)+1,"")</f>
        <v/>
      </c>
    </row>
    <row r="772" spans="4:4">
      <c r="D772" s="170" t="str">
        <f>IF(ISNUMBER(SEARCH(Checksheet!$U$11,B772)),MAX($D$1:D771)+1,"")</f>
        <v/>
      </c>
    </row>
    <row r="773" spans="4:4">
      <c r="D773" s="170" t="str">
        <f>IF(ISNUMBER(SEARCH(Checksheet!$U$11,B773)),MAX($D$1:D772)+1,"")</f>
        <v/>
      </c>
    </row>
    <row r="774" spans="4:4">
      <c r="D774" s="170" t="str">
        <f>IF(ISNUMBER(SEARCH(Checksheet!$U$11,B774)),MAX($D$1:D773)+1,"")</f>
        <v/>
      </c>
    </row>
    <row r="775" spans="4:4">
      <c r="D775" s="170" t="str">
        <f>IF(ISNUMBER(SEARCH(Checksheet!$U$11,B775)),MAX($D$1:D774)+1,"")</f>
        <v/>
      </c>
    </row>
    <row r="776" spans="4:4">
      <c r="D776" s="170" t="str">
        <f>IF(ISNUMBER(SEARCH(Checksheet!$U$11,B776)),MAX($D$1:D775)+1,"")</f>
        <v/>
      </c>
    </row>
    <row r="777" spans="4:4">
      <c r="D777" s="170" t="str">
        <f>IF(ISNUMBER(SEARCH(Checksheet!$U$11,B777)),MAX($D$1:D776)+1,"")</f>
        <v/>
      </c>
    </row>
    <row r="778" spans="4:4">
      <c r="D778" s="170" t="str">
        <f>IF(ISNUMBER(SEARCH(Checksheet!$U$11,B778)),MAX($D$1:D777)+1,"")</f>
        <v/>
      </c>
    </row>
    <row r="779" spans="4:4">
      <c r="D779" s="170" t="str">
        <f>IF(ISNUMBER(SEARCH(Checksheet!$U$11,B779)),MAX($D$1:D778)+1,"")</f>
        <v/>
      </c>
    </row>
    <row r="780" spans="4:4">
      <c r="D780" s="170" t="str">
        <f>IF(ISNUMBER(SEARCH(Checksheet!$U$11,B780)),MAX($D$1:D779)+1,"")</f>
        <v/>
      </c>
    </row>
    <row r="781" spans="4:4">
      <c r="D781" s="170" t="str">
        <f>IF(ISNUMBER(SEARCH(Checksheet!$U$11,B781)),MAX($D$1:D780)+1,"")</f>
        <v/>
      </c>
    </row>
    <row r="782" spans="4:4">
      <c r="D782" s="170" t="str">
        <f>IF(ISNUMBER(SEARCH(Checksheet!$U$11,B782)),MAX($D$1:D781)+1,"")</f>
        <v/>
      </c>
    </row>
    <row r="783" spans="4:4">
      <c r="D783" s="170" t="str">
        <f>IF(ISNUMBER(SEARCH(Checksheet!$U$11,B783)),MAX($D$1:D782)+1,"")</f>
        <v/>
      </c>
    </row>
    <row r="784" spans="4:4">
      <c r="D784" s="170" t="str">
        <f>IF(ISNUMBER(SEARCH(Checksheet!$U$11,B784)),MAX($D$1:D783)+1,"")</f>
        <v/>
      </c>
    </row>
    <row r="785" spans="4:4">
      <c r="D785" s="170" t="str">
        <f>IF(ISNUMBER(SEARCH(Checksheet!$U$11,B785)),MAX($D$1:D784)+1,"")</f>
        <v/>
      </c>
    </row>
    <row r="786" spans="4:4">
      <c r="D786" s="170" t="str">
        <f>IF(ISNUMBER(SEARCH(Checksheet!$U$11,B786)),MAX($D$1:D785)+1,"")</f>
        <v/>
      </c>
    </row>
    <row r="787" spans="4:4">
      <c r="D787" s="170" t="str">
        <f>IF(ISNUMBER(SEARCH(Checksheet!$U$11,B787)),MAX($D$1:D786)+1,"")</f>
        <v/>
      </c>
    </row>
    <row r="788" spans="4:4">
      <c r="D788" s="170" t="str">
        <f>IF(ISNUMBER(SEARCH(Checksheet!$U$11,B788)),MAX($D$1:D787)+1,"")</f>
        <v/>
      </c>
    </row>
    <row r="789" spans="4:4">
      <c r="D789" s="170" t="str">
        <f>IF(ISNUMBER(SEARCH(Checksheet!$U$11,B789)),MAX($D$1:D788)+1,"")</f>
        <v/>
      </c>
    </row>
    <row r="790" spans="4:4">
      <c r="D790" s="170" t="str">
        <f>IF(ISNUMBER(SEARCH(Checksheet!$U$11,B790)),MAX($D$1:D789)+1,"")</f>
        <v/>
      </c>
    </row>
    <row r="791" spans="4:4">
      <c r="D791" s="170" t="str">
        <f>IF(ISNUMBER(SEARCH(Checksheet!$U$11,B791)),MAX($D$1:D790)+1,"")</f>
        <v/>
      </c>
    </row>
    <row r="792" spans="4:4">
      <c r="D792" s="170" t="str">
        <f>IF(ISNUMBER(SEARCH(Checksheet!$U$11,B792)),MAX($D$1:D791)+1,"")</f>
        <v/>
      </c>
    </row>
    <row r="793" spans="4:4">
      <c r="D793" s="170" t="str">
        <f>IF(ISNUMBER(SEARCH(Checksheet!$U$11,B793)),MAX($D$1:D792)+1,"")</f>
        <v/>
      </c>
    </row>
    <row r="794" spans="4:4">
      <c r="D794" s="170" t="str">
        <f>IF(ISNUMBER(SEARCH(Checksheet!$U$11,B794)),MAX($D$1:D793)+1,"")</f>
        <v/>
      </c>
    </row>
    <row r="795" spans="4:4">
      <c r="D795" s="170" t="str">
        <f>IF(ISNUMBER(SEARCH(Checksheet!$U$11,B795)),MAX($D$1:D794)+1,"")</f>
        <v/>
      </c>
    </row>
    <row r="796" spans="4:4">
      <c r="D796" s="170" t="str">
        <f>IF(ISNUMBER(SEARCH(Checksheet!$U$11,B796)),MAX($D$1:D795)+1,"")</f>
        <v/>
      </c>
    </row>
    <row r="797" spans="4:4">
      <c r="D797" s="170" t="str">
        <f>IF(ISNUMBER(SEARCH(Checksheet!$U$11,B797)),MAX($D$1:D796)+1,"")</f>
        <v/>
      </c>
    </row>
    <row r="798" spans="4:4">
      <c r="D798" s="170" t="str">
        <f>IF(ISNUMBER(SEARCH(Checksheet!$U$11,B798)),MAX($D$1:D797)+1,"")</f>
        <v/>
      </c>
    </row>
    <row r="799" spans="4:4">
      <c r="D799" s="170" t="str">
        <f>IF(ISNUMBER(SEARCH(Checksheet!$U$11,B799)),MAX($D$1:D798)+1,"")</f>
        <v/>
      </c>
    </row>
    <row r="800" spans="4:4">
      <c r="D800" s="170" t="str">
        <f>IF(ISNUMBER(SEARCH(Checksheet!$U$11,B800)),MAX($D$1:D799)+1,"")</f>
        <v/>
      </c>
    </row>
    <row r="801" spans="4:4">
      <c r="D801" s="170" t="str">
        <f>IF(ISNUMBER(SEARCH(Checksheet!$U$11,B801)),MAX($D$1:D800)+1,"")</f>
        <v/>
      </c>
    </row>
    <row r="802" spans="4:4">
      <c r="D802" s="170" t="str">
        <f>IF(ISNUMBER(SEARCH(Checksheet!$U$11,B802)),MAX($D$1:D801)+1,"")</f>
        <v/>
      </c>
    </row>
    <row r="803" spans="4:4">
      <c r="D803" s="170" t="str">
        <f>IF(ISNUMBER(SEARCH(Checksheet!$U$11,B803)),MAX($D$1:D802)+1,"")</f>
        <v/>
      </c>
    </row>
    <row r="804" spans="4:4">
      <c r="D804" s="170" t="str">
        <f>IF(ISNUMBER(SEARCH(Checksheet!$U$11,B804)),MAX($D$1:D803)+1,"")</f>
        <v/>
      </c>
    </row>
    <row r="805" spans="4:4">
      <c r="D805" s="170" t="str">
        <f>IF(ISNUMBER(SEARCH(Checksheet!$U$11,B805)),MAX($D$1:D804)+1,"")</f>
        <v/>
      </c>
    </row>
    <row r="806" spans="4:4">
      <c r="D806" s="170" t="str">
        <f>IF(ISNUMBER(SEARCH(Checksheet!$U$11,B806)),MAX($D$1:D805)+1,"")</f>
        <v/>
      </c>
    </row>
    <row r="807" spans="4:4">
      <c r="D807" s="170" t="str">
        <f>IF(ISNUMBER(SEARCH(Checksheet!$U$11,B807)),MAX($D$1:D806)+1,"")</f>
        <v/>
      </c>
    </row>
    <row r="808" spans="4:4">
      <c r="D808" s="170" t="str">
        <f>IF(ISNUMBER(SEARCH(Checksheet!$U$11,B808)),MAX($D$1:D807)+1,"")</f>
        <v/>
      </c>
    </row>
    <row r="809" spans="4:4">
      <c r="D809" s="170" t="str">
        <f>IF(ISNUMBER(SEARCH(Checksheet!$U$11,B809)),MAX($D$1:D808)+1,"")</f>
        <v/>
      </c>
    </row>
    <row r="810" spans="4:4">
      <c r="D810" s="170" t="str">
        <f>IF(ISNUMBER(SEARCH(Checksheet!$U$11,B810)),MAX($D$1:D809)+1,"")</f>
        <v/>
      </c>
    </row>
    <row r="811" spans="4:4">
      <c r="D811" s="170" t="str">
        <f>IF(ISNUMBER(SEARCH(Checksheet!$U$11,B811)),MAX($D$1:D810)+1,"")</f>
        <v/>
      </c>
    </row>
    <row r="812" spans="4:4">
      <c r="D812" s="170" t="str">
        <f>IF(ISNUMBER(SEARCH(Checksheet!$U$11,B812)),MAX($D$1:D811)+1,"")</f>
        <v/>
      </c>
    </row>
    <row r="813" spans="4:4">
      <c r="D813" s="170" t="str">
        <f>IF(ISNUMBER(SEARCH(Checksheet!$U$11,B813)),MAX($D$1:D812)+1,"")</f>
        <v/>
      </c>
    </row>
    <row r="814" spans="4:4">
      <c r="D814" s="170" t="str">
        <f>IF(ISNUMBER(SEARCH(Checksheet!$U$11,B814)),MAX($D$1:D813)+1,"")</f>
        <v/>
      </c>
    </row>
    <row r="815" spans="4:4">
      <c r="D815" s="170" t="str">
        <f>IF(ISNUMBER(SEARCH(Checksheet!$U$11,B815)),MAX($D$1:D814)+1,"")</f>
        <v/>
      </c>
    </row>
    <row r="816" spans="4:4">
      <c r="D816" s="170" t="str">
        <f>IF(ISNUMBER(SEARCH(Checksheet!$U$11,B816)),MAX($D$1:D815)+1,"")</f>
        <v/>
      </c>
    </row>
    <row r="817" spans="4:4">
      <c r="D817" s="170" t="str">
        <f>IF(ISNUMBER(SEARCH(Checksheet!$U$11,B817)),MAX($D$1:D816)+1,"")</f>
        <v/>
      </c>
    </row>
    <row r="818" spans="4:4">
      <c r="D818" s="170" t="str">
        <f>IF(ISNUMBER(SEARCH(Checksheet!$U$11,B818)),MAX($D$1:D817)+1,"")</f>
        <v/>
      </c>
    </row>
    <row r="819" spans="4:4">
      <c r="D819" s="170" t="str">
        <f>IF(ISNUMBER(SEARCH(Checksheet!$U$11,B819)),MAX($D$1:D818)+1,"")</f>
        <v/>
      </c>
    </row>
    <row r="820" spans="4:4">
      <c r="D820" s="170" t="str">
        <f>IF(ISNUMBER(SEARCH(Checksheet!$U$11,B820)),MAX($D$1:D819)+1,"")</f>
        <v/>
      </c>
    </row>
    <row r="821" spans="4:4">
      <c r="D821" s="170" t="str">
        <f>IF(ISNUMBER(SEARCH(Checksheet!$U$11,B821)),MAX($D$1:D820)+1,"")</f>
        <v/>
      </c>
    </row>
    <row r="822" spans="4:4">
      <c r="D822" s="170" t="str">
        <f>IF(ISNUMBER(SEARCH(Checksheet!$U$11,B822)),MAX($D$1:D821)+1,"")</f>
        <v/>
      </c>
    </row>
    <row r="823" spans="4:4">
      <c r="D823" s="170" t="str">
        <f>IF(ISNUMBER(SEARCH(Checksheet!$U$11,B823)),MAX($D$1:D822)+1,"")</f>
        <v/>
      </c>
    </row>
    <row r="824" spans="4:4">
      <c r="D824" s="170" t="str">
        <f>IF(ISNUMBER(SEARCH(Checksheet!$U$11,B824)),MAX($D$1:D823)+1,"")</f>
        <v/>
      </c>
    </row>
    <row r="825" spans="4:4">
      <c r="D825" s="170" t="str">
        <f>IF(ISNUMBER(SEARCH(Checksheet!$U$11,B825)),MAX($D$1:D824)+1,"")</f>
        <v/>
      </c>
    </row>
    <row r="826" spans="4:4">
      <c r="D826" s="170" t="str">
        <f>IF(ISNUMBER(SEARCH(Checksheet!$U$11,B826)),MAX($D$1:D825)+1,"")</f>
        <v/>
      </c>
    </row>
    <row r="827" spans="4:4">
      <c r="D827" s="170" t="str">
        <f>IF(ISNUMBER(SEARCH(Checksheet!$U$11,B827)),MAX($D$1:D826)+1,"")</f>
        <v/>
      </c>
    </row>
    <row r="828" spans="4:4">
      <c r="D828" s="170" t="str">
        <f>IF(ISNUMBER(SEARCH(Checksheet!$U$11,B828)),MAX($D$1:D827)+1,"")</f>
        <v/>
      </c>
    </row>
    <row r="829" spans="4:4">
      <c r="D829" s="170" t="str">
        <f>IF(ISNUMBER(SEARCH(Checksheet!$U$11,B829)),MAX($D$1:D828)+1,"")</f>
        <v/>
      </c>
    </row>
    <row r="830" spans="4:4">
      <c r="D830" s="170" t="str">
        <f>IF(ISNUMBER(SEARCH(Checksheet!$U$11,B830)),MAX($D$1:D829)+1,"")</f>
        <v/>
      </c>
    </row>
    <row r="831" spans="4:4">
      <c r="D831" s="170" t="str">
        <f>IF(ISNUMBER(SEARCH(Checksheet!$U$11,B831)),MAX($D$1:D830)+1,"")</f>
        <v/>
      </c>
    </row>
    <row r="832" spans="4:4">
      <c r="D832" s="170" t="str">
        <f>IF(ISNUMBER(SEARCH(Checksheet!$U$11,B832)),MAX($D$1:D831)+1,"")</f>
        <v/>
      </c>
    </row>
    <row r="833" spans="4:4">
      <c r="D833" s="170" t="str">
        <f>IF(ISNUMBER(SEARCH(Checksheet!$U$11,B833)),MAX($D$1:D832)+1,"")</f>
        <v/>
      </c>
    </row>
    <row r="834" spans="4:4">
      <c r="D834" s="170" t="str">
        <f>IF(ISNUMBER(SEARCH(Checksheet!$U$11,B834)),MAX($D$1:D833)+1,"")</f>
        <v/>
      </c>
    </row>
    <row r="835" spans="4:4">
      <c r="D835" s="170" t="str">
        <f>IF(ISNUMBER(SEARCH(Checksheet!$U$11,B835)),MAX($D$1:D834)+1,"")</f>
        <v/>
      </c>
    </row>
    <row r="836" spans="4:4">
      <c r="D836" s="170" t="str">
        <f>IF(ISNUMBER(SEARCH(Checksheet!$U$11,B836)),MAX($D$1:D835)+1,"")</f>
        <v/>
      </c>
    </row>
    <row r="837" spans="4:4">
      <c r="D837" s="170" t="str">
        <f>IF(ISNUMBER(SEARCH(Checksheet!$U$11,B837)),MAX($D$1:D836)+1,"")</f>
        <v/>
      </c>
    </row>
    <row r="838" spans="4:4">
      <c r="D838" s="170" t="str">
        <f>IF(ISNUMBER(SEARCH(Checksheet!$U$11,B838)),MAX($D$1:D837)+1,"")</f>
        <v/>
      </c>
    </row>
    <row r="839" spans="4:4">
      <c r="D839" s="170" t="str">
        <f>IF(ISNUMBER(SEARCH(Checksheet!$U$11,B839)),MAX($D$1:D838)+1,"")</f>
        <v/>
      </c>
    </row>
    <row r="840" spans="4:4">
      <c r="D840" s="170" t="str">
        <f>IF(ISNUMBER(SEARCH(Checksheet!$U$11,B840)),MAX($D$1:D839)+1,"")</f>
        <v/>
      </c>
    </row>
    <row r="841" spans="4:4">
      <c r="D841" s="170" t="str">
        <f>IF(ISNUMBER(SEARCH(Checksheet!$U$11,B841)),MAX($D$1:D840)+1,"")</f>
        <v/>
      </c>
    </row>
    <row r="842" spans="4:4">
      <c r="D842" s="170" t="str">
        <f>IF(ISNUMBER(SEARCH(Checksheet!$U$11,B842)),MAX($D$1:D841)+1,"")</f>
        <v/>
      </c>
    </row>
    <row r="843" spans="4:4">
      <c r="D843" s="170" t="str">
        <f>IF(ISNUMBER(SEARCH(Checksheet!$U$11,B843)),MAX($D$1:D842)+1,"")</f>
        <v/>
      </c>
    </row>
    <row r="844" spans="4:4">
      <c r="D844" s="170" t="str">
        <f>IF(ISNUMBER(SEARCH(Checksheet!$U$11,B844)),MAX($D$1:D843)+1,"")</f>
        <v/>
      </c>
    </row>
    <row r="845" spans="4:4">
      <c r="D845" s="170" t="str">
        <f>IF(ISNUMBER(SEARCH(Checksheet!$U$11,B845)),MAX($D$1:D844)+1,"")</f>
        <v/>
      </c>
    </row>
    <row r="846" spans="4:4">
      <c r="D846" s="170" t="str">
        <f>IF(ISNUMBER(SEARCH(Checksheet!$U$11,B846)),MAX($D$1:D845)+1,"")</f>
        <v/>
      </c>
    </row>
    <row r="847" spans="4:4">
      <c r="D847" s="170" t="str">
        <f>IF(ISNUMBER(SEARCH(Checksheet!$U$11,B847)),MAX($D$1:D846)+1,"")</f>
        <v/>
      </c>
    </row>
    <row r="848" spans="4:4">
      <c r="D848" s="170" t="str">
        <f>IF(ISNUMBER(SEARCH(Checksheet!$U$11,B848)),MAX($D$1:D847)+1,"")</f>
        <v/>
      </c>
    </row>
    <row r="849" spans="4:4">
      <c r="D849" s="170" t="str">
        <f>IF(ISNUMBER(SEARCH(Checksheet!$U$11,B849)),MAX($D$1:D848)+1,"")</f>
        <v/>
      </c>
    </row>
    <row r="850" spans="4:4">
      <c r="D850" s="170" t="str">
        <f>IF(ISNUMBER(SEARCH(Checksheet!$U$11,B850)),MAX($D$1:D849)+1,"")</f>
        <v/>
      </c>
    </row>
    <row r="851" spans="4:4">
      <c r="D851" s="170" t="str">
        <f>IF(ISNUMBER(SEARCH(Checksheet!$U$11,B851)),MAX($D$1:D850)+1,"")</f>
        <v/>
      </c>
    </row>
    <row r="852" spans="4:4">
      <c r="D852" s="170" t="str">
        <f>IF(ISNUMBER(SEARCH(Checksheet!$U$11,B852)),MAX($D$1:D851)+1,"")</f>
        <v/>
      </c>
    </row>
    <row r="853" spans="4:4">
      <c r="D853" s="170" t="str">
        <f>IF(ISNUMBER(SEARCH(Checksheet!$U$11,B853)),MAX($D$1:D852)+1,"")</f>
        <v/>
      </c>
    </row>
    <row r="854" spans="4:4">
      <c r="D854" s="170" t="str">
        <f>IF(ISNUMBER(SEARCH(Checksheet!$U$11,B854)),MAX($D$1:D853)+1,"")</f>
        <v/>
      </c>
    </row>
    <row r="855" spans="4:4">
      <c r="D855" s="170" t="str">
        <f>IF(ISNUMBER(SEARCH(Checksheet!$U$11,B855)),MAX($D$1:D854)+1,"")</f>
        <v/>
      </c>
    </row>
    <row r="856" spans="4:4">
      <c r="D856" s="170" t="str">
        <f>IF(ISNUMBER(SEARCH(Checksheet!$U$11,B856)),MAX($D$1:D855)+1,"")</f>
        <v/>
      </c>
    </row>
    <row r="857" spans="4:4">
      <c r="D857" s="170" t="str">
        <f>IF(ISNUMBER(SEARCH(Checksheet!$U$11,B857)),MAX($D$1:D856)+1,"")</f>
        <v/>
      </c>
    </row>
    <row r="858" spans="4:4">
      <c r="D858" s="170" t="str">
        <f>IF(ISNUMBER(SEARCH(Checksheet!$U$11,B858)),MAX($D$1:D857)+1,"")</f>
        <v/>
      </c>
    </row>
    <row r="859" spans="4:4">
      <c r="D859" s="170" t="str">
        <f>IF(ISNUMBER(SEARCH(Checksheet!$U$11,B859)),MAX($D$1:D858)+1,"")</f>
        <v/>
      </c>
    </row>
    <row r="860" spans="4:4">
      <c r="D860" s="170" t="str">
        <f>IF(ISNUMBER(SEARCH(Checksheet!$U$11,B860)),MAX($D$1:D859)+1,"")</f>
        <v/>
      </c>
    </row>
    <row r="861" spans="4:4">
      <c r="D861" s="170" t="str">
        <f>IF(ISNUMBER(SEARCH(Checksheet!$U$11,B861)),MAX($D$1:D860)+1,"")</f>
        <v/>
      </c>
    </row>
    <row r="862" spans="4:4">
      <c r="D862" s="170" t="str">
        <f>IF(ISNUMBER(SEARCH(Checksheet!$U$11,B862)),MAX($D$1:D861)+1,"")</f>
        <v/>
      </c>
    </row>
    <row r="863" spans="4:4">
      <c r="D863" s="170" t="str">
        <f>IF(ISNUMBER(SEARCH(Checksheet!$U$11,B863)),MAX($D$1:D862)+1,"")</f>
        <v/>
      </c>
    </row>
    <row r="864" spans="4:4">
      <c r="D864" s="170" t="str">
        <f>IF(ISNUMBER(SEARCH(Checksheet!$U$11,B864)),MAX($D$1:D863)+1,"")</f>
        <v/>
      </c>
    </row>
    <row r="865" spans="4:4">
      <c r="D865" s="170" t="str">
        <f>IF(ISNUMBER(SEARCH(Checksheet!$U$11,B865)),MAX($D$1:D864)+1,"")</f>
        <v/>
      </c>
    </row>
    <row r="866" spans="4:4">
      <c r="D866" s="170" t="str">
        <f>IF(ISNUMBER(SEARCH(Checksheet!$U$11,B866)),MAX($D$1:D865)+1,"")</f>
        <v/>
      </c>
    </row>
    <row r="867" spans="4:4">
      <c r="D867" s="170" t="str">
        <f>IF(ISNUMBER(SEARCH(Checksheet!$U$11,B867)),MAX($D$1:D866)+1,"")</f>
        <v/>
      </c>
    </row>
    <row r="868" spans="4:4">
      <c r="D868" s="170" t="str">
        <f>IF(ISNUMBER(SEARCH(Checksheet!$U$11,B868)),MAX($D$1:D867)+1,"")</f>
        <v/>
      </c>
    </row>
    <row r="869" spans="4:4">
      <c r="D869" s="170" t="str">
        <f>IF(ISNUMBER(SEARCH(Checksheet!$U$11,B869)),MAX($D$1:D868)+1,"")</f>
        <v/>
      </c>
    </row>
    <row r="870" spans="4:4">
      <c r="D870" s="170" t="str">
        <f>IF(ISNUMBER(SEARCH(Checksheet!$U$11,B870)),MAX($D$1:D869)+1,"")</f>
        <v/>
      </c>
    </row>
    <row r="871" spans="4:4">
      <c r="D871" s="170" t="str">
        <f>IF(ISNUMBER(SEARCH(Checksheet!$U$11,B871)),MAX($D$1:D870)+1,"")</f>
        <v/>
      </c>
    </row>
    <row r="872" spans="4:4">
      <c r="D872" s="170" t="str">
        <f>IF(ISNUMBER(SEARCH(Checksheet!$U$11,B872)),MAX($D$1:D871)+1,"")</f>
        <v/>
      </c>
    </row>
    <row r="873" spans="4:4">
      <c r="D873" s="170" t="str">
        <f>IF(ISNUMBER(SEARCH(Checksheet!$U$11,B873)),MAX($D$1:D872)+1,"")</f>
        <v/>
      </c>
    </row>
    <row r="874" spans="4:4">
      <c r="D874" s="170" t="str">
        <f>IF(ISNUMBER(SEARCH(Checksheet!$U$11,B874)),MAX($D$1:D873)+1,"")</f>
        <v/>
      </c>
    </row>
    <row r="875" spans="4:4">
      <c r="D875" s="170" t="str">
        <f>IF(ISNUMBER(SEARCH(Checksheet!$U$11,B875)),MAX($D$1:D874)+1,"")</f>
        <v/>
      </c>
    </row>
    <row r="876" spans="4:4">
      <c r="D876" s="170" t="str">
        <f>IF(ISNUMBER(SEARCH(Checksheet!$U$11,B876)),MAX($D$1:D875)+1,"")</f>
        <v/>
      </c>
    </row>
    <row r="877" spans="4:4">
      <c r="D877" s="170" t="str">
        <f>IF(ISNUMBER(SEARCH(Checksheet!$U$11,B877)),MAX($D$1:D876)+1,"")</f>
        <v/>
      </c>
    </row>
    <row r="878" spans="4:4">
      <c r="D878" s="170" t="str">
        <f>IF(ISNUMBER(SEARCH(Checksheet!$U$11,B878)),MAX($D$1:D877)+1,"")</f>
        <v/>
      </c>
    </row>
    <row r="879" spans="4:4">
      <c r="D879" s="170" t="str">
        <f>IF(ISNUMBER(SEARCH(Checksheet!$U$11,B879)),MAX($D$1:D878)+1,"")</f>
        <v/>
      </c>
    </row>
    <row r="880" spans="4:4">
      <c r="D880" s="170" t="str">
        <f>IF(ISNUMBER(SEARCH(Checksheet!$U$11,B880)),MAX($D$1:D879)+1,"")</f>
        <v/>
      </c>
    </row>
    <row r="881" spans="4:4">
      <c r="D881" s="170" t="str">
        <f>IF(ISNUMBER(SEARCH(Checksheet!$U$11,B881)),MAX($D$1:D880)+1,"")</f>
        <v/>
      </c>
    </row>
    <row r="882" spans="4:4">
      <c r="D882" s="170" t="str">
        <f>IF(ISNUMBER(SEARCH(Checksheet!$U$11,B882)),MAX($D$1:D881)+1,"")</f>
        <v/>
      </c>
    </row>
    <row r="883" spans="4:4">
      <c r="D883" s="170" t="str">
        <f>IF(ISNUMBER(SEARCH(Checksheet!$U$11,B883)),MAX($D$1:D882)+1,"")</f>
        <v/>
      </c>
    </row>
    <row r="884" spans="4:4">
      <c r="D884" s="170" t="str">
        <f>IF(ISNUMBER(SEARCH(Checksheet!$U$11,B884)),MAX($D$1:D883)+1,"")</f>
        <v/>
      </c>
    </row>
    <row r="885" spans="4:4">
      <c r="D885" s="170" t="str">
        <f>IF(ISNUMBER(SEARCH(Checksheet!$U$11,B885)),MAX($D$1:D884)+1,"")</f>
        <v/>
      </c>
    </row>
    <row r="886" spans="4:4">
      <c r="D886" s="170" t="str">
        <f>IF(ISNUMBER(SEARCH(Checksheet!$U$11,B886)),MAX($D$1:D885)+1,"")</f>
        <v/>
      </c>
    </row>
    <row r="887" spans="4:4">
      <c r="D887" s="170" t="str">
        <f>IF(ISNUMBER(SEARCH(Checksheet!$U$11,B887)),MAX($D$1:D886)+1,"")</f>
        <v/>
      </c>
    </row>
    <row r="888" spans="4:4">
      <c r="D888" s="170" t="str">
        <f>IF(ISNUMBER(SEARCH(Checksheet!$U$11,B888)),MAX($D$1:D887)+1,"")</f>
        <v/>
      </c>
    </row>
    <row r="889" spans="4:4">
      <c r="D889" s="170" t="str">
        <f>IF(ISNUMBER(SEARCH(Checksheet!$U$11,B889)),MAX($D$1:D888)+1,"")</f>
        <v/>
      </c>
    </row>
    <row r="890" spans="4:4">
      <c r="D890" s="170" t="str">
        <f>IF(ISNUMBER(SEARCH(Checksheet!$U$11,B890)),MAX($D$1:D889)+1,"")</f>
        <v/>
      </c>
    </row>
    <row r="891" spans="4:4">
      <c r="D891" s="170" t="str">
        <f>IF(ISNUMBER(SEARCH(Checksheet!$U$11,B891)),MAX($D$1:D890)+1,"")</f>
        <v/>
      </c>
    </row>
    <row r="892" spans="4:4">
      <c r="D892" s="170" t="str">
        <f>IF(ISNUMBER(SEARCH(Checksheet!$U$11,B892)),MAX($D$1:D891)+1,"")</f>
        <v/>
      </c>
    </row>
    <row r="893" spans="4:4">
      <c r="D893" s="170" t="str">
        <f>IF(ISNUMBER(SEARCH(Checksheet!$U$11,B893)),MAX($D$1:D892)+1,"")</f>
        <v/>
      </c>
    </row>
    <row r="894" spans="4:4">
      <c r="D894" s="170" t="str">
        <f>IF(ISNUMBER(SEARCH(Checksheet!$U$11,B894)),MAX($D$1:D893)+1,"")</f>
        <v/>
      </c>
    </row>
    <row r="895" spans="4:4">
      <c r="D895" s="170" t="str">
        <f>IF(ISNUMBER(SEARCH(Checksheet!$U$11,B895)),MAX($D$1:D894)+1,"")</f>
        <v/>
      </c>
    </row>
    <row r="896" spans="4:4">
      <c r="D896" s="170" t="str">
        <f>IF(ISNUMBER(SEARCH(Checksheet!$U$11,B896)),MAX($D$1:D895)+1,"")</f>
        <v/>
      </c>
    </row>
    <row r="897" spans="4:4">
      <c r="D897" s="170" t="str">
        <f>IF(ISNUMBER(SEARCH(Checksheet!$U$11,B897)),MAX($D$1:D896)+1,"")</f>
        <v/>
      </c>
    </row>
    <row r="898" spans="4:4">
      <c r="D898" s="170" t="str">
        <f>IF(ISNUMBER(SEARCH(Checksheet!$U$11,B898)),MAX($D$1:D897)+1,"")</f>
        <v/>
      </c>
    </row>
    <row r="899" spans="4:4">
      <c r="D899" s="170" t="str">
        <f>IF(ISNUMBER(SEARCH(Checksheet!$U$11,B899)),MAX($D$1:D898)+1,"")</f>
        <v/>
      </c>
    </row>
    <row r="900" spans="4:4">
      <c r="D900" s="170" t="str">
        <f>IF(ISNUMBER(SEARCH(Checksheet!$U$11,B900)),MAX($D$1:D899)+1,"")</f>
        <v/>
      </c>
    </row>
    <row r="901" spans="4:4">
      <c r="D901" s="170" t="str">
        <f>IF(ISNUMBER(SEARCH(Checksheet!$U$11,B901)),MAX($D$1:D900)+1,"")</f>
        <v/>
      </c>
    </row>
    <row r="902" spans="4:4">
      <c r="D902" s="170" t="str">
        <f>IF(ISNUMBER(SEARCH(Checksheet!$U$11,B902)),MAX($D$1:D901)+1,"")</f>
        <v/>
      </c>
    </row>
    <row r="903" spans="4:4">
      <c r="D903" s="170" t="str">
        <f>IF(ISNUMBER(SEARCH(Checksheet!$U$11,B903)),MAX($D$1:D902)+1,"")</f>
        <v/>
      </c>
    </row>
    <row r="904" spans="4:4">
      <c r="D904" s="170" t="str">
        <f>IF(ISNUMBER(SEARCH(Checksheet!$U$11,B904)),MAX($D$1:D903)+1,"")</f>
        <v/>
      </c>
    </row>
    <row r="905" spans="4:4">
      <c r="D905" s="170" t="str">
        <f>IF(ISNUMBER(SEARCH(Checksheet!$U$11,B905)),MAX($D$1:D904)+1,"")</f>
        <v/>
      </c>
    </row>
    <row r="906" spans="4:4">
      <c r="D906" s="170" t="str">
        <f>IF(ISNUMBER(SEARCH(Checksheet!$U$11,B906)),MAX($D$1:D905)+1,"")</f>
        <v/>
      </c>
    </row>
    <row r="907" spans="4:4">
      <c r="D907" s="170" t="str">
        <f>IF(ISNUMBER(SEARCH(Checksheet!$U$11,B907)),MAX($D$1:D906)+1,"")</f>
        <v/>
      </c>
    </row>
    <row r="908" spans="4:4">
      <c r="D908" s="170" t="str">
        <f>IF(ISNUMBER(SEARCH(Checksheet!$U$11,B908)),MAX($D$1:D907)+1,"")</f>
        <v/>
      </c>
    </row>
    <row r="909" spans="4:4">
      <c r="D909" s="170" t="str">
        <f>IF(ISNUMBER(SEARCH(Checksheet!$U$11,B909)),MAX($D$1:D908)+1,"")</f>
        <v/>
      </c>
    </row>
    <row r="910" spans="4:4">
      <c r="D910" s="170" t="str">
        <f>IF(ISNUMBER(SEARCH(Checksheet!$U$11,B910)),MAX($D$1:D909)+1,"")</f>
        <v/>
      </c>
    </row>
    <row r="911" spans="4:4">
      <c r="D911" s="170" t="str">
        <f>IF(ISNUMBER(SEARCH(Checksheet!$U$11,B911)),MAX($D$1:D910)+1,"")</f>
        <v/>
      </c>
    </row>
    <row r="912" spans="4:4">
      <c r="D912" s="170" t="str">
        <f>IF(ISNUMBER(SEARCH(Checksheet!$U$11,B912)),MAX($D$1:D911)+1,"")</f>
        <v/>
      </c>
    </row>
    <row r="913" spans="4:4">
      <c r="D913" s="170" t="str">
        <f>IF(ISNUMBER(SEARCH(Checksheet!$U$11,B913)),MAX($D$1:D912)+1,"")</f>
        <v/>
      </c>
    </row>
    <row r="914" spans="4:4">
      <c r="D914" s="170" t="str">
        <f>IF(ISNUMBER(SEARCH(Checksheet!$U$11,B914)),MAX($D$1:D913)+1,"")</f>
        <v/>
      </c>
    </row>
    <row r="915" spans="4:4">
      <c r="D915" s="170" t="str">
        <f>IF(ISNUMBER(SEARCH(Checksheet!$U$11,B915)),MAX($D$1:D914)+1,"")</f>
        <v/>
      </c>
    </row>
    <row r="916" spans="4:4">
      <c r="D916" s="170" t="str">
        <f>IF(ISNUMBER(SEARCH(Checksheet!$U$11,B916)),MAX($D$1:D915)+1,"")</f>
        <v/>
      </c>
    </row>
    <row r="917" spans="4:4">
      <c r="D917" s="170" t="str">
        <f>IF(ISNUMBER(SEARCH(Checksheet!$U$11,B917)),MAX($D$1:D916)+1,"")</f>
        <v/>
      </c>
    </row>
    <row r="918" spans="4:4">
      <c r="D918" s="170" t="str">
        <f>IF(ISNUMBER(SEARCH(Checksheet!$U$11,B918)),MAX($D$1:D917)+1,"")</f>
        <v/>
      </c>
    </row>
    <row r="919" spans="4:4">
      <c r="D919" s="170" t="str">
        <f>IF(ISNUMBER(SEARCH(Checksheet!$U$11,B919)),MAX($D$1:D918)+1,"")</f>
        <v/>
      </c>
    </row>
    <row r="920" spans="4:4">
      <c r="D920" s="170" t="str">
        <f>IF(ISNUMBER(SEARCH(Checksheet!$U$11,B920)),MAX($D$1:D919)+1,"")</f>
        <v/>
      </c>
    </row>
    <row r="921" spans="4:4">
      <c r="D921" s="170" t="str">
        <f>IF(ISNUMBER(SEARCH(Checksheet!$U$11,B921)),MAX($D$1:D920)+1,"")</f>
        <v/>
      </c>
    </row>
    <row r="922" spans="4:4">
      <c r="D922" s="170" t="str">
        <f>IF(ISNUMBER(SEARCH(Checksheet!$U$11,B922)),MAX($D$1:D921)+1,"")</f>
        <v/>
      </c>
    </row>
    <row r="923" spans="4:4">
      <c r="D923" s="170" t="str">
        <f>IF(ISNUMBER(SEARCH(Checksheet!$U$11,B923)),MAX($D$1:D922)+1,"")</f>
        <v/>
      </c>
    </row>
    <row r="924" spans="4:4">
      <c r="D924" s="170" t="str">
        <f>IF(ISNUMBER(SEARCH(Checksheet!$U$11,B924)),MAX($D$1:D923)+1,"")</f>
        <v/>
      </c>
    </row>
    <row r="925" spans="4:4">
      <c r="D925" s="170" t="str">
        <f>IF(ISNUMBER(SEARCH(Checksheet!$U$11,B925)),MAX($D$1:D924)+1,"")</f>
        <v/>
      </c>
    </row>
    <row r="926" spans="4:4">
      <c r="D926" s="170" t="str">
        <f>IF(ISNUMBER(SEARCH(Checksheet!$U$11,B926)),MAX($D$1:D925)+1,"")</f>
        <v/>
      </c>
    </row>
    <row r="927" spans="4:4">
      <c r="D927" s="170" t="str">
        <f>IF(ISNUMBER(SEARCH(Checksheet!$U$11,B927)),MAX($D$1:D926)+1,"")</f>
        <v/>
      </c>
    </row>
    <row r="928" spans="4:4">
      <c r="D928" s="170" t="str">
        <f>IF(ISNUMBER(SEARCH(Checksheet!$U$11,B928)),MAX($D$1:D927)+1,"")</f>
        <v/>
      </c>
    </row>
    <row r="929" spans="4:4">
      <c r="D929" s="170" t="str">
        <f>IF(ISNUMBER(SEARCH(Checksheet!$U$11,B929)),MAX($D$1:D928)+1,"")</f>
        <v/>
      </c>
    </row>
    <row r="930" spans="4:4">
      <c r="D930" s="170" t="str">
        <f>IF(ISNUMBER(SEARCH(Checksheet!$U$11,B930)),MAX($D$1:D929)+1,"")</f>
        <v/>
      </c>
    </row>
    <row r="931" spans="4:4">
      <c r="D931" s="170" t="str">
        <f>IF(ISNUMBER(SEARCH(Checksheet!$U$11,B931)),MAX($D$1:D930)+1,"")</f>
        <v/>
      </c>
    </row>
    <row r="932" spans="4:4">
      <c r="D932" s="170" t="str">
        <f>IF(ISNUMBER(SEARCH(Checksheet!$U$11,B932)),MAX($D$1:D931)+1,"")</f>
        <v/>
      </c>
    </row>
    <row r="933" spans="4:4">
      <c r="D933" s="170" t="str">
        <f>IF(ISNUMBER(SEARCH(Checksheet!$U$11,B933)),MAX($D$1:D932)+1,"")</f>
        <v/>
      </c>
    </row>
    <row r="934" spans="4:4">
      <c r="D934" s="170" t="str">
        <f>IF(ISNUMBER(SEARCH(Checksheet!$U$11,B934)),MAX($D$1:D933)+1,"")</f>
        <v/>
      </c>
    </row>
    <row r="935" spans="4:4">
      <c r="D935" s="170" t="str">
        <f>IF(ISNUMBER(SEARCH(Checksheet!$U$11,B935)),MAX($D$1:D934)+1,"")</f>
        <v/>
      </c>
    </row>
    <row r="936" spans="4:4">
      <c r="D936" s="170" t="str">
        <f>IF(ISNUMBER(SEARCH(Checksheet!$U$11,B936)),MAX($D$1:D935)+1,"")</f>
        <v/>
      </c>
    </row>
    <row r="937" spans="4:4">
      <c r="D937" s="170" t="str">
        <f>IF(ISNUMBER(SEARCH(Checksheet!$U$11,B937)),MAX($D$1:D936)+1,"")</f>
        <v/>
      </c>
    </row>
    <row r="938" spans="4:4">
      <c r="D938" s="170" t="str">
        <f>IF(ISNUMBER(SEARCH(Checksheet!$U$11,B938)),MAX($D$1:D937)+1,"")</f>
        <v/>
      </c>
    </row>
    <row r="939" spans="4:4">
      <c r="D939" s="170" t="str">
        <f>IF(ISNUMBER(SEARCH(Checksheet!$U$11,B939)),MAX($D$1:D938)+1,"")</f>
        <v/>
      </c>
    </row>
    <row r="940" spans="4:4">
      <c r="D940" s="170" t="str">
        <f>IF(ISNUMBER(SEARCH(Checksheet!$U$11,B940)),MAX($D$1:D939)+1,"")</f>
        <v/>
      </c>
    </row>
    <row r="941" spans="4:4">
      <c r="D941" s="170" t="str">
        <f>IF(ISNUMBER(SEARCH(Checksheet!$U$11,B941)),MAX($D$1:D940)+1,"")</f>
        <v/>
      </c>
    </row>
    <row r="942" spans="4:4">
      <c r="D942" s="170" t="str">
        <f>IF(ISNUMBER(SEARCH(Checksheet!$U$11,B942)),MAX($D$1:D941)+1,"")</f>
        <v/>
      </c>
    </row>
    <row r="943" spans="4:4">
      <c r="D943" s="170" t="str">
        <f>IF(ISNUMBER(SEARCH(Checksheet!$U$11,B943)),MAX($D$1:D942)+1,"")</f>
        <v/>
      </c>
    </row>
    <row r="944" spans="4:4">
      <c r="D944" s="170" t="str">
        <f>IF(ISNUMBER(SEARCH(Checksheet!$U$11,B944)),MAX($D$1:D943)+1,"")</f>
        <v/>
      </c>
    </row>
    <row r="945" spans="4:4">
      <c r="D945" s="170" t="str">
        <f>IF(ISNUMBER(SEARCH(Checksheet!$U$11,B945)),MAX($D$1:D944)+1,"")</f>
        <v/>
      </c>
    </row>
    <row r="946" spans="4:4">
      <c r="D946" s="170" t="str">
        <f>IF(ISNUMBER(SEARCH(Checksheet!$U$11,B946)),MAX($D$1:D945)+1,"")</f>
        <v/>
      </c>
    </row>
    <row r="947" spans="4:4">
      <c r="D947" s="170" t="str">
        <f>IF(ISNUMBER(SEARCH(Checksheet!$U$11,B947)),MAX($D$1:D946)+1,"")</f>
        <v/>
      </c>
    </row>
    <row r="948" spans="4:4">
      <c r="D948" s="170" t="str">
        <f>IF(ISNUMBER(SEARCH(Checksheet!$U$11,B948)),MAX($D$1:D947)+1,"")</f>
        <v/>
      </c>
    </row>
    <row r="949" spans="4:4">
      <c r="D949" s="170" t="str">
        <f>IF(ISNUMBER(SEARCH(Checksheet!$U$11,B949)),MAX($D$1:D948)+1,"")</f>
        <v/>
      </c>
    </row>
    <row r="950" spans="4:4">
      <c r="D950" s="170" t="str">
        <f>IF(ISNUMBER(SEARCH(Checksheet!$U$11,B950)),MAX($D$1:D949)+1,"")</f>
        <v/>
      </c>
    </row>
    <row r="951" spans="4:4">
      <c r="D951" s="170" t="str">
        <f>IF(ISNUMBER(SEARCH(Checksheet!$U$11,B951)),MAX($D$1:D950)+1,"")</f>
        <v/>
      </c>
    </row>
    <row r="952" spans="4:4">
      <c r="D952" s="170" t="str">
        <f>IF(ISNUMBER(SEARCH(Checksheet!$U$11,B952)),MAX($D$1:D951)+1,"")</f>
        <v/>
      </c>
    </row>
    <row r="953" spans="4:4">
      <c r="D953" s="170" t="str">
        <f>IF(ISNUMBER(SEARCH(Checksheet!$U$11,B953)),MAX($D$1:D952)+1,"")</f>
        <v/>
      </c>
    </row>
    <row r="954" spans="4:4">
      <c r="D954" s="170" t="str">
        <f>IF(ISNUMBER(SEARCH(Checksheet!$U$11,B954)),MAX($D$1:D953)+1,"")</f>
        <v/>
      </c>
    </row>
    <row r="955" spans="4:4">
      <c r="D955" s="170" t="str">
        <f>IF(ISNUMBER(SEARCH(Checksheet!$U$11,B955)),MAX($D$1:D954)+1,"")</f>
        <v/>
      </c>
    </row>
    <row r="956" spans="4:4">
      <c r="D956" s="170" t="str">
        <f>IF(ISNUMBER(SEARCH(Checksheet!$U$11,B956)),MAX($D$1:D955)+1,"")</f>
        <v/>
      </c>
    </row>
    <row r="957" spans="4:4">
      <c r="D957" s="170" t="str">
        <f>IF(ISNUMBER(SEARCH(Checksheet!$U$11,B957)),MAX($D$1:D956)+1,"")</f>
        <v/>
      </c>
    </row>
    <row r="958" spans="4:4">
      <c r="D958" s="170" t="str">
        <f>IF(ISNUMBER(SEARCH(Checksheet!$U$11,B958)),MAX($D$1:D957)+1,"")</f>
        <v/>
      </c>
    </row>
    <row r="959" spans="4:4">
      <c r="D959" s="170" t="str">
        <f>IF(ISNUMBER(SEARCH(Checksheet!$U$11,B959)),MAX($D$1:D958)+1,"")</f>
        <v/>
      </c>
    </row>
    <row r="960" spans="4:4">
      <c r="D960" s="170" t="str">
        <f>IF(ISNUMBER(SEARCH(Checksheet!$U$11,B960)),MAX($D$1:D959)+1,"")</f>
        <v/>
      </c>
    </row>
    <row r="961" spans="4:4">
      <c r="D961" s="170" t="str">
        <f>IF(ISNUMBER(SEARCH(Checksheet!$U$11,B961)),MAX($D$1:D960)+1,"")</f>
        <v/>
      </c>
    </row>
    <row r="962" spans="4:4">
      <c r="D962" s="170" t="str">
        <f>IF(ISNUMBER(SEARCH(Checksheet!$U$11,B962)),MAX($D$1:D961)+1,"")</f>
        <v/>
      </c>
    </row>
    <row r="963" spans="4:4">
      <c r="D963" s="170" t="str">
        <f>IF(ISNUMBER(SEARCH(Checksheet!$U$11,B963)),MAX($D$1:D962)+1,"")</f>
        <v/>
      </c>
    </row>
    <row r="964" spans="4:4">
      <c r="D964" s="170" t="str">
        <f>IF(ISNUMBER(SEARCH(Checksheet!$U$11,B964)),MAX($D$1:D963)+1,"")</f>
        <v/>
      </c>
    </row>
    <row r="965" spans="4:4">
      <c r="D965" s="170" t="str">
        <f>IF(ISNUMBER(SEARCH(Checksheet!$U$11,B965)),MAX($D$1:D964)+1,"")</f>
        <v/>
      </c>
    </row>
    <row r="966" spans="4:4">
      <c r="D966" s="170" t="str">
        <f>IF(ISNUMBER(SEARCH(Checksheet!$U$11,B966)),MAX($D$1:D965)+1,"")</f>
        <v/>
      </c>
    </row>
    <row r="967" spans="4:4">
      <c r="D967" s="170" t="str">
        <f>IF(ISNUMBER(SEARCH(Checksheet!$U$11,B967)),MAX($D$1:D966)+1,"")</f>
        <v/>
      </c>
    </row>
    <row r="968" spans="4:4">
      <c r="D968" s="170" t="str">
        <f>IF(ISNUMBER(SEARCH(Checksheet!$U$11,B968)),MAX($D$1:D967)+1,"")</f>
        <v/>
      </c>
    </row>
    <row r="969" spans="4:4">
      <c r="D969" s="170" t="str">
        <f>IF(ISNUMBER(SEARCH(Checksheet!$U$11,B969)),MAX($D$1:D968)+1,"")</f>
        <v/>
      </c>
    </row>
    <row r="970" spans="4:4">
      <c r="D970" s="170" t="str">
        <f>IF(ISNUMBER(SEARCH(Checksheet!$U$11,B970)),MAX($D$1:D969)+1,"")</f>
        <v/>
      </c>
    </row>
    <row r="971" spans="4:4">
      <c r="D971" s="170" t="str">
        <f>IF(ISNUMBER(SEARCH(Checksheet!$U$11,B971)),MAX($D$1:D970)+1,"")</f>
        <v/>
      </c>
    </row>
    <row r="972" spans="4:4">
      <c r="D972" s="170" t="str">
        <f>IF(ISNUMBER(SEARCH(Checksheet!$U$11,B972)),MAX($D$1:D971)+1,"")</f>
        <v/>
      </c>
    </row>
    <row r="973" spans="4:4">
      <c r="D973" s="170" t="str">
        <f>IF(ISNUMBER(SEARCH(Checksheet!$U$11,B973)),MAX($D$1:D972)+1,"")</f>
        <v/>
      </c>
    </row>
    <row r="974" spans="4:4">
      <c r="D974" s="170" t="str">
        <f>IF(ISNUMBER(SEARCH(Checksheet!$U$11,B974)),MAX($D$1:D973)+1,"")</f>
        <v/>
      </c>
    </row>
    <row r="975" spans="4:4">
      <c r="D975" s="170" t="str">
        <f>IF(ISNUMBER(SEARCH(Checksheet!$U$11,B975)),MAX($D$1:D974)+1,"")</f>
        <v/>
      </c>
    </row>
    <row r="976" spans="4:4">
      <c r="D976" s="170" t="str">
        <f>IF(ISNUMBER(SEARCH(Checksheet!$U$11,B976)),MAX($D$1:D975)+1,"")</f>
        <v/>
      </c>
    </row>
    <row r="977" spans="4:4">
      <c r="D977" s="170" t="str">
        <f>IF(ISNUMBER(SEARCH(Checksheet!$U$11,B977)),MAX($D$1:D976)+1,"")</f>
        <v/>
      </c>
    </row>
    <row r="978" spans="4:4">
      <c r="D978" s="170" t="str">
        <f>IF(ISNUMBER(SEARCH(Checksheet!$U$11,B978)),MAX($D$1:D977)+1,"")</f>
        <v/>
      </c>
    </row>
    <row r="979" spans="4:4">
      <c r="D979" s="170" t="str">
        <f>IF(ISNUMBER(SEARCH(Checksheet!$U$11,B979)),MAX($D$1:D978)+1,"")</f>
        <v/>
      </c>
    </row>
    <row r="980" spans="4:4">
      <c r="D980" s="170" t="str">
        <f>IF(ISNUMBER(SEARCH(Checksheet!$U$11,B980)),MAX($D$1:D979)+1,"")</f>
        <v/>
      </c>
    </row>
    <row r="981" spans="4:4">
      <c r="D981" s="170" t="str">
        <f>IF(ISNUMBER(SEARCH(Checksheet!$U$11,B981)),MAX($D$1:D980)+1,"")</f>
        <v/>
      </c>
    </row>
    <row r="982" spans="4:4">
      <c r="D982" s="170" t="str">
        <f>IF(ISNUMBER(SEARCH(Checksheet!$U$11,B982)),MAX($D$1:D981)+1,"")</f>
        <v/>
      </c>
    </row>
    <row r="983" spans="4:4">
      <c r="D983" s="170" t="str">
        <f>IF(ISNUMBER(SEARCH(Checksheet!$U$11,B983)),MAX($D$1:D982)+1,"")</f>
        <v/>
      </c>
    </row>
    <row r="984" spans="4:4">
      <c r="D984" s="170" t="str">
        <f>IF(ISNUMBER(SEARCH(Checksheet!$U$11,B984)),MAX($D$1:D983)+1,"")</f>
        <v/>
      </c>
    </row>
    <row r="985" spans="4:4">
      <c r="D985" s="170" t="str">
        <f>IF(ISNUMBER(SEARCH(Checksheet!$U$11,B985)),MAX($D$1:D984)+1,"")</f>
        <v/>
      </c>
    </row>
    <row r="986" spans="4:4">
      <c r="D986" s="170" t="str">
        <f>IF(ISNUMBER(SEARCH(Checksheet!$U$11,B986)),MAX($D$1:D985)+1,"")</f>
        <v/>
      </c>
    </row>
    <row r="987" spans="4:4">
      <c r="D987" s="170" t="str">
        <f>IF(ISNUMBER(SEARCH(Checksheet!$U$11,B987)),MAX($D$1:D986)+1,"")</f>
        <v/>
      </c>
    </row>
    <row r="988" spans="4:4">
      <c r="D988" s="170" t="str">
        <f>IF(ISNUMBER(SEARCH(Checksheet!$U$11,B988)),MAX($D$1:D987)+1,"")</f>
        <v/>
      </c>
    </row>
    <row r="989" spans="4:4">
      <c r="D989" s="170" t="str">
        <f>IF(ISNUMBER(SEARCH(Checksheet!$U$11,B989)),MAX($D$1:D988)+1,"")</f>
        <v/>
      </c>
    </row>
    <row r="990" spans="4:4">
      <c r="D990" s="170" t="str">
        <f>IF(ISNUMBER(SEARCH(Checksheet!$U$11,B990)),MAX($D$1:D989)+1,"")</f>
        <v/>
      </c>
    </row>
    <row r="991" spans="4:4">
      <c r="D991" s="170" t="str">
        <f>IF(ISNUMBER(SEARCH(Checksheet!$U$11,B991)),MAX($D$1:D990)+1,"")</f>
        <v/>
      </c>
    </row>
    <row r="992" spans="4:4">
      <c r="D992" s="170" t="str">
        <f>IF(ISNUMBER(SEARCH(Checksheet!$U$11,B992)),MAX($D$1:D991)+1,"")</f>
        <v/>
      </c>
    </row>
    <row r="993" spans="4:4">
      <c r="D993" s="170" t="str">
        <f>IF(ISNUMBER(SEARCH(Checksheet!$U$11,B993)),MAX($D$1:D992)+1,"")</f>
        <v/>
      </c>
    </row>
    <row r="994" spans="4:4">
      <c r="D994" s="170" t="str">
        <f>IF(ISNUMBER(SEARCH(Checksheet!$U$11,B994)),MAX($D$1:D993)+1,"")</f>
        <v/>
      </c>
    </row>
    <row r="995" spans="4:4">
      <c r="D995" s="170" t="str">
        <f>IF(ISNUMBER(SEARCH(Checksheet!$U$11,B995)),MAX($D$1:D994)+1,"")</f>
        <v/>
      </c>
    </row>
    <row r="996" spans="4:4">
      <c r="D996" s="170" t="str">
        <f>IF(ISNUMBER(SEARCH(Checksheet!$U$11,B996)),MAX($D$1:D995)+1,"")</f>
        <v/>
      </c>
    </row>
    <row r="997" spans="4:4">
      <c r="D997" s="170" t="str">
        <f>IF(ISNUMBER(SEARCH(Checksheet!$U$11,B997)),MAX($D$1:D996)+1,"")</f>
        <v/>
      </c>
    </row>
    <row r="998" spans="4:4">
      <c r="D998" s="170" t="str">
        <f>IF(ISNUMBER(SEARCH(Checksheet!$U$11,B998)),MAX($D$1:D997)+1,"")</f>
        <v/>
      </c>
    </row>
    <row r="999" spans="4:4">
      <c r="D999" s="170" t="str">
        <f>IF(ISNUMBER(SEARCH(Checksheet!$U$11,B999)),MAX($D$1:D998)+1,"")</f>
        <v/>
      </c>
    </row>
    <row r="1000" spans="4:4">
      <c r="D1000" s="170" t="str">
        <f>IF(ISNUMBER(SEARCH(Checksheet!$U$11,B1000)),MAX($D$1:D999)+1,"")</f>
        <v/>
      </c>
    </row>
    <row r="1001" spans="4:4">
      <c r="D1001" s="170" t="str">
        <f>IF(ISNUMBER(SEARCH(Checksheet!$U$11,B1001)),MAX($D$1:D1000)+1,"")</f>
        <v/>
      </c>
    </row>
    <row r="1002" spans="4:4">
      <c r="D1002" s="170" t="str">
        <f>IF(ISNUMBER(SEARCH(Checksheet!$U$11,B1002)),MAX($D$1:D1001)+1,"")</f>
        <v/>
      </c>
    </row>
    <row r="1003" spans="4:4">
      <c r="D1003" s="170" t="str">
        <f>IF(ISNUMBER(SEARCH(Checksheet!$U$11,B1003)),MAX($D$1:D1002)+1,"")</f>
        <v/>
      </c>
    </row>
    <row r="1004" spans="4:4">
      <c r="D1004" s="170" t="str">
        <f>IF(ISNUMBER(SEARCH(Checksheet!$U$11,B1004)),MAX($D$1:D1003)+1,"")</f>
        <v/>
      </c>
    </row>
    <row r="1005" spans="4:4">
      <c r="D1005" s="170" t="str">
        <f>IF(ISNUMBER(SEARCH(Checksheet!$U$11,B1005)),MAX($D$1:D1004)+1,"")</f>
        <v/>
      </c>
    </row>
    <row r="1006" spans="4:4">
      <c r="D1006" s="170" t="str">
        <f>IF(ISNUMBER(SEARCH(Checksheet!$U$11,B1006)),MAX($D$1:D1005)+1,"")</f>
        <v/>
      </c>
    </row>
    <row r="1007" spans="4:4">
      <c r="D1007" s="170" t="str">
        <f>IF(ISNUMBER(SEARCH(Checksheet!$U$11,B1007)),MAX($D$1:D1006)+1,"")</f>
        <v/>
      </c>
    </row>
    <row r="1008" spans="4:4">
      <c r="D1008" s="170" t="str">
        <f>IF(ISNUMBER(SEARCH(Checksheet!$U$11,B1008)),MAX($D$1:D1007)+1,"")</f>
        <v/>
      </c>
    </row>
    <row r="1009" spans="4:4">
      <c r="D1009" s="170" t="str">
        <f>IF(ISNUMBER(SEARCH(Checksheet!$U$11,B1009)),MAX($D$1:D1008)+1,"")</f>
        <v/>
      </c>
    </row>
    <row r="1010" spans="4:4">
      <c r="D1010" s="170" t="str">
        <f>IF(ISNUMBER(SEARCH(Checksheet!$U$11,B1010)),MAX($D$1:D1009)+1,"")</f>
        <v/>
      </c>
    </row>
    <row r="1011" spans="4:4">
      <c r="D1011" s="170" t="str">
        <f>IF(ISNUMBER(SEARCH(Checksheet!$U$11,B1011)),MAX($D$1:D1010)+1,"")</f>
        <v/>
      </c>
    </row>
    <row r="1012" spans="4:4">
      <c r="D1012" s="170" t="str">
        <f>IF(ISNUMBER(SEARCH(Checksheet!$U$11,B1012)),MAX($D$1:D1011)+1,"")</f>
        <v/>
      </c>
    </row>
    <row r="1013" spans="4:4">
      <c r="D1013" s="170" t="str">
        <f>IF(ISNUMBER(SEARCH(Checksheet!$U$11,B1013)),MAX($D$1:D1012)+1,"")</f>
        <v/>
      </c>
    </row>
    <row r="1014" spans="4:4">
      <c r="D1014" s="170" t="str">
        <f>IF(ISNUMBER(SEARCH(Checksheet!$U$11,B1014)),MAX($D$1:D1013)+1,"")</f>
        <v/>
      </c>
    </row>
    <row r="1015" spans="4:4">
      <c r="D1015" s="170" t="str">
        <f>IF(ISNUMBER(SEARCH(Checksheet!$U$11,B1015)),MAX($D$1:D1014)+1,"")</f>
        <v/>
      </c>
    </row>
    <row r="1016" spans="4:4">
      <c r="D1016" s="170" t="str">
        <f>IF(ISNUMBER(SEARCH(Checksheet!$U$11,B1016)),MAX($D$1:D1015)+1,"")</f>
        <v/>
      </c>
    </row>
    <row r="1017" spans="4:4">
      <c r="D1017" s="170" t="str">
        <f>IF(ISNUMBER(SEARCH(Checksheet!$U$11,B1017)),MAX($D$1:D1016)+1,"")</f>
        <v/>
      </c>
    </row>
    <row r="1018" spans="4:4">
      <c r="D1018" s="170" t="str">
        <f>IF(ISNUMBER(SEARCH(Checksheet!$U$11,B1018)),MAX($D$1:D1017)+1,"")</f>
        <v/>
      </c>
    </row>
    <row r="1019" spans="4:4">
      <c r="D1019" s="170" t="str">
        <f>IF(ISNUMBER(SEARCH(Checksheet!$U$11,B1019)),MAX($D$1:D1018)+1,"")</f>
        <v/>
      </c>
    </row>
    <row r="1020" spans="4:4">
      <c r="D1020" s="170" t="str">
        <f>IF(ISNUMBER(SEARCH(Checksheet!$U$11,B1020)),MAX($D$1:D1019)+1,"")</f>
        <v/>
      </c>
    </row>
    <row r="1021" spans="4:4">
      <c r="D1021" s="170" t="str">
        <f>IF(ISNUMBER(SEARCH(Checksheet!$U$11,B1021)),MAX($D$1:D1020)+1,"")</f>
        <v/>
      </c>
    </row>
    <row r="1022" spans="4:4">
      <c r="D1022" s="170" t="str">
        <f>IF(ISNUMBER(SEARCH(Checksheet!$U$11,B1022)),MAX($D$1:D1021)+1,"")</f>
        <v/>
      </c>
    </row>
    <row r="1023" spans="4:4">
      <c r="D1023" s="170" t="str">
        <f>IF(ISNUMBER(SEARCH(Checksheet!$U$11,B1023)),MAX($D$1:D1022)+1,"")</f>
        <v/>
      </c>
    </row>
    <row r="1024" spans="4:4">
      <c r="D1024" s="170" t="str">
        <f>IF(ISNUMBER(SEARCH(Checksheet!$U$11,B1024)),MAX($D$1:D1023)+1,"")</f>
        <v/>
      </c>
    </row>
    <row r="1025" spans="4:4">
      <c r="D1025" s="170" t="str">
        <f>IF(ISNUMBER(SEARCH(Checksheet!$U$11,B1025)),MAX($D$1:D1024)+1,"")</f>
        <v/>
      </c>
    </row>
    <row r="1026" spans="4:4">
      <c r="D1026" s="170" t="str">
        <f>IF(ISNUMBER(SEARCH(Checksheet!$U$11,B1026)),MAX($D$1:D1025)+1,"")</f>
        <v/>
      </c>
    </row>
    <row r="1027" spans="4:4">
      <c r="D1027" s="170" t="str">
        <f>IF(ISNUMBER(SEARCH(Checksheet!$U$11,B1027)),MAX($D$1:D1026)+1,"")</f>
        <v/>
      </c>
    </row>
    <row r="1028" spans="4:4">
      <c r="D1028" s="170" t="str">
        <f>IF(ISNUMBER(SEARCH(Checksheet!$U$11,B1028)),MAX($D$1:D1027)+1,"")</f>
        <v/>
      </c>
    </row>
    <row r="1029" spans="4:4">
      <c r="D1029" s="170" t="str">
        <f>IF(ISNUMBER(SEARCH(Checksheet!$U$11,B1029)),MAX($D$1:D1028)+1,"")</f>
        <v/>
      </c>
    </row>
    <row r="1030" spans="4:4">
      <c r="D1030" s="170" t="str">
        <f>IF(ISNUMBER(SEARCH(Checksheet!$U$11,B1030)),MAX($D$1:D1029)+1,"")</f>
        <v/>
      </c>
    </row>
    <row r="1031" spans="4:4">
      <c r="D1031" s="170" t="str">
        <f>IF(ISNUMBER(SEARCH(Checksheet!$U$11,B1031)),MAX($D$1:D1030)+1,"")</f>
        <v/>
      </c>
    </row>
    <row r="1032" spans="4:4">
      <c r="D1032" s="170" t="str">
        <f>IF(ISNUMBER(SEARCH(Checksheet!$U$11,B1032)),MAX($D$1:D1031)+1,"")</f>
        <v/>
      </c>
    </row>
    <row r="1033" spans="4:4">
      <c r="D1033" s="170" t="str">
        <f>IF(ISNUMBER(SEARCH(Checksheet!$U$11,B1033)),MAX($D$1:D1032)+1,"")</f>
        <v/>
      </c>
    </row>
    <row r="1034" spans="4:4">
      <c r="D1034" s="170" t="str">
        <f>IF(ISNUMBER(SEARCH(Checksheet!$U$11,B1034)),MAX($D$1:D1033)+1,"")</f>
        <v/>
      </c>
    </row>
    <row r="1035" spans="4:4">
      <c r="D1035" s="170" t="str">
        <f>IF(ISNUMBER(SEARCH(Checksheet!$U$11,B1035)),MAX($D$1:D1034)+1,"")</f>
        <v/>
      </c>
    </row>
    <row r="1036" spans="4:4">
      <c r="D1036" s="170" t="str">
        <f>IF(ISNUMBER(SEARCH(Checksheet!$U$11,B1036)),MAX($D$1:D1035)+1,"")</f>
        <v/>
      </c>
    </row>
    <row r="1037" spans="4:4">
      <c r="D1037" s="170" t="str">
        <f>IF(ISNUMBER(SEARCH(Checksheet!$U$11,B1037)),MAX($D$1:D1036)+1,"")</f>
        <v/>
      </c>
    </row>
    <row r="1038" spans="4:4">
      <c r="D1038" s="170" t="str">
        <f>IF(ISNUMBER(SEARCH(Checksheet!$U$11,B1038)),MAX($D$1:D1037)+1,"")</f>
        <v/>
      </c>
    </row>
    <row r="1039" spans="4:4">
      <c r="D1039" s="170" t="str">
        <f>IF(ISNUMBER(SEARCH(Checksheet!$U$11,B1039)),MAX($D$1:D1038)+1,"")</f>
        <v/>
      </c>
    </row>
    <row r="1040" spans="4:4">
      <c r="D1040" s="170" t="str">
        <f>IF(ISNUMBER(SEARCH(Checksheet!$U$11,B1040)),MAX($D$1:D1039)+1,"")</f>
        <v/>
      </c>
    </row>
    <row r="1041" spans="4:4">
      <c r="D1041" s="170" t="str">
        <f>IF(ISNUMBER(SEARCH(Checksheet!$U$11,B1041)),MAX($D$1:D1040)+1,"")</f>
        <v/>
      </c>
    </row>
    <row r="1042" spans="4:4">
      <c r="D1042" s="170" t="str">
        <f>IF(ISNUMBER(SEARCH(Checksheet!$U$11,B1042)),MAX($D$1:D1041)+1,"")</f>
        <v/>
      </c>
    </row>
    <row r="1043" spans="4:4">
      <c r="D1043" s="170" t="str">
        <f>IF(ISNUMBER(SEARCH(Checksheet!$U$11,B1043)),MAX($D$1:D1042)+1,"")</f>
        <v/>
      </c>
    </row>
    <row r="1044" spans="4:4">
      <c r="D1044" s="170" t="str">
        <f>IF(ISNUMBER(SEARCH(Checksheet!$U$11,B1044)),MAX($D$1:D1043)+1,"")</f>
        <v/>
      </c>
    </row>
    <row r="1045" spans="4:4">
      <c r="D1045" s="170" t="str">
        <f>IF(ISNUMBER(SEARCH(Checksheet!$U$11,B1045)),MAX($D$1:D1044)+1,"")</f>
        <v/>
      </c>
    </row>
    <row r="1046" spans="4:4">
      <c r="D1046" s="170" t="str">
        <f>IF(ISNUMBER(SEARCH(Checksheet!$U$11,B1046)),MAX($D$1:D1045)+1,"")</f>
        <v/>
      </c>
    </row>
    <row r="1047" spans="4:4">
      <c r="D1047" s="170" t="str">
        <f>IF(ISNUMBER(SEARCH(Checksheet!$U$11,B1047)),MAX($D$1:D1046)+1,"")</f>
        <v/>
      </c>
    </row>
    <row r="1048" spans="4:4">
      <c r="D1048" s="170" t="str">
        <f>IF(ISNUMBER(SEARCH(Checksheet!$U$11,B1048)),MAX($D$1:D1047)+1,"")</f>
        <v/>
      </c>
    </row>
    <row r="1049" spans="4:4">
      <c r="D1049" s="170" t="str">
        <f>IF(ISNUMBER(SEARCH(Checksheet!$U$11,B1049)),MAX($D$1:D1048)+1,"")</f>
        <v/>
      </c>
    </row>
    <row r="1050" spans="4:4">
      <c r="D1050" s="170" t="str">
        <f>IF(ISNUMBER(SEARCH(Checksheet!$U$11,B1050)),MAX($D$1:D1049)+1,"")</f>
        <v/>
      </c>
    </row>
    <row r="1051" spans="4:4">
      <c r="D1051" s="170" t="str">
        <f>IF(ISNUMBER(SEARCH(Checksheet!$U$11,B1051)),MAX($D$1:D1050)+1,"")</f>
        <v/>
      </c>
    </row>
    <row r="1052" spans="4:4">
      <c r="D1052" s="170" t="str">
        <f>IF(ISNUMBER(SEARCH(Checksheet!$U$11,B1052)),MAX($D$1:D1051)+1,"")</f>
        <v/>
      </c>
    </row>
    <row r="1053" spans="4:4">
      <c r="D1053" s="170" t="str">
        <f>IF(ISNUMBER(SEARCH(Checksheet!$U$11,B1053)),MAX($D$1:D1052)+1,"")</f>
        <v/>
      </c>
    </row>
    <row r="1054" spans="4:4">
      <c r="D1054" s="170" t="str">
        <f>IF(ISNUMBER(SEARCH(Checksheet!$U$11,B1054)),MAX($D$1:D1053)+1,"")</f>
        <v/>
      </c>
    </row>
    <row r="1055" spans="4:4">
      <c r="D1055" s="170" t="str">
        <f>IF(ISNUMBER(SEARCH(Checksheet!$U$11,B1055)),MAX($D$1:D1054)+1,"")</f>
        <v/>
      </c>
    </row>
    <row r="1056" spans="4:4">
      <c r="D1056" s="170" t="str">
        <f>IF(ISNUMBER(SEARCH(Checksheet!$U$11,B1056)),MAX($D$1:D1055)+1,"")</f>
        <v/>
      </c>
    </row>
    <row r="1057" spans="4:4">
      <c r="D1057" s="170" t="str">
        <f>IF(ISNUMBER(SEARCH(Checksheet!$U$11,B1057)),MAX($D$1:D1056)+1,"")</f>
        <v/>
      </c>
    </row>
    <row r="1058" spans="4:4">
      <c r="D1058" s="170" t="str">
        <f>IF(ISNUMBER(SEARCH(Checksheet!$U$11,B1058)),MAX($D$1:D1057)+1,"")</f>
        <v/>
      </c>
    </row>
    <row r="1059" spans="4:4">
      <c r="D1059" s="170" t="str">
        <f>IF(ISNUMBER(SEARCH(Checksheet!$U$11,B1059)),MAX($D$1:D1058)+1,"")</f>
        <v/>
      </c>
    </row>
    <row r="1060" spans="4:4">
      <c r="D1060" s="170" t="str">
        <f>IF(ISNUMBER(SEARCH(Checksheet!$U$11,B1060)),MAX($D$1:D1059)+1,"")</f>
        <v/>
      </c>
    </row>
    <row r="1061" spans="4:4">
      <c r="D1061" s="170" t="str">
        <f>IF(ISNUMBER(SEARCH(Checksheet!$U$11,B1061)),MAX($D$1:D1060)+1,"")</f>
        <v/>
      </c>
    </row>
    <row r="1062" spans="4:4">
      <c r="D1062" s="170" t="str">
        <f>IF(ISNUMBER(SEARCH(Checksheet!$U$11,B1062)),MAX($D$1:D1061)+1,"")</f>
        <v/>
      </c>
    </row>
    <row r="1063" spans="4:4">
      <c r="D1063" s="170" t="str">
        <f>IF(ISNUMBER(SEARCH(Checksheet!$U$11,B1063)),MAX($D$1:D1062)+1,"")</f>
        <v/>
      </c>
    </row>
    <row r="1064" spans="4:4">
      <c r="D1064" s="170" t="str">
        <f>IF(ISNUMBER(SEARCH(Checksheet!$U$11,B1064)),MAX($D$1:D1063)+1,"")</f>
        <v/>
      </c>
    </row>
    <row r="1065" spans="4:4">
      <c r="D1065" s="170" t="str">
        <f>IF(ISNUMBER(SEARCH(Checksheet!$U$11,B1065)),MAX($D$1:D1064)+1,"")</f>
        <v/>
      </c>
    </row>
    <row r="1066" spans="4:4">
      <c r="D1066" s="170" t="str">
        <f>IF(ISNUMBER(SEARCH(Checksheet!$U$11,B1066)),MAX($D$1:D1065)+1,"")</f>
        <v/>
      </c>
    </row>
    <row r="1067" spans="4:4">
      <c r="D1067" s="170" t="str">
        <f>IF(ISNUMBER(SEARCH(Checksheet!$U$11,B1067)),MAX($D$1:D1066)+1,"")</f>
        <v/>
      </c>
    </row>
    <row r="1068" spans="4:4">
      <c r="D1068" s="170" t="str">
        <f>IF(ISNUMBER(SEARCH(Checksheet!$U$11,B1068)),MAX($D$1:D1067)+1,"")</f>
        <v/>
      </c>
    </row>
    <row r="1069" spans="4:4">
      <c r="D1069" s="170" t="str">
        <f>IF(ISNUMBER(SEARCH(Checksheet!$U$11,B1069)),MAX($D$1:D1068)+1,"")</f>
        <v/>
      </c>
    </row>
    <row r="1070" spans="4:4">
      <c r="D1070" s="170" t="str">
        <f>IF(ISNUMBER(SEARCH(Checksheet!$U$11,B1070)),MAX($D$1:D1069)+1,"")</f>
        <v/>
      </c>
    </row>
    <row r="1071" spans="4:4">
      <c r="D1071" s="170" t="str">
        <f>IF(ISNUMBER(SEARCH(Checksheet!$U$11,B1071)),MAX($D$1:D1070)+1,"")</f>
        <v/>
      </c>
    </row>
    <row r="1072" spans="4:4">
      <c r="D1072" s="170" t="str">
        <f>IF(ISNUMBER(SEARCH(Checksheet!$U$11,B1072)),MAX($D$1:D1071)+1,"")</f>
        <v/>
      </c>
    </row>
    <row r="1073" spans="4:4">
      <c r="D1073" s="170" t="str">
        <f>IF(ISNUMBER(SEARCH(Checksheet!$U$11,B1073)),MAX($D$1:D1072)+1,"")</f>
        <v/>
      </c>
    </row>
    <row r="1074" spans="4:4">
      <c r="D1074" s="170" t="str">
        <f>IF(ISNUMBER(SEARCH(Checksheet!$U$11,B1074)),MAX($D$1:D1073)+1,"")</f>
        <v/>
      </c>
    </row>
    <row r="1075" spans="4:4">
      <c r="D1075" s="170" t="str">
        <f>IF(ISNUMBER(SEARCH(Checksheet!$U$11,B1075)),MAX($D$1:D1074)+1,"")</f>
        <v/>
      </c>
    </row>
    <row r="1076" spans="4:4">
      <c r="D1076" s="170" t="str">
        <f>IF(ISNUMBER(SEARCH(Checksheet!$U$11,B1076)),MAX($D$1:D1075)+1,"")</f>
        <v/>
      </c>
    </row>
    <row r="1077" spans="4:4">
      <c r="D1077" s="170" t="str">
        <f>IF(ISNUMBER(SEARCH(Checksheet!$U$11,B1077)),MAX($D$1:D1076)+1,"")</f>
        <v/>
      </c>
    </row>
    <row r="1078" spans="4:4">
      <c r="D1078" s="170" t="str">
        <f>IF(ISNUMBER(SEARCH(Checksheet!$U$11,B1078)),MAX($D$1:D1077)+1,"")</f>
        <v/>
      </c>
    </row>
    <row r="1079" spans="4:4">
      <c r="D1079" s="170" t="str">
        <f>IF(ISNUMBER(SEARCH(Checksheet!$U$11,B1079)),MAX($D$1:D1078)+1,"")</f>
        <v/>
      </c>
    </row>
    <row r="1080" spans="4:4">
      <c r="D1080" s="170" t="str">
        <f>IF(ISNUMBER(SEARCH(Checksheet!$U$11,B1080)),MAX($D$1:D1079)+1,"")</f>
        <v/>
      </c>
    </row>
    <row r="1081" spans="4:4">
      <c r="D1081" s="170" t="str">
        <f>IF(ISNUMBER(SEARCH(Checksheet!$U$11,B1081)),MAX($D$1:D1080)+1,"")</f>
        <v/>
      </c>
    </row>
    <row r="1082" spans="4:4">
      <c r="D1082" s="170" t="str">
        <f>IF(ISNUMBER(SEARCH(Checksheet!$U$11,B1082)),MAX($D$1:D1081)+1,"")</f>
        <v/>
      </c>
    </row>
    <row r="1083" spans="4:4">
      <c r="D1083" s="170" t="str">
        <f>IF(ISNUMBER(SEARCH(Checksheet!$U$11,B1083)),MAX($D$1:D1082)+1,"")</f>
        <v/>
      </c>
    </row>
    <row r="1084" spans="4:4">
      <c r="D1084" s="170" t="str">
        <f>IF(ISNUMBER(SEARCH(Checksheet!$U$11,B1084)),MAX($D$1:D1083)+1,"")</f>
        <v/>
      </c>
    </row>
    <row r="1085" spans="4:4">
      <c r="D1085" s="170" t="str">
        <f>IF(ISNUMBER(SEARCH(Checksheet!$U$11,B1085)),MAX($D$1:D1084)+1,"")</f>
        <v/>
      </c>
    </row>
    <row r="1086" spans="4:4">
      <c r="D1086" s="170" t="str">
        <f>IF(ISNUMBER(SEARCH(Checksheet!$U$11,B1086)),MAX($D$1:D1085)+1,"")</f>
        <v/>
      </c>
    </row>
    <row r="1087" spans="4:4">
      <c r="D1087" s="170" t="str">
        <f>IF(ISNUMBER(SEARCH(Checksheet!$U$11,B1087)),MAX($D$1:D1086)+1,"")</f>
        <v/>
      </c>
    </row>
    <row r="1088" spans="4:4">
      <c r="D1088" s="170" t="str">
        <f>IF(ISNUMBER(SEARCH(Checksheet!$U$11,B1088)),MAX($D$1:D1087)+1,"")</f>
        <v/>
      </c>
    </row>
    <row r="1089" spans="4:4">
      <c r="D1089" s="170" t="str">
        <f>IF(ISNUMBER(SEARCH(Checksheet!$U$11,B1089)),MAX($D$1:D1088)+1,"")</f>
        <v/>
      </c>
    </row>
    <row r="1090" spans="4:4">
      <c r="D1090" s="170" t="str">
        <f>IF(ISNUMBER(SEARCH(Checksheet!$U$11,B1090)),MAX($D$1:D1089)+1,"")</f>
        <v/>
      </c>
    </row>
    <row r="1091" spans="4:4">
      <c r="D1091" s="170" t="str">
        <f>IF(ISNUMBER(SEARCH(Checksheet!$U$11,B1091)),MAX($D$1:D1090)+1,"")</f>
        <v/>
      </c>
    </row>
    <row r="1092" spans="4:4">
      <c r="D1092" s="170" t="str">
        <f>IF(ISNUMBER(SEARCH(Checksheet!$U$11,B1092)),MAX($D$1:D1091)+1,"")</f>
        <v/>
      </c>
    </row>
    <row r="1093" spans="4:4">
      <c r="D1093" s="170" t="str">
        <f>IF(ISNUMBER(SEARCH(Checksheet!$U$11,B1093)),MAX($D$1:D1092)+1,"")</f>
        <v/>
      </c>
    </row>
    <row r="1094" spans="4:4">
      <c r="D1094" s="170" t="str">
        <f>IF(ISNUMBER(SEARCH(Checksheet!$U$11,B1094)),MAX($D$1:D1093)+1,"")</f>
        <v/>
      </c>
    </row>
    <row r="1095" spans="4:4">
      <c r="D1095" s="170" t="str">
        <f>IF(ISNUMBER(SEARCH(Checksheet!$U$11,B1095)),MAX($D$1:D1094)+1,"")</f>
        <v/>
      </c>
    </row>
    <row r="1096" spans="4:4">
      <c r="D1096" s="170" t="str">
        <f>IF(ISNUMBER(SEARCH(Checksheet!$U$11,B1096)),MAX($D$1:D1095)+1,"")</f>
        <v/>
      </c>
    </row>
    <row r="1097" spans="4:4">
      <c r="D1097" s="170" t="str">
        <f>IF(ISNUMBER(SEARCH(Checksheet!$U$11,B1097)),MAX($D$1:D1096)+1,"")</f>
        <v/>
      </c>
    </row>
    <row r="1098" spans="4:4">
      <c r="D1098" s="170" t="str">
        <f>IF(ISNUMBER(SEARCH(Checksheet!$U$11,B1098)),MAX($D$1:D1097)+1,"")</f>
        <v/>
      </c>
    </row>
    <row r="1099" spans="4:4">
      <c r="D1099" s="170" t="str">
        <f>IF(ISNUMBER(SEARCH(Checksheet!$U$11,B1099)),MAX($D$1:D1098)+1,"")</f>
        <v/>
      </c>
    </row>
    <row r="1100" spans="4:4">
      <c r="D1100" s="170" t="str">
        <f>IF(ISNUMBER(SEARCH(Checksheet!$U$11,B1100)),MAX($D$1:D1099)+1,"")</f>
        <v/>
      </c>
    </row>
    <row r="1101" spans="4:4">
      <c r="D1101" s="170" t="str">
        <f>IF(ISNUMBER(SEARCH(Checksheet!$U$11,B1101)),MAX($D$1:D1100)+1,"")</f>
        <v/>
      </c>
    </row>
    <row r="1102" spans="4:4">
      <c r="D1102" s="170" t="str">
        <f>IF(ISNUMBER(SEARCH(Checksheet!$U$11,B1102)),MAX($D$1:D1101)+1,"")</f>
        <v/>
      </c>
    </row>
    <row r="1103" spans="4:4">
      <c r="D1103" s="170" t="str">
        <f>IF(ISNUMBER(SEARCH(Checksheet!$U$11,B1103)),MAX($D$1:D1102)+1,"")</f>
        <v/>
      </c>
    </row>
    <row r="1104" spans="4:4">
      <c r="D1104" s="170" t="str">
        <f>IF(ISNUMBER(SEARCH(Checksheet!$U$11,B1104)),MAX($D$1:D1103)+1,"")</f>
        <v/>
      </c>
    </row>
    <row r="1105" spans="4:4">
      <c r="D1105" s="170" t="str">
        <f>IF(ISNUMBER(SEARCH(Checksheet!$U$11,B1105)),MAX($D$1:D1104)+1,"")</f>
        <v/>
      </c>
    </row>
    <row r="1106" spans="4:4">
      <c r="D1106" s="170" t="str">
        <f>IF(ISNUMBER(SEARCH(Checksheet!$U$11,B1106)),MAX($D$1:D1105)+1,"")</f>
        <v/>
      </c>
    </row>
    <row r="1107" spans="4:4">
      <c r="D1107" s="170" t="str">
        <f>IF(ISNUMBER(SEARCH(Checksheet!$U$11,B1107)),MAX($D$1:D1106)+1,"")</f>
        <v/>
      </c>
    </row>
    <row r="1108" spans="4:4">
      <c r="D1108" s="170" t="str">
        <f>IF(ISNUMBER(SEARCH(Checksheet!$U$11,B1108)),MAX($D$1:D1107)+1,"")</f>
        <v/>
      </c>
    </row>
    <row r="1109" spans="4:4">
      <c r="D1109" s="170" t="str">
        <f>IF(ISNUMBER(SEARCH(Checksheet!$U$11,B1109)),MAX($D$1:D1108)+1,"")</f>
        <v/>
      </c>
    </row>
    <row r="1110" spans="4:4">
      <c r="D1110" s="170" t="str">
        <f>IF(ISNUMBER(SEARCH(Checksheet!$U$11,B1110)),MAX($D$1:D1109)+1,"")</f>
        <v/>
      </c>
    </row>
    <row r="1111" spans="4:4">
      <c r="D1111" s="170" t="str">
        <f>IF(ISNUMBER(SEARCH(Checksheet!$U$11,B1111)),MAX($D$1:D1110)+1,"")</f>
        <v/>
      </c>
    </row>
    <row r="1112" spans="4:4">
      <c r="D1112" s="170" t="str">
        <f>IF(ISNUMBER(SEARCH(Checksheet!$U$11,B1112)),MAX($D$1:D1111)+1,"")</f>
        <v/>
      </c>
    </row>
    <row r="1113" spans="4:4">
      <c r="D1113" s="170" t="str">
        <f>IF(ISNUMBER(SEARCH(Checksheet!$U$11,B1113)),MAX($D$1:D1112)+1,"")</f>
        <v/>
      </c>
    </row>
    <row r="1114" spans="4:4">
      <c r="D1114" s="170" t="str">
        <f>IF(ISNUMBER(SEARCH(Checksheet!$U$11,B1114)),MAX($D$1:D1113)+1,"")</f>
        <v/>
      </c>
    </row>
    <row r="1115" spans="4:4">
      <c r="D1115" s="170" t="str">
        <f>IF(ISNUMBER(SEARCH(Checksheet!$U$11,B1115)),MAX($D$1:D1114)+1,"")</f>
        <v/>
      </c>
    </row>
    <row r="1116" spans="4:4">
      <c r="D1116" s="170" t="str">
        <f>IF(ISNUMBER(SEARCH(Checksheet!$U$11,B1116)),MAX($D$1:D1115)+1,"")</f>
        <v/>
      </c>
    </row>
    <row r="1117" spans="4:4">
      <c r="D1117" s="170" t="str">
        <f>IF(ISNUMBER(SEARCH(Checksheet!$U$11,B1117)),MAX($D$1:D1116)+1,"")</f>
        <v/>
      </c>
    </row>
    <row r="1118" spans="4:4">
      <c r="D1118" s="170" t="str">
        <f>IF(ISNUMBER(SEARCH(Checksheet!$U$11,B1118)),MAX($D$1:D1117)+1,"")</f>
        <v/>
      </c>
    </row>
    <row r="1119" spans="4:4">
      <c r="D1119" s="170" t="str">
        <f>IF(ISNUMBER(SEARCH(Checksheet!$U$11,B1119)),MAX($D$1:D1118)+1,"")</f>
        <v/>
      </c>
    </row>
    <row r="1120" spans="4:4">
      <c r="D1120" s="170" t="str">
        <f>IF(ISNUMBER(SEARCH(Checksheet!$U$11,B1120)),MAX($D$1:D1119)+1,"")</f>
        <v/>
      </c>
    </row>
    <row r="1121" spans="4:4">
      <c r="D1121" s="170" t="str">
        <f>IF(ISNUMBER(SEARCH(Checksheet!$U$11,B1121)),MAX($D$1:D1120)+1,"")</f>
        <v/>
      </c>
    </row>
    <row r="1122" spans="4:4">
      <c r="D1122" s="170" t="str">
        <f>IF(ISNUMBER(SEARCH(Checksheet!$U$11,B1122)),MAX($D$1:D1121)+1,"")</f>
        <v/>
      </c>
    </row>
    <row r="1123" spans="4:4">
      <c r="D1123" s="170" t="str">
        <f>IF(ISNUMBER(SEARCH(Checksheet!$U$11,B1123)),MAX($D$1:D1122)+1,"")</f>
        <v/>
      </c>
    </row>
    <row r="1124" spans="4:4">
      <c r="D1124" s="170" t="str">
        <f>IF(ISNUMBER(SEARCH(Checksheet!$U$11,B1124)),MAX($D$1:D1123)+1,"")</f>
        <v/>
      </c>
    </row>
    <row r="1125" spans="4:4">
      <c r="D1125" s="170" t="str">
        <f>IF(ISNUMBER(SEARCH(Checksheet!$U$11,B1125)),MAX($D$1:D1124)+1,"")</f>
        <v/>
      </c>
    </row>
    <row r="1126" spans="4:4">
      <c r="D1126" s="170" t="str">
        <f>IF(ISNUMBER(SEARCH(Checksheet!$U$11,B1126)),MAX($D$1:D1125)+1,"")</f>
        <v/>
      </c>
    </row>
    <row r="1127" spans="4:4">
      <c r="D1127" s="170" t="str">
        <f>IF(ISNUMBER(SEARCH(Checksheet!$U$11,B1127)),MAX($D$1:D1126)+1,"")</f>
        <v/>
      </c>
    </row>
    <row r="1128" spans="4:4">
      <c r="D1128" s="170" t="str">
        <f>IF(ISNUMBER(SEARCH(Checksheet!$U$11,B1128)),MAX($D$1:D1127)+1,"")</f>
        <v/>
      </c>
    </row>
    <row r="1129" spans="4:4">
      <c r="D1129" s="170" t="str">
        <f>IF(ISNUMBER(SEARCH(Checksheet!$U$11,B1129)),MAX($D$1:D1128)+1,"")</f>
        <v/>
      </c>
    </row>
    <row r="1130" spans="4:4">
      <c r="D1130" s="170" t="str">
        <f>IF(ISNUMBER(SEARCH(Checksheet!$U$11,B1130)),MAX($D$1:D1129)+1,"")</f>
        <v/>
      </c>
    </row>
    <row r="1131" spans="4:4">
      <c r="D1131" s="170" t="str">
        <f>IF(ISNUMBER(SEARCH(Checksheet!$U$11,B1131)),MAX($D$1:D1130)+1,"")</f>
        <v/>
      </c>
    </row>
    <row r="1132" spans="4:4">
      <c r="D1132" s="170" t="str">
        <f>IF(ISNUMBER(SEARCH(Checksheet!$U$11,B1132)),MAX($D$1:D1131)+1,"")</f>
        <v/>
      </c>
    </row>
    <row r="1133" spans="4:4">
      <c r="D1133" s="170" t="str">
        <f>IF(ISNUMBER(SEARCH(Checksheet!$U$11,B1133)),MAX($D$1:D1132)+1,"")</f>
        <v/>
      </c>
    </row>
    <row r="1134" spans="4:4">
      <c r="D1134" s="170" t="str">
        <f>IF(ISNUMBER(SEARCH(Checksheet!$U$11,B1134)),MAX($D$1:D1133)+1,"")</f>
        <v/>
      </c>
    </row>
    <row r="1135" spans="4:4">
      <c r="D1135" s="170" t="str">
        <f>IF(ISNUMBER(SEARCH(Checksheet!$U$11,B1135)),MAX($D$1:D1134)+1,"")</f>
        <v/>
      </c>
    </row>
    <row r="1136" spans="4:4">
      <c r="D1136" s="170" t="str">
        <f>IF(ISNUMBER(SEARCH(Checksheet!$U$11,B1136)),MAX($D$1:D1135)+1,"")</f>
        <v/>
      </c>
    </row>
    <row r="1137" spans="4:4">
      <c r="D1137" s="170" t="str">
        <f>IF(ISNUMBER(SEARCH(Checksheet!$U$11,B1137)),MAX($D$1:D1136)+1,"")</f>
        <v/>
      </c>
    </row>
    <row r="1138" spans="4:4">
      <c r="D1138" s="170" t="str">
        <f>IF(ISNUMBER(SEARCH(Checksheet!$U$11,B1138)),MAX($D$1:D1137)+1,"")</f>
        <v/>
      </c>
    </row>
    <row r="1139" spans="4:4">
      <c r="D1139" s="170" t="str">
        <f>IF(ISNUMBER(SEARCH(Checksheet!$U$11,B1139)),MAX($D$1:D1138)+1,"")</f>
        <v/>
      </c>
    </row>
    <row r="1140" spans="4:4">
      <c r="D1140" s="170" t="str">
        <f>IF(ISNUMBER(SEARCH(Checksheet!$U$11,B1140)),MAX($D$1:D1139)+1,"")</f>
        <v/>
      </c>
    </row>
    <row r="1141" spans="4:4">
      <c r="D1141" s="170" t="str">
        <f>IF(ISNUMBER(SEARCH(Checksheet!$U$11,B1141)),MAX($D$1:D1140)+1,"")</f>
        <v/>
      </c>
    </row>
    <row r="1142" spans="4:4">
      <c r="D1142" s="170" t="str">
        <f>IF(ISNUMBER(SEARCH(Checksheet!$U$11,B1142)),MAX($D$1:D1141)+1,"")</f>
        <v/>
      </c>
    </row>
    <row r="1143" spans="4:4">
      <c r="D1143" s="170" t="str">
        <f>IF(ISNUMBER(SEARCH(Checksheet!$U$11,B1143)),MAX($D$1:D1142)+1,"")</f>
        <v/>
      </c>
    </row>
    <row r="1144" spans="4:4">
      <c r="D1144" s="170" t="str">
        <f>IF(ISNUMBER(SEARCH(Checksheet!$U$11,B1144)),MAX($D$1:D1143)+1,"")</f>
        <v/>
      </c>
    </row>
    <row r="1145" spans="4:4">
      <c r="D1145" s="170" t="str">
        <f>IF(ISNUMBER(SEARCH(Checksheet!$U$11,B1145)),MAX($D$1:D1144)+1,"")</f>
        <v/>
      </c>
    </row>
    <row r="1146" spans="4:4">
      <c r="D1146" s="170" t="str">
        <f>IF(ISNUMBER(SEARCH(Checksheet!$U$11,B1146)),MAX($D$1:D1145)+1,"")</f>
        <v/>
      </c>
    </row>
    <row r="1147" spans="4:4">
      <c r="D1147" s="170" t="str">
        <f>IF(ISNUMBER(SEARCH(Checksheet!$U$11,B1147)),MAX($D$1:D1146)+1,"")</f>
        <v/>
      </c>
    </row>
    <row r="1148" spans="4:4">
      <c r="D1148" s="170" t="str">
        <f>IF(ISNUMBER(SEARCH(Checksheet!$U$11,B1148)),MAX($D$1:D1147)+1,"")</f>
        <v/>
      </c>
    </row>
    <row r="1149" spans="4:4">
      <c r="D1149" s="170" t="str">
        <f>IF(ISNUMBER(SEARCH(Checksheet!$U$11,B1149)),MAX($D$1:D1148)+1,"")</f>
        <v/>
      </c>
    </row>
    <row r="1150" spans="4:4">
      <c r="D1150" s="170" t="str">
        <f>IF(ISNUMBER(SEARCH(Checksheet!$U$11,B1150)),MAX($D$1:D1149)+1,"")</f>
        <v/>
      </c>
    </row>
    <row r="1151" spans="4:4">
      <c r="D1151" s="170" t="str">
        <f>IF(ISNUMBER(SEARCH(Checksheet!$U$11,B1151)),MAX($D$1:D1150)+1,"")</f>
        <v/>
      </c>
    </row>
    <row r="1152" spans="4:4">
      <c r="D1152" s="170" t="str">
        <f>IF(ISNUMBER(SEARCH(Checksheet!$U$11,B1152)),MAX($D$1:D1151)+1,"")</f>
        <v/>
      </c>
    </row>
    <row r="1153" spans="4:4">
      <c r="D1153" s="170" t="str">
        <f>IF(ISNUMBER(SEARCH(Checksheet!$U$11,B1153)),MAX($D$1:D1152)+1,"")</f>
        <v/>
      </c>
    </row>
    <row r="1154" spans="4:4">
      <c r="D1154" s="170" t="str">
        <f>IF(ISNUMBER(SEARCH(Checksheet!$U$11,B1154)),MAX($D$1:D1153)+1,"")</f>
        <v/>
      </c>
    </row>
    <row r="1155" spans="4:4">
      <c r="D1155" s="170" t="str">
        <f>IF(ISNUMBER(SEARCH(Checksheet!$U$11,B1155)),MAX($D$1:D1154)+1,"")</f>
        <v/>
      </c>
    </row>
    <row r="1156" spans="4:4">
      <c r="D1156" s="170" t="str">
        <f>IF(ISNUMBER(SEARCH(Checksheet!$U$11,B1156)),MAX($D$1:D1155)+1,"")</f>
        <v/>
      </c>
    </row>
    <row r="1157" spans="4:4">
      <c r="D1157" s="170" t="str">
        <f>IF(ISNUMBER(SEARCH(Checksheet!$U$11,B1157)),MAX($D$1:D1156)+1,"")</f>
        <v/>
      </c>
    </row>
    <row r="1158" spans="4:4">
      <c r="D1158" s="170" t="str">
        <f>IF(ISNUMBER(SEARCH(Checksheet!$U$11,B1158)),MAX($D$1:D1157)+1,"")</f>
        <v/>
      </c>
    </row>
    <row r="1159" spans="4:4">
      <c r="D1159" s="170" t="str">
        <f>IF(ISNUMBER(SEARCH(Checksheet!$U$11,B1159)),MAX($D$1:D1158)+1,"")</f>
        <v/>
      </c>
    </row>
    <row r="1160" spans="4:4">
      <c r="D1160" s="170" t="str">
        <f>IF(ISNUMBER(SEARCH(Checksheet!$U$11,B1160)),MAX($D$1:D1159)+1,"")</f>
        <v/>
      </c>
    </row>
    <row r="1161" spans="4:4">
      <c r="D1161" s="170" t="str">
        <f>IF(ISNUMBER(SEARCH(Checksheet!$U$11,B1161)),MAX($D$1:D1160)+1,"")</f>
        <v/>
      </c>
    </row>
    <row r="1162" spans="4:4">
      <c r="D1162" s="170" t="str">
        <f>IF(ISNUMBER(SEARCH(Checksheet!$U$11,B1162)),MAX($D$1:D1161)+1,"")</f>
        <v/>
      </c>
    </row>
    <row r="1163" spans="4:4">
      <c r="D1163" s="170" t="str">
        <f>IF(ISNUMBER(SEARCH(Checksheet!$U$11,B1163)),MAX($D$1:D1162)+1,"")</f>
        <v/>
      </c>
    </row>
    <row r="1164" spans="4:4">
      <c r="D1164" s="170" t="str">
        <f>IF(ISNUMBER(SEARCH(Checksheet!$U$11,B1164)),MAX($D$1:D1163)+1,"")</f>
        <v/>
      </c>
    </row>
    <row r="1165" spans="4:4">
      <c r="D1165" s="170" t="str">
        <f>IF(ISNUMBER(SEARCH(Checksheet!$U$11,B1165)),MAX($D$1:D1164)+1,"")</f>
        <v/>
      </c>
    </row>
    <row r="1166" spans="4:4">
      <c r="D1166" s="170" t="str">
        <f>IF(ISNUMBER(SEARCH(Checksheet!$U$11,B1166)),MAX($D$1:D1165)+1,"")</f>
        <v/>
      </c>
    </row>
    <row r="1167" spans="4:4">
      <c r="D1167" s="170" t="str">
        <f>IF(ISNUMBER(SEARCH(Checksheet!$U$11,B1167)),MAX($D$1:D1166)+1,"")</f>
        <v/>
      </c>
    </row>
    <row r="1168" spans="4:4">
      <c r="D1168" s="170" t="str">
        <f>IF(ISNUMBER(SEARCH(Checksheet!$U$11,B1168)),MAX($D$1:D1167)+1,"")</f>
        <v/>
      </c>
    </row>
    <row r="1169" spans="4:4">
      <c r="D1169" s="170" t="str">
        <f>IF(ISNUMBER(SEARCH(Checksheet!$U$11,B1169)),MAX($D$1:D1168)+1,"")</f>
        <v/>
      </c>
    </row>
    <row r="1170" spans="4:4">
      <c r="D1170" s="170" t="str">
        <f>IF(ISNUMBER(SEARCH(Checksheet!$U$11,B1170)),MAX($D$1:D1169)+1,"")</f>
        <v/>
      </c>
    </row>
    <row r="1171" spans="4:4">
      <c r="D1171" s="170" t="str">
        <f>IF(ISNUMBER(SEARCH(Checksheet!$U$11,B1171)),MAX($D$1:D1170)+1,"")</f>
        <v/>
      </c>
    </row>
    <row r="1172" spans="4:4">
      <c r="D1172" s="170" t="str">
        <f>IF(ISNUMBER(SEARCH(Checksheet!$U$11,B1172)),MAX($D$1:D1171)+1,"")</f>
        <v/>
      </c>
    </row>
    <row r="1173" spans="4:4">
      <c r="D1173" s="170" t="str">
        <f>IF(ISNUMBER(SEARCH(Checksheet!$U$11,B1173)),MAX($D$1:D1172)+1,"")</f>
        <v/>
      </c>
    </row>
    <row r="1174" spans="4:4">
      <c r="D1174" s="170" t="str">
        <f>IF(ISNUMBER(SEARCH(Checksheet!$U$11,B1174)),MAX($D$1:D1173)+1,"")</f>
        <v/>
      </c>
    </row>
    <row r="1175" spans="4:4">
      <c r="D1175" s="170" t="str">
        <f>IF(ISNUMBER(SEARCH(Checksheet!$U$11,B1175)),MAX($D$1:D1174)+1,"")</f>
        <v/>
      </c>
    </row>
    <row r="1176" spans="4:4">
      <c r="D1176" s="170" t="str">
        <f>IF(ISNUMBER(SEARCH(Checksheet!$U$11,B1176)),MAX($D$1:D1175)+1,"")</f>
        <v/>
      </c>
    </row>
    <row r="1177" spans="4:4">
      <c r="D1177" s="170" t="str">
        <f>IF(ISNUMBER(SEARCH(Checksheet!$U$11,B1177)),MAX($D$1:D1176)+1,"")</f>
        <v/>
      </c>
    </row>
    <row r="1178" spans="4:4">
      <c r="D1178" s="170" t="str">
        <f>IF(ISNUMBER(SEARCH(Checksheet!$U$11,B1178)),MAX($D$1:D1177)+1,"")</f>
        <v/>
      </c>
    </row>
    <row r="1179" spans="4:4">
      <c r="D1179" s="170" t="str">
        <f>IF(ISNUMBER(SEARCH(Checksheet!$U$11,B1179)),MAX($D$1:D1178)+1,"")</f>
        <v/>
      </c>
    </row>
    <row r="1180" spans="4:4">
      <c r="D1180" s="170" t="str">
        <f>IF(ISNUMBER(SEARCH(Checksheet!$U$11,B1180)),MAX($D$1:D1179)+1,"")</f>
        <v/>
      </c>
    </row>
    <row r="1181" spans="4:4">
      <c r="D1181" s="170" t="str">
        <f>IF(ISNUMBER(SEARCH(Checksheet!$U$11,B1181)),MAX($D$1:D1180)+1,"")</f>
        <v/>
      </c>
    </row>
    <row r="1182" spans="4:4">
      <c r="D1182" s="170" t="str">
        <f>IF(ISNUMBER(SEARCH(Checksheet!$U$11,B1182)),MAX($D$1:D1181)+1,"")</f>
        <v/>
      </c>
    </row>
    <row r="1183" spans="4:4">
      <c r="D1183" s="170" t="str">
        <f>IF(ISNUMBER(SEARCH(Checksheet!$U$11,B1183)),MAX($D$1:D1182)+1,"")</f>
        <v/>
      </c>
    </row>
    <row r="1184" spans="4:4">
      <c r="D1184" s="170" t="str">
        <f>IF(ISNUMBER(SEARCH(Checksheet!$U$11,B1184)),MAX($D$1:D1183)+1,"")</f>
        <v/>
      </c>
    </row>
    <row r="1185" spans="4:4">
      <c r="D1185" s="170" t="str">
        <f>IF(ISNUMBER(SEARCH(Checksheet!$U$11,B1185)),MAX($D$1:D1184)+1,"")</f>
        <v/>
      </c>
    </row>
    <row r="1186" spans="4:4">
      <c r="D1186" s="170" t="str">
        <f>IF(ISNUMBER(SEARCH(Checksheet!$U$11,B1186)),MAX($D$1:D1185)+1,"")</f>
        <v/>
      </c>
    </row>
    <row r="1187" spans="4:4">
      <c r="D1187" s="170" t="str">
        <f>IF(ISNUMBER(SEARCH(Checksheet!$U$11,B1187)),MAX($D$1:D1186)+1,"")</f>
        <v/>
      </c>
    </row>
    <row r="1188" spans="4:4">
      <c r="D1188" s="170" t="str">
        <f>IF(ISNUMBER(SEARCH(Checksheet!$U$11,B1188)),MAX($D$1:D1187)+1,"")</f>
        <v/>
      </c>
    </row>
    <row r="1189" spans="4:4">
      <c r="D1189" s="170" t="str">
        <f>IF(ISNUMBER(SEARCH(Checksheet!$U$11,B1189)),MAX($D$1:D1188)+1,"")</f>
        <v/>
      </c>
    </row>
    <row r="1190" spans="4:4">
      <c r="D1190" s="170" t="str">
        <f>IF(ISNUMBER(SEARCH(Checksheet!$U$11,B1190)),MAX($D$1:D1189)+1,"")</f>
        <v/>
      </c>
    </row>
    <row r="1191" spans="4:4">
      <c r="D1191" s="170" t="str">
        <f>IF(ISNUMBER(SEARCH(Checksheet!$U$11,B1191)),MAX($D$1:D1190)+1,"")</f>
        <v/>
      </c>
    </row>
    <row r="1192" spans="4:4">
      <c r="D1192" s="170" t="str">
        <f>IF(ISNUMBER(SEARCH(Checksheet!$U$11,B1192)),MAX($D$1:D1191)+1,"")</f>
        <v/>
      </c>
    </row>
    <row r="1193" spans="4:4">
      <c r="D1193" s="170" t="str">
        <f>IF(ISNUMBER(SEARCH(Checksheet!$U$11,B1193)),MAX($D$1:D1192)+1,"")</f>
        <v/>
      </c>
    </row>
    <row r="1194" spans="4:4">
      <c r="D1194" s="170" t="str">
        <f>IF(ISNUMBER(SEARCH(Checksheet!$U$11,B1194)),MAX($D$1:D1193)+1,"")</f>
        <v/>
      </c>
    </row>
    <row r="1195" spans="4:4">
      <c r="D1195" s="170" t="str">
        <f>IF(ISNUMBER(SEARCH(Checksheet!$U$11,B1195)),MAX($D$1:D1194)+1,"")</f>
        <v/>
      </c>
    </row>
    <row r="1196" spans="4:4">
      <c r="D1196" s="170" t="str">
        <f>IF(ISNUMBER(SEARCH(Checksheet!$U$11,B1196)),MAX($D$1:D1195)+1,"")</f>
        <v/>
      </c>
    </row>
    <row r="1197" spans="4:4">
      <c r="D1197" s="170" t="str">
        <f>IF(ISNUMBER(SEARCH(Checksheet!$U$11,B1197)),MAX($D$1:D1196)+1,"")</f>
        <v/>
      </c>
    </row>
    <row r="1198" spans="4:4">
      <c r="D1198" s="170" t="str">
        <f>IF(ISNUMBER(SEARCH(Checksheet!$U$11,B1198)),MAX($D$1:D1197)+1,"")</f>
        <v/>
      </c>
    </row>
    <row r="1199" spans="4:4">
      <c r="D1199" s="170" t="str">
        <f>IF(ISNUMBER(SEARCH(Checksheet!$U$11,B1199)),MAX($D$1:D1198)+1,"")</f>
        <v/>
      </c>
    </row>
    <row r="1200" spans="4:4">
      <c r="D1200" s="170" t="str">
        <f>IF(ISNUMBER(SEARCH(Checksheet!$U$11,B1200)),MAX($D$1:D1199)+1,"")</f>
        <v/>
      </c>
    </row>
    <row r="1201" spans="4:4">
      <c r="D1201" s="170" t="str">
        <f>IF(ISNUMBER(SEARCH(Checksheet!$U$11,B1201)),MAX($D$1:D1200)+1,"")</f>
        <v/>
      </c>
    </row>
    <row r="1202" spans="4:4">
      <c r="D1202" s="170" t="str">
        <f>IF(ISNUMBER(SEARCH(Checksheet!$U$11,B1202)),MAX($D$1:D1201)+1,"")</f>
        <v/>
      </c>
    </row>
    <row r="1203" spans="4:4">
      <c r="D1203" s="170" t="str">
        <f>IF(ISNUMBER(SEARCH(Checksheet!$U$11,B1203)),MAX($D$1:D1202)+1,"")</f>
        <v/>
      </c>
    </row>
    <row r="1204" spans="4:4">
      <c r="D1204" s="170" t="str">
        <f>IF(ISNUMBER(SEARCH(Checksheet!$U$11,B1204)),MAX($D$1:D1203)+1,"")</f>
        <v/>
      </c>
    </row>
    <row r="1205" spans="4:4">
      <c r="D1205" s="170" t="str">
        <f>IF(ISNUMBER(SEARCH(Checksheet!$U$11,B1205)),MAX($D$1:D1204)+1,"")</f>
        <v/>
      </c>
    </row>
    <row r="1206" spans="4:4">
      <c r="D1206" s="170" t="str">
        <f>IF(ISNUMBER(SEARCH(Checksheet!$U$11,B1206)),MAX($D$1:D1205)+1,"")</f>
        <v/>
      </c>
    </row>
    <row r="1207" spans="4:4">
      <c r="D1207" s="170" t="str">
        <f>IF(ISNUMBER(SEARCH(Checksheet!$U$11,B1207)),MAX($D$1:D1206)+1,"")</f>
        <v/>
      </c>
    </row>
    <row r="1208" spans="4:4">
      <c r="D1208" s="170" t="str">
        <f>IF(ISNUMBER(SEARCH(Checksheet!$U$11,B1208)),MAX($D$1:D1207)+1,"")</f>
        <v/>
      </c>
    </row>
    <row r="1209" spans="4:4">
      <c r="D1209" s="170" t="str">
        <f>IF(ISNUMBER(SEARCH(Checksheet!$U$11,B1209)),MAX($D$1:D1208)+1,"")</f>
        <v/>
      </c>
    </row>
    <row r="1210" spans="4:4">
      <c r="D1210" s="170" t="str">
        <f>IF(ISNUMBER(SEARCH(Checksheet!$U$11,B1210)),MAX($D$1:D1209)+1,"")</f>
        <v/>
      </c>
    </row>
    <row r="1211" spans="4:4">
      <c r="D1211" s="170" t="str">
        <f>IF(ISNUMBER(SEARCH(Checksheet!$U$11,B1211)),MAX($D$1:D1210)+1,"")</f>
        <v/>
      </c>
    </row>
    <row r="1212" spans="4:4">
      <c r="D1212" s="170" t="str">
        <f>IF(ISNUMBER(SEARCH(Checksheet!$U$11,B1212)),MAX($D$1:D1211)+1,"")</f>
        <v/>
      </c>
    </row>
    <row r="1213" spans="4:4">
      <c r="D1213" s="170" t="str">
        <f>IF(ISNUMBER(SEARCH(Checksheet!$U$11,B1213)),MAX($D$1:D1212)+1,"")</f>
        <v/>
      </c>
    </row>
    <row r="1214" spans="4:4">
      <c r="D1214" s="170" t="str">
        <f>IF(ISNUMBER(SEARCH(Checksheet!$U$11,B1214)),MAX($D$1:D1213)+1,"")</f>
        <v/>
      </c>
    </row>
    <row r="1215" spans="4:4">
      <c r="D1215" s="170" t="str">
        <f>IF(ISNUMBER(SEARCH(Checksheet!$U$11,B1215)),MAX($D$1:D1214)+1,"")</f>
        <v/>
      </c>
    </row>
    <row r="1216" spans="4:4">
      <c r="D1216" s="170" t="str">
        <f>IF(ISNUMBER(SEARCH(Checksheet!$U$11,B1216)),MAX($D$1:D1215)+1,"")</f>
        <v/>
      </c>
    </row>
    <row r="1217" spans="4:4">
      <c r="D1217" s="170" t="str">
        <f>IF(ISNUMBER(SEARCH(Checksheet!$U$11,B1217)),MAX($D$1:D1216)+1,"")</f>
        <v/>
      </c>
    </row>
    <row r="1218" spans="4:4">
      <c r="D1218" s="170" t="str">
        <f>IF(ISNUMBER(SEARCH(Checksheet!$U$11,B1218)),MAX($D$1:D1217)+1,"")</f>
        <v/>
      </c>
    </row>
    <row r="1219" spans="4:4">
      <c r="D1219" s="170" t="str">
        <f>IF(ISNUMBER(SEARCH(Checksheet!$U$11,B1219)),MAX($D$1:D1218)+1,"")</f>
        <v/>
      </c>
    </row>
    <row r="1220" spans="4:4">
      <c r="D1220" s="170" t="str">
        <f>IF(ISNUMBER(SEARCH(Checksheet!$U$11,B1220)),MAX($D$1:D1219)+1,"")</f>
        <v/>
      </c>
    </row>
    <row r="1221" spans="4:4">
      <c r="D1221" s="170" t="str">
        <f>IF(ISNUMBER(SEARCH(Checksheet!$U$11,B1221)),MAX($D$1:D1220)+1,"")</f>
        <v/>
      </c>
    </row>
    <row r="1222" spans="4:4">
      <c r="D1222" s="170" t="str">
        <f>IF(ISNUMBER(SEARCH(Checksheet!$U$11,B1222)),MAX($D$1:D1221)+1,"")</f>
        <v/>
      </c>
    </row>
    <row r="1223" spans="4:4">
      <c r="D1223" s="170" t="str">
        <f>IF(ISNUMBER(SEARCH(Checksheet!$U$11,B1223)),MAX($D$1:D1222)+1,"")</f>
        <v/>
      </c>
    </row>
    <row r="1224" spans="4:4">
      <c r="D1224" s="170" t="str">
        <f>IF(ISNUMBER(SEARCH(Checksheet!$U$11,B1224)),MAX($D$1:D1223)+1,"")</f>
        <v/>
      </c>
    </row>
    <row r="1225" spans="4:4">
      <c r="D1225" s="170" t="str">
        <f>IF(ISNUMBER(SEARCH(Checksheet!$U$11,B1225)),MAX($D$1:D1224)+1,"")</f>
        <v/>
      </c>
    </row>
    <row r="1226" spans="4:4">
      <c r="D1226" s="170" t="str">
        <f>IF(ISNUMBER(SEARCH(Checksheet!$U$11,B1226)),MAX($D$1:D1225)+1,"")</f>
        <v/>
      </c>
    </row>
    <row r="1227" spans="4:4">
      <c r="D1227" s="170" t="str">
        <f>IF(ISNUMBER(SEARCH(Checksheet!$U$11,B1227)),MAX($D$1:D1226)+1,"")</f>
        <v/>
      </c>
    </row>
    <row r="1228" spans="4:4">
      <c r="D1228" s="170" t="str">
        <f>IF(ISNUMBER(SEARCH(Checksheet!$U$11,B1228)),MAX($D$1:D1227)+1,"")</f>
        <v/>
      </c>
    </row>
    <row r="1229" spans="4:4">
      <c r="D1229" s="170" t="str">
        <f>IF(ISNUMBER(SEARCH(Checksheet!$U$11,B1229)),MAX($D$1:D1228)+1,"")</f>
        <v/>
      </c>
    </row>
    <row r="1230" spans="4:4">
      <c r="D1230" s="170" t="str">
        <f>IF(ISNUMBER(SEARCH(Checksheet!$U$11,B1230)),MAX($D$1:D1229)+1,"")</f>
        <v/>
      </c>
    </row>
    <row r="1231" spans="4:4">
      <c r="D1231" s="170" t="str">
        <f>IF(ISNUMBER(SEARCH(Checksheet!$U$11,B1231)),MAX($D$1:D1230)+1,"")</f>
        <v/>
      </c>
    </row>
    <row r="1232" spans="4:4">
      <c r="D1232" s="170" t="str">
        <f>IF(ISNUMBER(SEARCH(Checksheet!$U$11,B1232)),MAX($D$1:D1231)+1,"")</f>
        <v/>
      </c>
    </row>
    <row r="1233" spans="4:4">
      <c r="D1233" s="170" t="str">
        <f>IF(ISNUMBER(SEARCH(Checksheet!$U$11,B1233)),MAX($D$1:D1232)+1,"")</f>
        <v/>
      </c>
    </row>
    <row r="1234" spans="4:4">
      <c r="D1234" s="170" t="str">
        <f>IF(ISNUMBER(SEARCH(Checksheet!$U$11,B1234)),MAX($D$1:D1233)+1,"")</f>
        <v/>
      </c>
    </row>
    <row r="1235" spans="4:4">
      <c r="D1235" s="170" t="str">
        <f>IF(ISNUMBER(SEARCH(Checksheet!$U$11,B1235)),MAX($D$1:D1234)+1,"")</f>
        <v/>
      </c>
    </row>
    <row r="1236" spans="4:4">
      <c r="D1236" s="170" t="str">
        <f>IF(ISNUMBER(SEARCH(Checksheet!$U$11,B1236)),MAX($D$1:D1235)+1,"")</f>
        <v/>
      </c>
    </row>
    <row r="1237" spans="4:4">
      <c r="D1237" s="170" t="str">
        <f>IF(ISNUMBER(SEARCH(Checksheet!$U$11,B1237)),MAX($D$1:D1236)+1,"")</f>
        <v/>
      </c>
    </row>
    <row r="1238" spans="4:4">
      <c r="D1238" s="170" t="str">
        <f>IF(ISNUMBER(SEARCH(Checksheet!$U$11,B1238)),MAX($D$1:D1237)+1,"")</f>
        <v/>
      </c>
    </row>
    <row r="1239" spans="4:4">
      <c r="D1239" s="170" t="str">
        <f>IF(ISNUMBER(SEARCH(Checksheet!$U$11,B1239)),MAX($D$1:D1238)+1,"")</f>
        <v/>
      </c>
    </row>
    <row r="1240" spans="4:4">
      <c r="D1240" s="170" t="str">
        <f>IF(ISNUMBER(SEARCH(Checksheet!$U$11,B1240)),MAX($D$1:D1239)+1,"")</f>
        <v/>
      </c>
    </row>
    <row r="1241" spans="4:4">
      <c r="D1241" s="170" t="str">
        <f>IF(ISNUMBER(SEARCH(Checksheet!$U$11,B1241)),MAX($D$1:D1240)+1,"")</f>
        <v/>
      </c>
    </row>
    <row r="1242" spans="4:4">
      <c r="D1242" s="170" t="str">
        <f>IF(ISNUMBER(SEARCH(Checksheet!$U$11,B1242)),MAX($D$1:D1241)+1,"")</f>
        <v/>
      </c>
    </row>
    <row r="1243" spans="4:4">
      <c r="D1243" s="170" t="str">
        <f>IF(ISNUMBER(SEARCH(Checksheet!$U$11,B1243)),MAX($D$1:D1242)+1,"")</f>
        <v/>
      </c>
    </row>
    <row r="1244" spans="4:4">
      <c r="D1244" s="170" t="str">
        <f>IF(ISNUMBER(SEARCH(Checksheet!$U$11,B1244)),MAX($D$1:D1243)+1,"")</f>
        <v/>
      </c>
    </row>
    <row r="1245" spans="4:4">
      <c r="D1245" s="170" t="str">
        <f>IF(ISNUMBER(SEARCH(Checksheet!$U$11,B1245)),MAX($D$1:D1244)+1,"")</f>
        <v/>
      </c>
    </row>
    <row r="1246" spans="4:4">
      <c r="D1246" s="170" t="str">
        <f>IF(ISNUMBER(SEARCH(Checksheet!$U$11,B1246)),MAX($D$1:D1245)+1,"")</f>
        <v/>
      </c>
    </row>
    <row r="1247" spans="4:4">
      <c r="D1247" s="170" t="str">
        <f>IF(ISNUMBER(SEARCH(Checksheet!$U$11,B1247)),MAX($D$1:D1246)+1,"")</f>
        <v/>
      </c>
    </row>
    <row r="1248" spans="4:4">
      <c r="D1248" s="170" t="str">
        <f>IF(ISNUMBER(SEARCH(Checksheet!$U$11,B1248)),MAX($D$1:D1247)+1,"")</f>
        <v/>
      </c>
    </row>
    <row r="1249" spans="4:4">
      <c r="D1249" s="170" t="str">
        <f>IF(ISNUMBER(SEARCH(Checksheet!$U$11,B1249)),MAX($D$1:D1248)+1,"")</f>
        <v/>
      </c>
    </row>
    <row r="1250" spans="4:4">
      <c r="D1250" s="170" t="str">
        <f>IF(ISNUMBER(SEARCH(Checksheet!$U$11,B1250)),MAX($D$1:D1249)+1,"")</f>
        <v/>
      </c>
    </row>
    <row r="1251" spans="4:4">
      <c r="D1251" s="170" t="str">
        <f>IF(ISNUMBER(SEARCH(Checksheet!$U$11,B1251)),MAX($D$1:D1250)+1,"")</f>
        <v/>
      </c>
    </row>
    <row r="1252" spans="4:4">
      <c r="D1252" s="170" t="str">
        <f>IF(ISNUMBER(SEARCH(Checksheet!$U$11,B1252)),MAX($D$1:D1251)+1,"")</f>
        <v/>
      </c>
    </row>
    <row r="1253" spans="4:4">
      <c r="D1253" s="170" t="str">
        <f>IF(ISNUMBER(SEARCH(Checksheet!$U$11,B1253)),MAX($D$1:D1252)+1,"")</f>
        <v/>
      </c>
    </row>
    <row r="1254" spans="4:4">
      <c r="D1254" s="170" t="str">
        <f>IF(ISNUMBER(SEARCH(Checksheet!$U$11,B1254)),MAX($D$1:D1253)+1,"")</f>
        <v/>
      </c>
    </row>
    <row r="1255" spans="4:4">
      <c r="D1255" s="170" t="str">
        <f>IF(ISNUMBER(SEARCH(Checksheet!$U$11,B1255)),MAX($D$1:D1254)+1,"")</f>
        <v/>
      </c>
    </row>
    <row r="1256" spans="4:4">
      <c r="D1256" s="170" t="str">
        <f>IF(ISNUMBER(SEARCH(Checksheet!$U$11,B1256)),MAX($D$1:D1255)+1,"")</f>
        <v/>
      </c>
    </row>
    <row r="1257" spans="4:4">
      <c r="D1257" s="170" t="str">
        <f>IF(ISNUMBER(SEARCH(Checksheet!$U$11,B1257)),MAX($D$1:D1256)+1,"")</f>
        <v/>
      </c>
    </row>
    <row r="1258" spans="4:4">
      <c r="D1258" s="170" t="str">
        <f>IF(ISNUMBER(SEARCH(Checksheet!$U$11,B1258)),MAX($D$1:D1257)+1,"")</f>
        <v/>
      </c>
    </row>
    <row r="1259" spans="4:4">
      <c r="D1259" s="170" t="str">
        <f>IF(ISNUMBER(SEARCH(Checksheet!$U$11,B1259)),MAX($D$1:D1258)+1,"")</f>
        <v/>
      </c>
    </row>
    <row r="1260" spans="4:4">
      <c r="D1260" s="170" t="str">
        <f>IF(ISNUMBER(SEARCH(Checksheet!$U$11,B1260)),MAX($D$1:D1259)+1,"")</f>
        <v/>
      </c>
    </row>
    <row r="1261" spans="4:4">
      <c r="D1261" s="170" t="str">
        <f>IF(ISNUMBER(SEARCH(Checksheet!$U$11,B1261)),MAX($D$1:D1260)+1,"")</f>
        <v/>
      </c>
    </row>
    <row r="1262" spans="4:4">
      <c r="D1262" s="170" t="str">
        <f>IF(ISNUMBER(SEARCH(Checksheet!$U$11,B1262)),MAX($D$1:D1261)+1,"")</f>
        <v/>
      </c>
    </row>
    <row r="1263" spans="4:4">
      <c r="D1263" s="170" t="str">
        <f>IF(ISNUMBER(SEARCH(Checksheet!$U$11,B1263)),MAX($D$1:D1262)+1,"")</f>
        <v/>
      </c>
    </row>
    <row r="1264" spans="4:4">
      <c r="D1264" s="170" t="str">
        <f>IF(ISNUMBER(SEARCH(Checksheet!$U$11,B1264)),MAX($D$1:D1263)+1,"")</f>
        <v/>
      </c>
    </row>
    <row r="1265" spans="4:4">
      <c r="D1265" s="170" t="str">
        <f>IF(ISNUMBER(SEARCH(Checksheet!$U$11,B1265)),MAX($D$1:D1264)+1,"")</f>
        <v/>
      </c>
    </row>
    <row r="1266" spans="4:4">
      <c r="D1266" s="170" t="str">
        <f>IF(ISNUMBER(SEARCH(Checksheet!$U$11,B1266)),MAX($D$1:D1265)+1,"")</f>
        <v/>
      </c>
    </row>
    <row r="1267" spans="4:4">
      <c r="D1267" s="170" t="str">
        <f>IF(ISNUMBER(SEARCH(Checksheet!$U$11,B1267)),MAX($D$1:D1266)+1,"")</f>
        <v/>
      </c>
    </row>
    <row r="1268" spans="4:4">
      <c r="D1268" s="170" t="str">
        <f>IF(ISNUMBER(SEARCH(Checksheet!$U$11,B1268)),MAX($D$1:D1267)+1,"")</f>
        <v/>
      </c>
    </row>
    <row r="1269" spans="4:4">
      <c r="D1269" s="170" t="str">
        <f>IF(ISNUMBER(SEARCH(Checksheet!$U$11,B1269)),MAX($D$1:D1268)+1,"")</f>
        <v/>
      </c>
    </row>
    <row r="1270" spans="4:4">
      <c r="D1270" s="170" t="str">
        <f>IF(ISNUMBER(SEARCH(Checksheet!$U$11,B1270)),MAX($D$1:D1269)+1,"")</f>
        <v/>
      </c>
    </row>
    <row r="1271" spans="4:4">
      <c r="D1271" s="170" t="str">
        <f>IF(ISNUMBER(SEARCH(Checksheet!$U$11,B1271)),MAX($D$1:D1270)+1,"")</f>
        <v/>
      </c>
    </row>
    <row r="1272" spans="4:4">
      <c r="D1272" s="170" t="str">
        <f>IF(ISNUMBER(SEARCH(Checksheet!$U$11,B1272)),MAX($D$1:D1271)+1,"")</f>
        <v/>
      </c>
    </row>
    <row r="1273" spans="4:4">
      <c r="D1273" s="170" t="str">
        <f>IF(ISNUMBER(SEARCH(Checksheet!$U$11,B1273)),MAX($D$1:D1272)+1,"")</f>
        <v/>
      </c>
    </row>
    <row r="1274" spans="4:4">
      <c r="D1274" s="170" t="str">
        <f>IF(ISNUMBER(SEARCH(Checksheet!$U$11,B1274)),MAX($D$1:D1273)+1,"")</f>
        <v/>
      </c>
    </row>
    <row r="1275" spans="4:4">
      <c r="D1275" s="170" t="str">
        <f>IF(ISNUMBER(SEARCH(Checksheet!$U$11,B1275)),MAX($D$1:D1274)+1,"")</f>
        <v/>
      </c>
    </row>
    <row r="1276" spans="4:4">
      <c r="D1276" s="170" t="str">
        <f>IF(ISNUMBER(SEARCH(Checksheet!$U$11,B1276)),MAX($D$1:D1275)+1,"")</f>
        <v/>
      </c>
    </row>
    <row r="1277" spans="4:4">
      <c r="D1277" s="170" t="str">
        <f>IF(ISNUMBER(SEARCH(Checksheet!$U$11,B1277)),MAX($D$1:D1276)+1,"")</f>
        <v/>
      </c>
    </row>
    <row r="1278" spans="4:4">
      <c r="D1278" s="170" t="str">
        <f>IF(ISNUMBER(SEARCH(Checksheet!$U$11,B1278)),MAX($D$1:D1277)+1,"")</f>
        <v/>
      </c>
    </row>
    <row r="1279" spans="4:4">
      <c r="D1279" s="170" t="str">
        <f>IF(ISNUMBER(SEARCH(Checksheet!$U$11,B1279)),MAX($D$1:D1278)+1,"")</f>
        <v/>
      </c>
    </row>
    <row r="1280" spans="4:4">
      <c r="D1280" s="170" t="str">
        <f>IF(ISNUMBER(SEARCH(Checksheet!$U$11,B1280)),MAX($D$1:D1279)+1,"")</f>
        <v/>
      </c>
    </row>
    <row r="1281" spans="4:4">
      <c r="D1281" s="170" t="str">
        <f>IF(ISNUMBER(SEARCH(Checksheet!$U$11,B1281)),MAX($D$1:D1280)+1,"")</f>
        <v/>
      </c>
    </row>
    <row r="1282" spans="4:4">
      <c r="D1282" s="170" t="str">
        <f>IF(ISNUMBER(SEARCH(Checksheet!$U$11,B1282)),MAX($D$1:D1281)+1,"")</f>
        <v/>
      </c>
    </row>
    <row r="1283" spans="4:4">
      <c r="D1283" s="170" t="str">
        <f>IF(ISNUMBER(SEARCH(Checksheet!$U$11,B1283)),MAX($D$1:D1282)+1,"")</f>
        <v/>
      </c>
    </row>
    <row r="1284" spans="4:4">
      <c r="D1284" s="170" t="str">
        <f>IF(ISNUMBER(SEARCH(Checksheet!$U$11,B1284)),MAX($D$1:D1283)+1,"")</f>
        <v/>
      </c>
    </row>
    <row r="1285" spans="4:4">
      <c r="D1285" s="170" t="str">
        <f>IF(ISNUMBER(SEARCH(Checksheet!$U$11,B1285)),MAX($D$1:D1284)+1,"")</f>
        <v/>
      </c>
    </row>
    <row r="1286" spans="4:4">
      <c r="D1286" s="170" t="str">
        <f>IF(ISNUMBER(SEARCH(Checksheet!$U$11,B1286)),MAX($D$1:D1285)+1,"")</f>
        <v/>
      </c>
    </row>
    <row r="1287" spans="4:4">
      <c r="D1287" s="170" t="str">
        <f>IF(ISNUMBER(SEARCH(Checksheet!$U$11,B1287)),MAX($D$1:D1286)+1,"")</f>
        <v/>
      </c>
    </row>
    <row r="1288" spans="4:4">
      <c r="D1288" s="170" t="str">
        <f>IF(ISNUMBER(SEARCH(Checksheet!$U$11,B1288)),MAX($D$1:D1287)+1,"")</f>
        <v/>
      </c>
    </row>
    <row r="1289" spans="4:4">
      <c r="D1289" s="170" t="str">
        <f>IF(ISNUMBER(SEARCH(Checksheet!$U$11,B1289)),MAX($D$1:D1288)+1,"")</f>
        <v/>
      </c>
    </row>
    <row r="1290" spans="4:4">
      <c r="D1290" s="170" t="str">
        <f>IF(ISNUMBER(SEARCH(Checksheet!$U$11,B1290)),MAX($D$1:D1289)+1,"")</f>
        <v/>
      </c>
    </row>
    <row r="1291" spans="4:4">
      <c r="D1291" s="170" t="str">
        <f>IF(ISNUMBER(SEARCH(Checksheet!$U$11,B1291)),MAX($D$1:D1290)+1,"")</f>
        <v/>
      </c>
    </row>
    <row r="1292" spans="4:4">
      <c r="D1292" s="170" t="str">
        <f>IF(ISNUMBER(SEARCH(Checksheet!$U$11,B1292)),MAX($D$1:D1291)+1,"")</f>
        <v/>
      </c>
    </row>
    <row r="1293" spans="4:4">
      <c r="D1293" s="170" t="str">
        <f>IF(ISNUMBER(SEARCH(Checksheet!$U$11,B1293)),MAX($D$1:D1292)+1,"")</f>
        <v/>
      </c>
    </row>
    <row r="1294" spans="4:4">
      <c r="D1294" s="170" t="str">
        <f>IF(ISNUMBER(SEARCH(Checksheet!$U$11,B1294)),MAX($D$1:D1293)+1,"")</f>
        <v/>
      </c>
    </row>
    <row r="1295" spans="4:4">
      <c r="D1295" s="170" t="str">
        <f>IF(ISNUMBER(SEARCH(Checksheet!$U$11,B1295)),MAX($D$1:D1294)+1,"")</f>
        <v/>
      </c>
    </row>
    <row r="1296" spans="4:4">
      <c r="D1296" s="170" t="str">
        <f>IF(ISNUMBER(SEARCH(Checksheet!$U$11,B1296)),MAX($D$1:D1295)+1,"")</f>
        <v/>
      </c>
    </row>
    <row r="1297" spans="4:4">
      <c r="D1297" s="170" t="str">
        <f>IF(ISNUMBER(SEARCH(Checksheet!$U$11,B1297)),MAX($D$1:D1296)+1,"")</f>
        <v/>
      </c>
    </row>
    <row r="1298" spans="4:4">
      <c r="D1298" s="170" t="str">
        <f>IF(ISNUMBER(SEARCH(Checksheet!$U$11,B1298)),MAX($D$1:D1297)+1,"")</f>
        <v/>
      </c>
    </row>
    <row r="1299" spans="4:4">
      <c r="D1299" s="170" t="str">
        <f>IF(ISNUMBER(SEARCH(Checksheet!$U$11,B1299)),MAX($D$1:D1298)+1,"")</f>
        <v/>
      </c>
    </row>
    <row r="1300" spans="4:4">
      <c r="D1300" s="170" t="str">
        <f>IF(ISNUMBER(SEARCH(Checksheet!$U$11,B1300)),MAX($D$1:D1299)+1,"")</f>
        <v/>
      </c>
    </row>
    <row r="1301" spans="4:4">
      <c r="D1301" s="170" t="str">
        <f>IF(ISNUMBER(SEARCH(Checksheet!$U$11,B1301)),MAX($D$1:D1300)+1,"")</f>
        <v/>
      </c>
    </row>
    <row r="1302" spans="4:4">
      <c r="D1302" s="170" t="str">
        <f>IF(ISNUMBER(SEARCH(Checksheet!$U$11,B1302)),MAX($D$1:D1301)+1,"")</f>
        <v/>
      </c>
    </row>
    <row r="1303" spans="4:4">
      <c r="D1303" s="170" t="str">
        <f>IF(ISNUMBER(SEARCH(Checksheet!$U$11,B1303)),MAX($D$1:D1302)+1,"")</f>
        <v/>
      </c>
    </row>
    <row r="1304" spans="4:4">
      <c r="D1304" s="170" t="str">
        <f>IF(ISNUMBER(SEARCH(Checksheet!$U$11,B1304)),MAX($D$1:D1303)+1,"")</f>
        <v/>
      </c>
    </row>
    <row r="1305" spans="4:4">
      <c r="D1305" s="170" t="str">
        <f>IF(ISNUMBER(SEARCH(Checksheet!$U$11,B1305)),MAX($D$1:D1304)+1,"")</f>
        <v/>
      </c>
    </row>
    <row r="1306" spans="4:4">
      <c r="D1306" s="170" t="str">
        <f>IF(ISNUMBER(SEARCH(Checksheet!$U$11,B1306)),MAX($D$1:D1305)+1,"")</f>
        <v/>
      </c>
    </row>
    <row r="1307" spans="4:4">
      <c r="D1307" s="170" t="str">
        <f>IF(ISNUMBER(SEARCH(Checksheet!$U$11,B1307)),MAX($D$1:D1306)+1,"")</f>
        <v/>
      </c>
    </row>
    <row r="1308" spans="4:4">
      <c r="D1308" s="170" t="str">
        <f>IF(ISNUMBER(SEARCH(Checksheet!$U$11,B1308)),MAX($D$1:D1307)+1,"")</f>
        <v/>
      </c>
    </row>
    <row r="1309" spans="4:4">
      <c r="D1309" s="170" t="str">
        <f>IF(ISNUMBER(SEARCH(Checksheet!$U$11,B1309)),MAX($D$1:D1308)+1,"")</f>
        <v/>
      </c>
    </row>
    <row r="1310" spans="4:4">
      <c r="D1310" s="170" t="str">
        <f>IF(ISNUMBER(SEARCH(Checksheet!$U$11,B1310)),MAX($D$1:D1309)+1,"")</f>
        <v/>
      </c>
    </row>
    <row r="1311" spans="4:4">
      <c r="D1311" s="170" t="str">
        <f>IF(ISNUMBER(SEARCH(Checksheet!$U$11,B1311)),MAX($D$1:D1310)+1,"")</f>
        <v/>
      </c>
    </row>
    <row r="1312" spans="4:4">
      <c r="D1312" s="170" t="str">
        <f>IF(ISNUMBER(SEARCH(Checksheet!$U$11,B1312)),MAX($D$1:D1311)+1,"")</f>
        <v/>
      </c>
    </row>
    <row r="1313" spans="4:4">
      <c r="D1313" s="170" t="str">
        <f>IF(ISNUMBER(SEARCH(Checksheet!$U$11,B1313)),MAX($D$1:D1312)+1,"")</f>
        <v/>
      </c>
    </row>
    <row r="1314" spans="4:4">
      <c r="D1314" s="170" t="str">
        <f>IF(ISNUMBER(SEARCH(Checksheet!$U$11,B1314)),MAX($D$1:D1313)+1,"")</f>
        <v/>
      </c>
    </row>
    <row r="1315" spans="4:4">
      <c r="D1315" s="170" t="str">
        <f>IF(ISNUMBER(SEARCH(Checksheet!$U$11,B1315)),MAX($D$1:D1314)+1,"")</f>
        <v/>
      </c>
    </row>
    <row r="1316" spans="4:4">
      <c r="D1316" s="170" t="str">
        <f>IF(ISNUMBER(SEARCH(Checksheet!$U$11,B1316)),MAX($D$1:D1315)+1,"")</f>
        <v/>
      </c>
    </row>
    <row r="1317" spans="4:4">
      <c r="D1317" s="170" t="str">
        <f>IF(ISNUMBER(SEARCH(Checksheet!$U$11,B1317)),MAX($D$1:D1316)+1,"")</f>
        <v/>
      </c>
    </row>
    <row r="1318" spans="4:4">
      <c r="D1318" s="170" t="str">
        <f>IF(ISNUMBER(SEARCH(Checksheet!$U$11,B1318)),MAX($D$1:D1317)+1,"")</f>
        <v/>
      </c>
    </row>
    <row r="1319" spans="4:4">
      <c r="D1319" s="170" t="str">
        <f>IF(ISNUMBER(SEARCH(Checksheet!$U$11,B1319)),MAX($D$1:D1318)+1,"")</f>
        <v/>
      </c>
    </row>
    <row r="1320" spans="4:4">
      <c r="D1320" s="170" t="str">
        <f>IF(ISNUMBER(SEARCH(Checksheet!$U$11,B1320)),MAX($D$1:D1319)+1,"")</f>
        <v/>
      </c>
    </row>
    <row r="1321" spans="4:4">
      <c r="D1321" s="170" t="str">
        <f>IF(ISNUMBER(SEARCH(Checksheet!$U$11,B1321)),MAX($D$1:D1320)+1,"")</f>
        <v/>
      </c>
    </row>
    <row r="1322" spans="4:4">
      <c r="D1322" s="170" t="str">
        <f>IF(ISNUMBER(SEARCH(Checksheet!$U$11,B1322)),MAX($D$1:D1321)+1,"")</f>
        <v/>
      </c>
    </row>
    <row r="1323" spans="4:4">
      <c r="D1323" s="170" t="str">
        <f>IF(ISNUMBER(SEARCH(Checksheet!$U$11,B1323)),MAX($D$1:D1322)+1,"")</f>
        <v/>
      </c>
    </row>
    <row r="1324" spans="4:4">
      <c r="D1324" s="170" t="str">
        <f>IF(ISNUMBER(SEARCH(Checksheet!$U$11,B1324)),MAX($D$1:D1323)+1,"")</f>
        <v/>
      </c>
    </row>
    <row r="1325" spans="4:4">
      <c r="D1325" s="170" t="str">
        <f>IF(ISNUMBER(SEARCH(Checksheet!$U$11,B1325)),MAX($D$1:D1324)+1,"")</f>
        <v/>
      </c>
    </row>
    <row r="1326" spans="4:4">
      <c r="D1326" s="170" t="str">
        <f>IF(ISNUMBER(SEARCH(Checksheet!$U$11,B1326)),MAX($D$1:D1325)+1,"")</f>
        <v/>
      </c>
    </row>
    <row r="1327" spans="4:4">
      <c r="D1327" s="170" t="str">
        <f>IF(ISNUMBER(SEARCH(Checksheet!$U$11,B1327)),MAX($D$1:D1326)+1,"")</f>
        <v/>
      </c>
    </row>
    <row r="1328" spans="4:4">
      <c r="D1328" s="170" t="str">
        <f>IF(ISNUMBER(SEARCH(Checksheet!$U$11,B1328)),MAX($D$1:D1327)+1,"")</f>
        <v/>
      </c>
    </row>
    <row r="1329" spans="4:4">
      <c r="D1329" s="170" t="str">
        <f>IF(ISNUMBER(SEARCH(Checksheet!$U$11,B1329)),MAX($D$1:D1328)+1,"")</f>
        <v/>
      </c>
    </row>
    <row r="1330" spans="4:4">
      <c r="D1330" s="170" t="str">
        <f>IF(ISNUMBER(SEARCH(Checksheet!$U$11,B1330)),MAX($D$1:D1329)+1,"")</f>
        <v/>
      </c>
    </row>
    <row r="1331" spans="4:4">
      <c r="D1331" s="170" t="str">
        <f>IF(ISNUMBER(SEARCH(Checksheet!$U$11,B1331)),MAX($D$1:D1330)+1,"")</f>
        <v/>
      </c>
    </row>
    <row r="1332" spans="4:4">
      <c r="D1332" s="170" t="str">
        <f>IF(ISNUMBER(SEARCH(Checksheet!$U$11,B1332)),MAX($D$1:D1331)+1,"")</f>
        <v/>
      </c>
    </row>
    <row r="1333" spans="4:4">
      <c r="D1333" s="170" t="str">
        <f>IF(ISNUMBER(SEARCH(Checksheet!$U$11,B1333)),MAX($D$1:D1332)+1,"")</f>
        <v/>
      </c>
    </row>
    <row r="1334" spans="4:4">
      <c r="D1334" s="170" t="str">
        <f>IF(ISNUMBER(SEARCH(Checksheet!$U$11,B1334)),MAX($D$1:D1333)+1,"")</f>
        <v/>
      </c>
    </row>
    <row r="1335" spans="4:4">
      <c r="D1335" s="170" t="str">
        <f>IF(ISNUMBER(SEARCH(Checksheet!$U$11,B1335)),MAX($D$1:D1334)+1,"")</f>
        <v/>
      </c>
    </row>
    <row r="1336" spans="4:4">
      <c r="D1336" s="170" t="str">
        <f>IF(ISNUMBER(SEARCH(Checksheet!$U$11,B1336)),MAX($D$1:D1335)+1,"")</f>
        <v/>
      </c>
    </row>
    <row r="1337" spans="4:4">
      <c r="D1337" s="170" t="str">
        <f>IF(ISNUMBER(SEARCH(Checksheet!$U$11,B1337)),MAX($D$1:D1336)+1,"")</f>
        <v/>
      </c>
    </row>
    <row r="1338" spans="4:4">
      <c r="D1338" s="170" t="str">
        <f>IF(ISNUMBER(SEARCH(Checksheet!$U$11,B1338)),MAX($D$1:D1337)+1,"")</f>
        <v/>
      </c>
    </row>
    <row r="1339" spans="4:4">
      <c r="D1339" s="170" t="str">
        <f>IF(ISNUMBER(SEARCH(Checksheet!$U$11,B1339)),MAX($D$1:D1338)+1,"")</f>
        <v/>
      </c>
    </row>
    <row r="1340" spans="4:4">
      <c r="D1340" s="170" t="str">
        <f>IF(ISNUMBER(SEARCH(Checksheet!$U$11,B1340)),MAX($D$1:D1339)+1,"")</f>
        <v/>
      </c>
    </row>
    <row r="1341" spans="4:4">
      <c r="D1341" s="170" t="str">
        <f>IF(ISNUMBER(SEARCH(Checksheet!$U$11,B1341)),MAX($D$1:D1340)+1,"")</f>
        <v/>
      </c>
    </row>
    <row r="1342" spans="4:4">
      <c r="D1342" s="170" t="str">
        <f>IF(ISNUMBER(SEARCH(Checksheet!$U$11,B1342)),MAX($D$1:D1341)+1,"")</f>
        <v/>
      </c>
    </row>
    <row r="1343" spans="4:4">
      <c r="D1343" s="170" t="str">
        <f>IF(ISNUMBER(SEARCH(Checksheet!$U$11,B1343)),MAX($D$1:D1342)+1,"")</f>
        <v/>
      </c>
    </row>
    <row r="1344" spans="4:4">
      <c r="D1344" s="170" t="str">
        <f>IF(ISNUMBER(SEARCH(Checksheet!$U$11,B1344)),MAX($D$1:D1343)+1,"")</f>
        <v/>
      </c>
    </row>
    <row r="1345" spans="4:4">
      <c r="D1345" s="170" t="str">
        <f>IF(ISNUMBER(SEARCH(Checksheet!$U$11,B1345)),MAX($D$1:D1344)+1,"")</f>
        <v/>
      </c>
    </row>
    <row r="1346" spans="4:4">
      <c r="D1346" s="170" t="str">
        <f>IF(ISNUMBER(SEARCH(Checksheet!$U$11,B1346)),MAX($D$1:D1345)+1,"")</f>
        <v/>
      </c>
    </row>
    <row r="1347" spans="4:4">
      <c r="D1347" s="170" t="str">
        <f>IF(ISNUMBER(SEARCH(Checksheet!$U$11,B1347)),MAX($D$1:D1346)+1,"")</f>
        <v/>
      </c>
    </row>
    <row r="1348" spans="4:4">
      <c r="D1348" s="170" t="str">
        <f>IF(ISNUMBER(SEARCH(Checksheet!$U$11,B1348)),MAX($D$1:D1347)+1,"")</f>
        <v/>
      </c>
    </row>
    <row r="1349" spans="4:4">
      <c r="D1349" s="170" t="str">
        <f>IF(ISNUMBER(SEARCH(Checksheet!$U$11,B1349)),MAX($D$1:D1348)+1,"")</f>
        <v/>
      </c>
    </row>
    <row r="1350" spans="4:4">
      <c r="D1350" s="170" t="str">
        <f>IF(ISNUMBER(SEARCH(Checksheet!$U$11,B1350)),MAX($D$1:D1349)+1,"")</f>
        <v/>
      </c>
    </row>
    <row r="1351" spans="4:4">
      <c r="D1351" s="170" t="str">
        <f>IF(ISNUMBER(SEARCH(Checksheet!$U$11,B1351)),MAX($D$1:D1350)+1,"")</f>
        <v/>
      </c>
    </row>
    <row r="1352" spans="4:4">
      <c r="D1352" s="170" t="str">
        <f>IF(ISNUMBER(SEARCH(Checksheet!$U$11,B1352)),MAX($D$1:D1351)+1,"")</f>
        <v/>
      </c>
    </row>
    <row r="1353" spans="4:4">
      <c r="D1353" s="170" t="str">
        <f>IF(ISNUMBER(SEARCH(Checksheet!$U$11,B1353)),MAX($D$1:D1352)+1,"")</f>
        <v/>
      </c>
    </row>
    <row r="1354" spans="4:4">
      <c r="D1354" s="170" t="str">
        <f>IF(ISNUMBER(SEARCH(Checksheet!$U$11,B1354)),MAX($D$1:D1353)+1,"")</f>
        <v/>
      </c>
    </row>
    <row r="1355" spans="4:4">
      <c r="D1355" s="170" t="str">
        <f>IF(ISNUMBER(SEARCH(Checksheet!$U$11,B1355)),MAX($D$1:D1354)+1,"")</f>
        <v/>
      </c>
    </row>
    <row r="1356" spans="4:4">
      <c r="D1356" s="170" t="str">
        <f>IF(ISNUMBER(SEARCH(Checksheet!$U$11,B1356)),MAX($D$1:D1355)+1,"")</f>
        <v/>
      </c>
    </row>
    <row r="1357" spans="4:4">
      <c r="D1357" s="170" t="str">
        <f>IF(ISNUMBER(SEARCH(Checksheet!$U$11,B1357)),MAX($D$1:D1356)+1,"")</f>
        <v/>
      </c>
    </row>
    <row r="1358" spans="4:4">
      <c r="D1358" s="170" t="str">
        <f>IF(ISNUMBER(SEARCH(Checksheet!$U$11,B1358)),MAX($D$1:D1357)+1,"")</f>
        <v/>
      </c>
    </row>
    <row r="1359" spans="4:4">
      <c r="D1359" s="170" t="str">
        <f>IF(ISNUMBER(SEARCH(Checksheet!$U$11,B1359)),MAX($D$1:D1358)+1,"")</f>
        <v/>
      </c>
    </row>
    <row r="1360" spans="4:4">
      <c r="D1360" s="170" t="str">
        <f>IF(ISNUMBER(SEARCH(Checksheet!$U$11,B1360)),MAX($D$1:D1359)+1,"")</f>
        <v/>
      </c>
    </row>
    <row r="1361" spans="4:4">
      <c r="D1361" s="170" t="str">
        <f>IF(ISNUMBER(SEARCH(Checksheet!$U$11,B1361)),MAX($D$1:D1360)+1,"")</f>
        <v/>
      </c>
    </row>
    <row r="1362" spans="4:4">
      <c r="D1362" s="170" t="str">
        <f>IF(ISNUMBER(SEARCH(Checksheet!$U$11,B1362)),MAX($D$1:D1361)+1,"")</f>
        <v/>
      </c>
    </row>
    <row r="1363" spans="4:4">
      <c r="D1363" s="170" t="str">
        <f>IF(ISNUMBER(SEARCH(Checksheet!$U$11,B1363)),MAX($D$1:D1362)+1,"")</f>
        <v/>
      </c>
    </row>
    <row r="1364" spans="4:4">
      <c r="D1364" s="170" t="str">
        <f>IF(ISNUMBER(SEARCH(Checksheet!$U$11,B1364)),MAX($D$1:D1363)+1,"")</f>
        <v/>
      </c>
    </row>
    <row r="1365" spans="4:4">
      <c r="D1365" s="170" t="str">
        <f>IF(ISNUMBER(SEARCH(Checksheet!$U$11,B1365)),MAX($D$1:D1364)+1,"")</f>
        <v/>
      </c>
    </row>
    <row r="1366" spans="4:4">
      <c r="D1366" s="170" t="str">
        <f>IF(ISNUMBER(SEARCH(Checksheet!$U$11,B1366)),MAX($D$1:D1365)+1,"")</f>
        <v/>
      </c>
    </row>
    <row r="1367" spans="4:4">
      <c r="D1367" s="170" t="str">
        <f>IF(ISNUMBER(SEARCH(Checksheet!$U$11,B1367)),MAX($D$1:D1366)+1,"")</f>
        <v/>
      </c>
    </row>
    <row r="1368" spans="4:4">
      <c r="D1368" s="170" t="str">
        <f>IF(ISNUMBER(SEARCH(Checksheet!$U$11,B1368)),MAX($D$1:D1367)+1,"")</f>
        <v/>
      </c>
    </row>
    <row r="1369" spans="4:4">
      <c r="D1369" s="170" t="str">
        <f>IF(ISNUMBER(SEARCH(Checksheet!$U$11,B1369)),MAX($D$1:D1368)+1,"")</f>
        <v/>
      </c>
    </row>
    <row r="1370" spans="4:4">
      <c r="D1370" s="170" t="str">
        <f>IF(ISNUMBER(SEARCH(Checksheet!$U$11,B1370)),MAX($D$1:D1369)+1,"")</f>
        <v/>
      </c>
    </row>
    <row r="1371" spans="4:4">
      <c r="D1371" s="170" t="str">
        <f>IF(ISNUMBER(SEARCH(Checksheet!$U$11,B1371)),MAX($D$1:D1370)+1,"")</f>
        <v/>
      </c>
    </row>
    <row r="1372" spans="4:4">
      <c r="D1372" s="170" t="str">
        <f>IF(ISNUMBER(SEARCH(Checksheet!$U$11,B1372)),MAX($D$1:D1371)+1,"")</f>
        <v/>
      </c>
    </row>
    <row r="1373" spans="4:4">
      <c r="D1373" s="170" t="str">
        <f>IF(ISNUMBER(SEARCH(Checksheet!$U$11,B1373)),MAX($D$1:D1372)+1,"")</f>
        <v/>
      </c>
    </row>
    <row r="1374" spans="4:4">
      <c r="D1374" s="170" t="str">
        <f>IF(ISNUMBER(SEARCH(Checksheet!$U$11,B1374)),MAX($D$1:D1373)+1,"")</f>
        <v/>
      </c>
    </row>
    <row r="1375" spans="4:4">
      <c r="D1375" s="170" t="str">
        <f>IF(ISNUMBER(SEARCH(Checksheet!$U$11,B1375)),MAX($D$1:D1374)+1,"")</f>
        <v/>
      </c>
    </row>
    <row r="1376" spans="4:4">
      <c r="D1376" s="170" t="str">
        <f>IF(ISNUMBER(SEARCH(Checksheet!$U$11,B1376)),MAX($D$1:D1375)+1,"")</f>
        <v/>
      </c>
    </row>
    <row r="1377" spans="4:4">
      <c r="D1377" s="170" t="str">
        <f>IF(ISNUMBER(SEARCH(Checksheet!$U$11,B1377)),MAX($D$1:D1376)+1,"")</f>
        <v/>
      </c>
    </row>
    <row r="1378" spans="4:4">
      <c r="D1378" s="170" t="str">
        <f>IF(ISNUMBER(SEARCH(Checksheet!$U$11,B1378)),MAX($D$1:D1377)+1,"")</f>
        <v/>
      </c>
    </row>
    <row r="1379" spans="4:4">
      <c r="D1379" s="170" t="str">
        <f>IF(ISNUMBER(SEARCH(Checksheet!$U$11,B1379)),MAX($D$1:D1378)+1,"")</f>
        <v/>
      </c>
    </row>
    <row r="1380" spans="4:4">
      <c r="D1380" s="170" t="str">
        <f>IF(ISNUMBER(SEARCH(Checksheet!$U$11,B1380)),MAX($D$1:D1379)+1,"")</f>
        <v/>
      </c>
    </row>
    <row r="1381" spans="4:4">
      <c r="D1381" s="170" t="str">
        <f>IF(ISNUMBER(SEARCH(Checksheet!$U$11,B1381)),MAX($D$1:D1380)+1,"")</f>
        <v/>
      </c>
    </row>
    <row r="1382" spans="4:4">
      <c r="D1382" s="170" t="str">
        <f>IF(ISNUMBER(SEARCH(Checksheet!$U$11,B1382)),MAX($D$1:D1381)+1,"")</f>
        <v/>
      </c>
    </row>
    <row r="1383" spans="4:4">
      <c r="D1383" s="170" t="str">
        <f>IF(ISNUMBER(SEARCH(Checksheet!$U$11,B1383)),MAX($D$1:D1382)+1,"")</f>
        <v/>
      </c>
    </row>
    <row r="1384" spans="4:4">
      <c r="D1384" s="170" t="str">
        <f>IF(ISNUMBER(SEARCH(Checksheet!$U$11,B1384)),MAX($D$1:D1383)+1,"")</f>
        <v/>
      </c>
    </row>
    <row r="1385" spans="4:4">
      <c r="D1385" s="170" t="str">
        <f>IF(ISNUMBER(SEARCH(Checksheet!$U$11,B1385)),MAX($D$1:D1384)+1,"")</f>
        <v/>
      </c>
    </row>
    <row r="1386" spans="4:4">
      <c r="D1386" s="170" t="str">
        <f>IF(ISNUMBER(SEARCH(Checksheet!$U$11,B1386)),MAX($D$1:D1385)+1,"")</f>
        <v/>
      </c>
    </row>
    <row r="1387" spans="4:4">
      <c r="D1387" s="170" t="str">
        <f>IF(ISNUMBER(SEARCH(Checksheet!$U$11,B1387)),MAX($D$1:D1386)+1,"")</f>
        <v/>
      </c>
    </row>
    <row r="1388" spans="4:4">
      <c r="D1388" s="170" t="str">
        <f>IF(ISNUMBER(SEARCH(Checksheet!$U$11,B1388)),MAX($D$1:D1387)+1,"")</f>
        <v/>
      </c>
    </row>
    <row r="1389" spans="4:4">
      <c r="D1389" s="170" t="str">
        <f>IF(ISNUMBER(SEARCH(Checksheet!$U$11,B1389)),MAX($D$1:D1388)+1,"")</f>
        <v/>
      </c>
    </row>
    <row r="1390" spans="4:4">
      <c r="D1390" s="170" t="str">
        <f>IF(ISNUMBER(SEARCH(Checksheet!$U$11,B1390)),MAX($D$1:D1389)+1,"")</f>
        <v/>
      </c>
    </row>
    <row r="1391" spans="4:4">
      <c r="D1391" s="170" t="str">
        <f>IF(ISNUMBER(SEARCH(Checksheet!$U$11,B1391)),MAX($D$1:D1390)+1,"")</f>
        <v/>
      </c>
    </row>
    <row r="1392" spans="4:4">
      <c r="D1392" s="170" t="str">
        <f>IF(ISNUMBER(SEARCH(Checksheet!$U$11,B1392)),MAX($D$1:D1391)+1,"")</f>
        <v/>
      </c>
    </row>
    <row r="1393" spans="4:4">
      <c r="D1393" s="170" t="str">
        <f>IF(ISNUMBER(SEARCH(Checksheet!$U$11,B1393)),MAX($D$1:D1392)+1,"")</f>
        <v/>
      </c>
    </row>
    <row r="1394" spans="4:4">
      <c r="D1394" s="170" t="str">
        <f>IF(ISNUMBER(SEARCH(Checksheet!$U$11,B1394)),MAX($D$1:D1393)+1,"")</f>
        <v/>
      </c>
    </row>
    <row r="1395" spans="4:4">
      <c r="D1395" s="170" t="str">
        <f>IF(ISNUMBER(SEARCH(Checksheet!$U$11,B1395)),MAX($D$1:D1394)+1,"")</f>
        <v/>
      </c>
    </row>
    <row r="1396" spans="4:4">
      <c r="D1396" s="170" t="str">
        <f>IF(ISNUMBER(SEARCH(Checksheet!$U$11,B1396)),MAX($D$1:D1395)+1,"")</f>
        <v/>
      </c>
    </row>
    <row r="1397" spans="4:4">
      <c r="D1397" s="170" t="str">
        <f>IF(ISNUMBER(SEARCH(Checksheet!$U$11,B1397)),MAX($D$1:D1396)+1,"")</f>
        <v/>
      </c>
    </row>
    <row r="1398" spans="4:4">
      <c r="D1398" s="170" t="str">
        <f>IF(ISNUMBER(SEARCH(Checksheet!$U$11,B1398)),MAX($D$1:D1397)+1,"")</f>
        <v/>
      </c>
    </row>
    <row r="1399" spans="4:4">
      <c r="D1399" s="170" t="str">
        <f>IF(ISNUMBER(SEARCH(Checksheet!$U$11,B1399)),MAX($D$1:D1398)+1,"")</f>
        <v/>
      </c>
    </row>
    <row r="1400" spans="4:4">
      <c r="D1400" s="170" t="str">
        <f>IF(ISNUMBER(SEARCH(Checksheet!$U$11,B1400)),MAX($D$1:D1399)+1,"")</f>
        <v/>
      </c>
    </row>
    <row r="1401" spans="4:4">
      <c r="D1401" s="170" t="str">
        <f>IF(ISNUMBER(SEARCH(Checksheet!$U$11,B1401)),MAX($D$1:D1400)+1,"")</f>
        <v/>
      </c>
    </row>
    <row r="1402" spans="4:4">
      <c r="D1402" s="170" t="str">
        <f>IF(ISNUMBER(SEARCH(Checksheet!$U$11,B1402)),MAX($D$1:D1401)+1,"")</f>
        <v/>
      </c>
    </row>
    <row r="1403" spans="4:4">
      <c r="D1403" s="170" t="str">
        <f>IF(ISNUMBER(SEARCH(Checksheet!$U$11,B1403)),MAX($D$1:D1402)+1,"")</f>
        <v/>
      </c>
    </row>
    <row r="1404" spans="4:4">
      <c r="D1404" s="170" t="str">
        <f>IF(ISNUMBER(SEARCH(Checksheet!$U$11,B1404)),MAX($D$1:D1403)+1,"")</f>
        <v/>
      </c>
    </row>
    <row r="1405" spans="4:4">
      <c r="D1405" s="170" t="str">
        <f>IF(ISNUMBER(SEARCH(Checksheet!$U$11,B1405)),MAX($D$1:D1404)+1,"")</f>
        <v/>
      </c>
    </row>
    <row r="1406" spans="4:4">
      <c r="D1406" s="170" t="str">
        <f>IF(ISNUMBER(SEARCH(Checksheet!$U$11,B1406)),MAX($D$1:D1405)+1,"")</f>
        <v/>
      </c>
    </row>
    <row r="1407" spans="4:4">
      <c r="D1407" s="170" t="str">
        <f>IF(ISNUMBER(SEARCH(Checksheet!$U$11,B1407)),MAX($D$1:D1406)+1,"")</f>
        <v/>
      </c>
    </row>
    <row r="1408" spans="4:4">
      <c r="D1408" s="170" t="str">
        <f>IF(ISNUMBER(SEARCH(Checksheet!$U$11,B1408)),MAX($D$1:D1407)+1,"")</f>
        <v/>
      </c>
    </row>
    <row r="1409" spans="4:4">
      <c r="D1409" s="170" t="str">
        <f>IF(ISNUMBER(SEARCH(Checksheet!$U$11,B1409)),MAX($D$1:D1408)+1,"")</f>
        <v/>
      </c>
    </row>
    <row r="1410" spans="4:4">
      <c r="D1410" s="170" t="str">
        <f>IF(ISNUMBER(SEARCH(Checksheet!$U$11,B1410)),MAX($D$1:D1409)+1,"")</f>
        <v/>
      </c>
    </row>
    <row r="1411" spans="4:4">
      <c r="D1411" s="170" t="str">
        <f>IF(ISNUMBER(SEARCH(Checksheet!$U$11,B1411)),MAX($D$1:D1410)+1,"")</f>
        <v/>
      </c>
    </row>
    <row r="1412" spans="4:4">
      <c r="D1412" s="170" t="str">
        <f>IF(ISNUMBER(SEARCH(Checksheet!$U$11,B1412)),MAX($D$1:D1411)+1,"")</f>
        <v/>
      </c>
    </row>
    <row r="1413" spans="4:4">
      <c r="D1413" s="170" t="str">
        <f>IF(ISNUMBER(SEARCH(Checksheet!$U$11,B1413)),MAX($D$1:D1412)+1,"")</f>
        <v/>
      </c>
    </row>
    <row r="1414" spans="4:4">
      <c r="D1414" s="170" t="str">
        <f>IF(ISNUMBER(SEARCH(Checksheet!$U$11,B1414)),MAX($D$1:D1413)+1,"")</f>
        <v/>
      </c>
    </row>
    <row r="1415" spans="4:4">
      <c r="D1415" s="170" t="str">
        <f>IF(ISNUMBER(SEARCH(Checksheet!$U$11,B1415)),MAX($D$1:D1414)+1,"")</f>
        <v/>
      </c>
    </row>
    <row r="1416" spans="4:4">
      <c r="D1416" s="170" t="str">
        <f>IF(ISNUMBER(SEARCH(Checksheet!$U$11,B1416)),MAX($D$1:D1415)+1,"")</f>
        <v/>
      </c>
    </row>
    <row r="1417" spans="4:4">
      <c r="D1417" s="170" t="str">
        <f>IF(ISNUMBER(SEARCH(Checksheet!$U$11,B1417)),MAX($D$1:D1416)+1,"")</f>
        <v/>
      </c>
    </row>
    <row r="1418" spans="4:4">
      <c r="D1418" s="170" t="str">
        <f>IF(ISNUMBER(SEARCH(Checksheet!$U$11,B1418)),MAX($D$1:D1417)+1,"")</f>
        <v/>
      </c>
    </row>
    <row r="1419" spans="4:4">
      <c r="D1419" s="170" t="str">
        <f>IF(ISNUMBER(SEARCH(Checksheet!$U$11,B1419)),MAX($D$1:D1418)+1,"")</f>
        <v/>
      </c>
    </row>
    <row r="1420" spans="4:4">
      <c r="D1420" s="170" t="str">
        <f>IF(ISNUMBER(SEARCH(Checksheet!$U$11,B1420)),MAX($D$1:D1419)+1,"")</f>
        <v/>
      </c>
    </row>
    <row r="1421" spans="4:4">
      <c r="D1421" s="170" t="str">
        <f>IF(ISNUMBER(SEARCH(Checksheet!$U$11,B1421)),MAX($D$1:D1420)+1,"")</f>
        <v/>
      </c>
    </row>
    <row r="1422" spans="4:4">
      <c r="D1422" s="170" t="str">
        <f>IF(ISNUMBER(SEARCH(Checksheet!$U$11,B1422)),MAX($D$1:D1421)+1,"")</f>
        <v/>
      </c>
    </row>
    <row r="1423" spans="4:4">
      <c r="D1423" s="170" t="str">
        <f>IF(ISNUMBER(SEARCH(Checksheet!$U$11,B1423)),MAX($D$1:D1422)+1,"")</f>
        <v/>
      </c>
    </row>
    <row r="1424" spans="4:4">
      <c r="D1424" s="170" t="str">
        <f>IF(ISNUMBER(SEARCH(Checksheet!$U$11,B1424)),MAX($D$1:D1423)+1,"")</f>
        <v/>
      </c>
    </row>
    <row r="1425" spans="4:4">
      <c r="D1425" s="170" t="str">
        <f>IF(ISNUMBER(SEARCH(Checksheet!$U$11,B1425)),MAX($D$1:D1424)+1,"")</f>
        <v/>
      </c>
    </row>
    <row r="1426" spans="4:4">
      <c r="D1426" s="170" t="str">
        <f>IF(ISNUMBER(SEARCH(Checksheet!$U$11,B1426)),MAX($D$1:D1425)+1,"")</f>
        <v/>
      </c>
    </row>
    <row r="1427" spans="4:4">
      <c r="D1427" s="170" t="str">
        <f>IF(ISNUMBER(SEARCH(Checksheet!$U$11,B1427)),MAX($D$1:D1426)+1,"")</f>
        <v/>
      </c>
    </row>
    <row r="1428" spans="4:4">
      <c r="D1428" s="170" t="str">
        <f>IF(ISNUMBER(SEARCH(Checksheet!$U$11,B1428)),MAX($D$1:D1427)+1,"")</f>
        <v/>
      </c>
    </row>
    <row r="1429" spans="4:4">
      <c r="D1429" s="170" t="str">
        <f>IF(ISNUMBER(SEARCH(Checksheet!$U$11,B1429)),MAX($D$1:D1428)+1,"")</f>
        <v/>
      </c>
    </row>
    <row r="1430" spans="4:4">
      <c r="D1430" s="170" t="str">
        <f>IF(ISNUMBER(SEARCH(Checksheet!$U$11,B1430)),MAX($D$1:D1429)+1,"")</f>
        <v/>
      </c>
    </row>
    <row r="1431" spans="4:4">
      <c r="D1431" s="170" t="str">
        <f>IF(ISNUMBER(SEARCH(Checksheet!$U$11,B1431)),MAX($D$1:D1430)+1,"")</f>
        <v/>
      </c>
    </row>
    <row r="1432" spans="4:4">
      <c r="D1432" s="170" t="str">
        <f>IF(ISNUMBER(SEARCH(Checksheet!$U$11,B1432)),MAX($D$1:D1431)+1,"")</f>
        <v/>
      </c>
    </row>
    <row r="1433" spans="4:4">
      <c r="D1433" s="170" t="str">
        <f>IF(ISNUMBER(SEARCH(Checksheet!$U$11,B1433)),MAX($D$1:D1432)+1,"")</f>
        <v/>
      </c>
    </row>
    <row r="1434" spans="4:4">
      <c r="D1434" s="170" t="str">
        <f>IF(ISNUMBER(SEARCH(Checksheet!$U$11,B1434)),MAX($D$1:D1433)+1,"")</f>
        <v/>
      </c>
    </row>
    <row r="1435" spans="4:4">
      <c r="D1435" s="170" t="str">
        <f>IF(ISNUMBER(SEARCH(Checksheet!$U$11,B1435)),MAX($D$1:D1434)+1,"")</f>
        <v/>
      </c>
    </row>
    <row r="1436" spans="4:4">
      <c r="D1436" s="170" t="str">
        <f>IF(ISNUMBER(SEARCH(Checksheet!$U$11,B1436)),MAX($D$1:D1435)+1,"")</f>
        <v/>
      </c>
    </row>
    <row r="1437" spans="4:4">
      <c r="D1437" s="170" t="str">
        <f>IF(ISNUMBER(SEARCH(Checksheet!$U$11,B1437)),MAX($D$1:D1436)+1,"")</f>
        <v/>
      </c>
    </row>
    <row r="1438" spans="4:4">
      <c r="D1438" s="170" t="str">
        <f>IF(ISNUMBER(SEARCH(Checksheet!$U$11,B1438)),MAX($D$1:D1437)+1,"")</f>
        <v/>
      </c>
    </row>
    <row r="1439" spans="4:4">
      <c r="D1439" s="170" t="str">
        <f>IF(ISNUMBER(SEARCH(Checksheet!$U$11,B1439)),MAX($D$1:D1438)+1,"")</f>
        <v/>
      </c>
    </row>
    <row r="1440" spans="4:4">
      <c r="D1440" s="170" t="str">
        <f>IF(ISNUMBER(SEARCH(Checksheet!$U$11,B1440)),MAX($D$1:D1439)+1,"")</f>
        <v/>
      </c>
    </row>
    <row r="1441" spans="4:4">
      <c r="D1441" s="170" t="str">
        <f>IF(ISNUMBER(SEARCH(Checksheet!$U$11,B1441)),MAX($D$1:D1440)+1,"")</f>
        <v/>
      </c>
    </row>
    <row r="1442" spans="4:4">
      <c r="D1442" s="170" t="str">
        <f>IF(ISNUMBER(SEARCH(Checksheet!$U$11,B1442)),MAX($D$1:D1441)+1,"")</f>
        <v/>
      </c>
    </row>
    <row r="1443" spans="4:4">
      <c r="D1443" s="170" t="str">
        <f>IF(ISNUMBER(SEARCH(Checksheet!$U$11,B1443)),MAX($D$1:D1442)+1,"")</f>
        <v/>
      </c>
    </row>
    <row r="1444" spans="4:4">
      <c r="D1444" s="170" t="str">
        <f>IF(ISNUMBER(SEARCH(Checksheet!$U$11,B1444)),MAX($D$1:D1443)+1,"")</f>
        <v/>
      </c>
    </row>
    <row r="1445" spans="4:4">
      <c r="D1445" s="170" t="str">
        <f>IF(ISNUMBER(SEARCH(Checksheet!$U$11,B1445)),MAX($D$1:D1444)+1,"")</f>
        <v/>
      </c>
    </row>
    <row r="1446" spans="4:4">
      <c r="D1446" s="170" t="str">
        <f>IF(ISNUMBER(SEARCH(Checksheet!$U$11,B1446)),MAX($D$1:D1445)+1,"")</f>
        <v/>
      </c>
    </row>
    <row r="1447" spans="4:4">
      <c r="D1447" s="170" t="str">
        <f>IF(ISNUMBER(SEARCH(Checksheet!$U$11,B1447)),MAX($D$1:D1446)+1,"")</f>
        <v/>
      </c>
    </row>
    <row r="1448" spans="4:4">
      <c r="D1448" s="170" t="str">
        <f>IF(ISNUMBER(SEARCH(Checksheet!$U$11,B1448)),MAX($D$1:D1447)+1,"")</f>
        <v/>
      </c>
    </row>
    <row r="1449" spans="4:4">
      <c r="D1449" s="170" t="str">
        <f>IF(ISNUMBER(SEARCH(Checksheet!$U$11,B1449)),MAX($D$1:D1448)+1,"")</f>
        <v/>
      </c>
    </row>
    <row r="1450" spans="4:4">
      <c r="D1450" s="170" t="str">
        <f>IF(ISNUMBER(SEARCH(Checksheet!$U$11,B1450)),MAX($D$1:D1449)+1,"")</f>
        <v/>
      </c>
    </row>
    <row r="1451" spans="4:4">
      <c r="D1451" s="170" t="str">
        <f>IF(ISNUMBER(SEARCH(Checksheet!$U$11,B1451)),MAX($D$1:D1450)+1,"")</f>
        <v/>
      </c>
    </row>
    <row r="1452" spans="4:4">
      <c r="D1452" s="170" t="str">
        <f>IF(ISNUMBER(SEARCH(Checksheet!$U$11,B1452)),MAX($D$1:D1451)+1,"")</f>
        <v/>
      </c>
    </row>
    <row r="1453" spans="4:4">
      <c r="D1453" s="170" t="str">
        <f>IF(ISNUMBER(SEARCH(Checksheet!$U$11,B1453)),MAX($D$1:D1452)+1,"")</f>
        <v/>
      </c>
    </row>
    <row r="1454" spans="4:4">
      <c r="D1454" s="170" t="str">
        <f>IF(ISNUMBER(SEARCH(Checksheet!$U$11,B1454)),MAX($D$1:D1453)+1,"")</f>
        <v/>
      </c>
    </row>
    <row r="1455" spans="4:4">
      <c r="D1455" s="170" t="str">
        <f>IF(ISNUMBER(SEARCH(Checksheet!$U$11,B1455)),MAX($D$1:D1454)+1,"")</f>
        <v/>
      </c>
    </row>
    <row r="1456" spans="4:4">
      <c r="D1456" s="170" t="str">
        <f>IF(ISNUMBER(SEARCH(Checksheet!$U$11,B1456)),MAX($D$1:D1455)+1,"")</f>
        <v/>
      </c>
    </row>
    <row r="1457" spans="4:4">
      <c r="D1457" s="170" t="str">
        <f>IF(ISNUMBER(SEARCH(Checksheet!$U$11,B1457)),MAX($D$1:D1456)+1,"")</f>
        <v/>
      </c>
    </row>
    <row r="1458" spans="4:4">
      <c r="D1458" s="170" t="str">
        <f>IF(ISNUMBER(SEARCH(Checksheet!$U$11,B1458)),MAX($D$1:D1457)+1,"")</f>
        <v/>
      </c>
    </row>
    <row r="1459" spans="4:4">
      <c r="D1459" s="170" t="str">
        <f>IF(ISNUMBER(SEARCH(Checksheet!$U$11,B1459)),MAX($D$1:D1458)+1,"")</f>
        <v/>
      </c>
    </row>
    <row r="1460" spans="4:4">
      <c r="D1460" s="170" t="str">
        <f>IF(ISNUMBER(SEARCH(Checksheet!$U$11,B1460)),MAX($D$1:D1459)+1,"")</f>
        <v/>
      </c>
    </row>
    <row r="1461" spans="4:4">
      <c r="D1461" s="170" t="str">
        <f>IF(ISNUMBER(SEARCH(Checksheet!$U$11,B1461)),MAX($D$1:D1460)+1,"")</f>
        <v/>
      </c>
    </row>
    <row r="1462" spans="4:4">
      <c r="D1462" s="170" t="str">
        <f>IF(ISNUMBER(SEARCH(Checksheet!$U$11,B1462)),MAX($D$1:D1461)+1,"")</f>
        <v/>
      </c>
    </row>
    <row r="1463" spans="4:4">
      <c r="D1463" s="170" t="str">
        <f>IF(ISNUMBER(SEARCH(Checksheet!$U$11,B1463)),MAX($D$1:D1462)+1,"")</f>
        <v/>
      </c>
    </row>
    <row r="1464" spans="4:4">
      <c r="D1464" s="170" t="str">
        <f>IF(ISNUMBER(SEARCH(Checksheet!$U$11,B1464)),MAX($D$1:D1463)+1,"")</f>
        <v/>
      </c>
    </row>
    <row r="1465" spans="4:4">
      <c r="D1465" s="170" t="str">
        <f>IF(ISNUMBER(SEARCH(Checksheet!$U$11,B1465)),MAX($D$1:D1464)+1,"")</f>
        <v/>
      </c>
    </row>
    <row r="1466" spans="4:4">
      <c r="D1466" s="170" t="str">
        <f>IF(ISNUMBER(SEARCH(Checksheet!$U$11,B1466)),MAX($D$1:D1465)+1,"")</f>
        <v/>
      </c>
    </row>
    <row r="1467" spans="4:4">
      <c r="D1467" s="170" t="str">
        <f>IF(ISNUMBER(SEARCH(Checksheet!$U$11,B1467)),MAX($D$1:D1466)+1,"")</f>
        <v/>
      </c>
    </row>
    <row r="1468" spans="4:4">
      <c r="D1468" s="170" t="str">
        <f>IF(ISNUMBER(SEARCH(Checksheet!$U$11,B1468)),MAX($D$1:D1467)+1,"")</f>
        <v/>
      </c>
    </row>
    <row r="1469" spans="4:4">
      <c r="D1469" s="170" t="str">
        <f>IF(ISNUMBER(SEARCH(Checksheet!$U$11,B1469)),MAX($D$1:D1468)+1,"")</f>
        <v/>
      </c>
    </row>
    <row r="1470" spans="4:4">
      <c r="D1470" s="170" t="str">
        <f>IF(ISNUMBER(SEARCH(Checksheet!$U$11,B1470)),MAX($D$1:D1469)+1,"")</f>
        <v/>
      </c>
    </row>
    <row r="1471" spans="4:4">
      <c r="D1471" s="170" t="str">
        <f>IF(ISNUMBER(SEARCH(Checksheet!$U$11,B1471)),MAX($D$1:D1470)+1,"")</f>
        <v/>
      </c>
    </row>
    <row r="1472" spans="4:4">
      <c r="D1472" s="170" t="str">
        <f>IF(ISNUMBER(SEARCH(Checksheet!$U$11,B1472)),MAX($D$1:D1471)+1,"")</f>
        <v/>
      </c>
    </row>
    <row r="1473" spans="4:4">
      <c r="D1473" s="170" t="str">
        <f>IF(ISNUMBER(SEARCH(Checksheet!$U$11,B1473)),MAX($D$1:D1472)+1,"")</f>
        <v/>
      </c>
    </row>
    <row r="1474" spans="4:4">
      <c r="D1474" s="170" t="str">
        <f>IF(ISNUMBER(SEARCH(Checksheet!$U$11,B1474)),MAX($D$1:D1473)+1,"")</f>
        <v/>
      </c>
    </row>
    <row r="1475" spans="4:4">
      <c r="D1475" s="170" t="str">
        <f>IF(ISNUMBER(SEARCH(Checksheet!$U$11,B1475)),MAX($D$1:D1474)+1,"")</f>
        <v/>
      </c>
    </row>
    <row r="1476" spans="4:4">
      <c r="D1476" s="170" t="str">
        <f>IF(ISNUMBER(SEARCH(Checksheet!$U$11,B1476)),MAX($D$1:D1475)+1,"")</f>
        <v/>
      </c>
    </row>
    <row r="1477" spans="4:4">
      <c r="D1477" s="170" t="str">
        <f>IF(ISNUMBER(SEARCH(Checksheet!$U$11,B1477)),MAX($D$1:D1476)+1,"")</f>
        <v/>
      </c>
    </row>
    <row r="1478" spans="4:4">
      <c r="D1478" s="170" t="str">
        <f>IF(ISNUMBER(SEARCH(Checksheet!$U$11,B1478)),MAX($D$1:D1477)+1,"")</f>
        <v/>
      </c>
    </row>
    <row r="1479" spans="4:4">
      <c r="D1479" s="170" t="str">
        <f>IF(ISNUMBER(SEARCH(Checksheet!$U$11,B1479)),MAX($D$1:D1478)+1,"")</f>
        <v/>
      </c>
    </row>
    <row r="1480" spans="4:4">
      <c r="D1480" s="170" t="str">
        <f>IF(ISNUMBER(SEARCH(Checksheet!$U$11,B1480)),MAX($D$1:D1479)+1,"")</f>
        <v/>
      </c>
    </row>
    <row r="1481" spans="4:4">
      <c r="D1481" s="170" t="str">
        <f>IF(ISNUMBER(SEARCH(Checksheet!$U$11,B1481)),MAX($D$1:D1480)+1,"")</f>
        <v/>
      </c>
    </row>
    <row r="1482" spans="4:4">
      <c r="D1482" s="170" t="str">
        <f>IF(ISNUMBER(SEARCH(Checksheet!$U$11,B1482)),MAX($D$1:D1481)+1,"")</f>
        <v/>
      </c>
    </row>
    <row r="1483" spans="4:4">
      <c r="D1483" s="170" t="str">
        <f>IF(ISNUMBER(SEARCH(Checksheet!$U$11,B1483)),MAX($D$1:D1482)+1,"")</f>
        <v/>
      </c>
    </row>
    <row r="1484" spans="4:4">
      <c r="D1484" s="170" t="str">
        <f>IF(ISNUMBER(SEARCH(Checksheet!$U$11,B1484)),MAX($D$1:D1483)+1,"")</f>
        <v/>
      </c>
    </row>
    <row r="1485" spans="4:4">
      <c r="D1485" s="170" t="str">
        <f>IF(ISNUMBER(SEARCH(Checksheet!$U$11,B1485)),MAX($D$1:D1484)+1,"")</f>
        <v/>
      </c>
    </row>
    <row r="1486" spans="4:4">
      <c r="D1486" s="170" t="str">
        <f>IF(ISNUMBER(SEARCH(Checksheet!$U$11,B1486)),MAX($D$1:D1485)+1,"")</f>
        <v/>
      </c>
    </row>
    <row r="1487" spans="4:4">
      <c r="D1487" s="170" t="str">
        <f>IF(ISNUMBER(SEARCH(Checksheet!$U$11,B1487)),MAX($D$1:D1486)+1,"")</f>
        <v/>
      </c>
    </row>
    <row r="1488" spans="4:4">
      <c r="D1488" s="170" t="str">
        <f>IF(ISNUMBER(SEARCH(Checksheet!$U$11,B1488)),MAX($D$1:D1487)+1,"")</f>
        <v/>
      </c>
    </row>
    <row r="1489" spans="4:4">
      <c r="D1489" s="170" t="str">
        <f>IF(ISNUMBER(SEARCH(Checksheet!$U$11,B1489)),MAX($D$1:D1488)+1,"")</f>
        <v/>
      </c>
    </row>
    <row r="1490" spans="4:4">
      <c r="D1490" s="170" t="str">
        <f>IF(ISNUMBER(SEARCH(Checksheet!$U$11,B1490)),MAX($D$1:D1489)+1,"")</f>
        <v/>
      </c>
    </row>
    <row r="1491" spans="4:4">
      <c r="D1491" s="170" t="str">
        <f>IF(ISNUMBER(SEARCH(Checksheet!$U$11,B1491)),MAX($D$1:D1490)+1,"")</f>
        <v/>
      </c>
    </row>
    <row r="1492" spans="4:4">
      <c r="D1492" s="170" t="str">
        <f>IF(ISNUMBER(SEARCH(Checksheet!$U$11,B1492)),MAX($D$1:D1491)+1,"")</f>
        <v/>
      </c>
    </row>
    <row r="1493" spans="4:4">
      <c r="D1493" s="170" t="str">
        <f>IF(ISNUMBER(SEARCH(Checksheet!$U$11,B1493)),MAX($D$1:D1492)+1,"")</f>
        <v/>
      </c>
    </row>
    <row r="1494" spans="4:4">
      <c r="D1494" s="170" t="str">
        <f>IF(ISNUMBER(SEARCH(Checksheet!$U$11,B1494)),MAX($D$1:D1493)+1,"")</f>
        <v/>
      </c>
    </row>
    <row r="1495" spans="4:4">
      <c r="D1495" s="170" t="str">
        <f>IF(ISNUMBER(SEARCH(Checksheet!$U$11,B1495)),MAX($D$1:D1494)+1,"")</f>
        <v/>
      </c>
    </row>
    <row r="1496" spans="4:4">
      <c r="D1496" s="170" t="str">
        <f>IF(ISNUMBER(SEARCH(Checksheet!$U$11,B1496)),MAX($D$1:D1495)+1,"")</f>
        <v/>
      </c>
    </row>
    <row r="1497" spans="4:4">
      <c r="D1497" s="170" t="str">
        <f>IF(ISNUMBER(SEARCH(Checksheet!$U$11,B1497)),MAX($D$1:D1496)+1,"")</f>
        <v/>
      </c>
    </row>
    <row r="1498" spans="4:4">
      <c r="D1498" s="170" t="str">
        <f>IF(ISNUMBER(SEARCH(Checksheet!$U$11,B1498)),MAX($D$1:D1497)+1,"")</f>
        <v/>
      </c>
    </row>
    <row r="1499" spans="4:4">
      <c r="D1499" s="170" t="str">
        <f>IF(ISNUMBER(SEARCH(Checksheet!$U$11,B1499)),MAX($D$1:D1498)+1,"")</f>
        <v/>
      </c>
    </row>
    <row r="1500" spans="4:4">
      <c r="D1500" s="170" t="str">
        <f>IF(ISNUMBER(SEARCH(Checksheet!$U$11,B1500)),MAX($D$1:D1499)+1,"")</f>
        <v/>
      </c>
    </row>
    <row r="1501" spans="4:4">
      <c r="D1501" s="170" t="str">
        <f>IF(ISNUMBER(SEARCH(Checksheet!$U$11,B1501)),MAX($D$1:D1500)+1,"")</f>
        <v/>
      </c>
    </row>
    <row r="1502" spans="4:4">
      <c r="D1502" s="170" t="str">
        <f>IF(ISNUMBER(SEARCH(Checksheet!$U$11,B1502)),MAX($D$1:D1501)+1,"")</f>
        <v/>
      </c>
    </row>
    <row r="1503" spans="4:4">
      <c r="D1503" s="170" t="str">
        <f>IF(ISNUMBER(SEARCH(Checksheet!$U$11,B1503)),MAX($D$1:D1502)+1,"")</f>
        <v/>
      </c>
    </row>
    <row r="1504" spans="4:4">
      <c r="D1504" s="170" t="str">
        <f>IF(ISNUMBER(SEARCH(Checksheet!$U$11,B1504)),MAX($D$1:D1503)+1,"")</f>
        <v/>
      </c>
    </row>
    <row r="1505" spans="4:4">
      <c r="D1505" s="170" t="str">
        <f>IF(ISNUMBER(SEARCH(Checksheet!$U$11,B1505)),MAX($D$1:D1504)+1,"")</f>
        <v/>
      </c>
    </row>
    <row r="1506" spans="4:4">
      <c r="D1506" s="170" t="str">
        <f>IF(ISNUMBER(SEARCH(Checksheet!$U$11,B1506)),MAX($D$1:D1505)+1,"")</f>
        <v/>
      </c>
    </row>
    <row r="1507" spans="4:4">
      <c r="D1507" s="170" t="str">
        <f>IF(ISNUMBER(SEARCH(Checksheet!$U$11,B1507)),MAX($D$1:D1506)+1,"")</f>
        <v/>
      </c>
    </row>
    <row r="1508" spans="4:4">
      <c r="D1508" s="170" t="str">
        <f>IF(ISNUMBER(SEARCH(Checksheet!$U$11,B1508)),MAX($D$1:D1507)+1,"")</f>
        <v/>
      </c>
    </row>
    <row r="1509" spans="4:4">
      <c r="D1509" s="170" t="str">
        <f>IF(ISNUMBER(SEARCH(Checksheet!$U$11,B1509)),MAX($D$1:D1508)+1,"")</f>
        <v/>
      </c>
    </row>
    <row r="1510" spans="4:4">
      <c r="D1510" s="170" t="str">
        <f>IF(ISNUMBER(SEARCH(Checksheet!$U$11,B1510)),MAX($D$1:D1509)+1,"")</f>
        <v/>
      </c>
    </row>
    <row r="1511" spans="4:4">
      <c r="D1511" s="170" t="str">
        <f>IF(ISNUMBER(SEARCH(Checksheet!$U$11,B1511)),MAX($D$1:D1510)+1,"")</f>
        <v/>
      </c>
    </row>
    <row r="1512" spans="4:4">
      <c r="D1512" s="170" t="str">
        <f>IF(ISNUMBER(SEARCH(Checksheet!$U$11,B1512)),MAX($D$1:D1511)+1,"")</f>
        <v/>
      </c>
    </row>
    <row r="1513" spans="4:4">
      <c r="D1513" s="170" t="str">
        <f>IF(ISNUMBER(SEARCH(Checksheet!$U$11,B1513)),MAX($D$1:D1512)+1,"")</f>
        <v/>
      </c>
    </row>
    <row r="1514" spans="4:4">
      <c r="D1514" s="170" t="str">
        <f>IF(ISNUMBER(SEARCH(Checksheet!$U$11,B1514)),MAX($D$1:D1513)+1,"")</f>
        <v/>
      </c>
    </row>
    <row r="1515" spans="4:4">
      <c r="D1515" s="170" t="str">
        <f>IF(ISNUMBER(SEARCH(Checksheet!$U$11,B1515)),MAX($D$1:D1514)+1,"")</f>
        <v/>
      </c>
    </row>
    <row r="1516" spans="4:4">
      <c r="D1516" s="170" t="str">
        <f>IF(ISNUMBER(SEARCH(Checksheet!$U$11,B1516)),MAX($D$1:D1515)+1,"")</f>
        <v/>
      </c>
    </row>
    <row r="1517" spans="4:4">
      <c r="D1517" s="170" t="str">
        <f>IF(ISNUMBER(SEARCH(Checksheet!$U$11,B1517)),MAX($D$1:D1516)+1,"")</f>
        <v/>
      </c>
    </row>
    <row r="1518" spans="4:4">
      <c r="D1518" s="170" t="str">
        <f>IF(ISNUMBER(SEARCH(Checksheet!$U$11,B1518)),MAX($D$1:D1517)+1,"")</f>
        <v/>
      </c>
    </row>
    <row r="1519" spans="4:4">
      <c r="D1519" s="170" t="str">
        <f>IF(ISNUMBER(SEARCH(Checksheet!$U$11,B1519)),MAX($D$1:D1518)+1,"")</f>
        <v/>
      </c>
    </row>
    <row r="1520" spans="4:4">
      <c r="D1520" s="170" t="str">
        <f>IF(ISNUMBER(SEARCH(Checksheet!$U$11,B1520)),MAX($D$1:D1519)+1,"")</f>
        <v/>
      </c>
    </row>
    <row r="1521" spans="4:4">
      <c r="D1521" s="170" t="str">
        <f>IF(ISNUMBER(SEARCH(Checksheet!$U$11,B1521)),MAX($D$1:D1520)+1,"")</f>
        <v/>
      </c>
    </row>
    <row r="1522" spans="4:4">
      <c r="D1522" s="170" t="str">
        <f>IF(ISNUMBER(SEARCH(Checksheet!$U$11,B1522)),MAX($D$1:D1521)+1,"")</f>
        <v/>
      </c>
    </row>
    <row r="1523" spans="4:4">
      <c r="D1523" s="170" t="str">
        <f>IF(ISNUMBER(SEARCH(Checksheet!$U$11,B1523)),MAX($D$1:D1522)+1,"")</f>
        <v/>
      </c>
    </row>
    <row r="1524" spans="4:4">
      <c r="D1524" s="170" t="str">
        <f>IF(ISNUMBER(SEARCH(Checksheet!$U$11,B1524)),MAX($D$1:D1523)+1,"")</f>
        <v/>
      </c>
    </row>
    <row r="1525" spans="4:4">
      <c r="D1525" s="170" t="str">
        <f>IF(ISNUMBER(SEARCH(Checksheet!$U$11,B1525)),MAX($D$1:D1524)+1,"")</f>
        <v/>
      </c>
    </row>
    <row r="1526" spans="4:4">
      <c r="D1526" s="170" t="str">
        <f>IF(ISNUMBER(SEARCH(Checksheet!$U$11,B1526)),MAX($D$1:D1525)+1,"")</f>
        <v/>
      </c>
    </row>
    <row r="1527" spans="4:4">
      <c r="D1527" s="170" t="str">
        <f>IF(ISNUMBER(SEARCH(Checksheet!$U$11,B1527)),MAX($D$1:D1526)+1,"")</f>
        <v/>
      </c>
    </row>
    <row r="1528" spans="4:4">
      <c r="D1528" s="170" t="str">
        <f>IF(ISNUMBER(SEARCH(Checksheet!$U$11,B1528)),MAX($D$1:D1527)+1,"")</f>
        <v/>
      </c>
    </row>
    <row r="1529" spans="4:4">
      <c r="D1529" s="170" t="str">
        <f>IF(ISNUMBER(SEARCH(Checksheet!$U$11,B1529)),MAX($D$1:D1528)+1,"")</f>
        <v/>
      </c>
    </row>
    <row r="1530" spans="4:4">
      <c r="D1530" s="170" t="str">
        <f>IF(ISNUMBER(SEARCH(Checksheet!$U$11,B1530)),MAX($D$1:D1529)+1,"")</f>
        <v/>
      </c>
    </row>
    <row r="1531" spans="4:4">
      <c r="D1531" s="170" t="str">
        <f>IF(ISNUMBER(SEARCH(Checksheet!$U$11,B1531)),MAX($D$1:D1530)+1,"")</f>
        <v/>
      </c>
    </row>
    <row r="1532" spans="4:4">
      <c r="D1532" s="170" t="str">
        <f>IF(ISNUMBER(SEARCH(Checksheet!$U$11,B1532)),MAX($D$1:D1531)+1,"")</f>
        <v/>
      </c>
    </row>
    <row r="1533" spans="4:4">
      <c r="D1533" s="170" t="str">
        <f>IF(ISNUMBER(SEARCH(Checksheet!$U$11,B1533)),MAX($D$1:D1532)+1,"")</f>
        <v/>
      </c>
    </row>
    <row r="1534" spans="4:4">
      <c r="D1534" s="170" t="str">
        <f>IF(ISNUMBER(SEARCH(Checksheet!$U$11,B1534)),MAX($D$1:D1533)+1,"")</f>
        <v/>
      </c>
    </row>
    <row r="1535" spans="4:4">
      <c r="D1535" s="170" t="str">
        <f>IF(ISNUMBER(SEARCH(Checksheet!$U$11,B1535)),MAX($D$1:D1534)+1,"")</f>
        <v/>
      </c>
    </row>
    <row r="1536" spans="4:4">
      <c r="D1536" s="170" t="str">
        <f>IF(ISNUMBER(SEARCH(Checksheet!$U$11,B1536)),MAX($D$1:D1535)+1,"")</f>
        <v/>
      </c>
    </row>
    <row r="1537" spans="4:4">
      <c r="D1537" s="170" t="str">
        <f>IF(ISNUMBER(SEARCH(Checksheet!$U$11,B1537)),MAX($D$1:D1536)+1,"")</f>
        <v/>
      </c>
    </row>
    <row r="1538" spans="4:4">
      <c r="D1538" s="170" t="str">
        <f>IF(ISNUMBER(SEARCH(Checksheet!$U$11,B1538)),MAX($D$1:D1537)+1,"")</f>
        <v/>
      </c>
    </row>
    <row r="1539" spans="4:4">
      <c r="D1539" s="170" t="str">
        <f>IF(ISNUMBER(SEARCH(Checksheet!$U$11,B1539)),MAX($D$1:D1538)+1,"")</f>
        <v/>
      </c>
    </row>
    <row r="1540" spans="4:4">
      <c r="D1540" s="170" t="str">
        <f>IF(ISNUMBER(SEARCH(Checksheet!$U$11,B1540)),MAX($D$1:D1539)+1,"")</f>
        <v/>
      </c>
    </row>
    <row r="1541" spans="4:4">
      <c r="D1541" s="170" t="str">
        <f>IF(ISNUMBER(SEARCH(Checksheet!$U$11,B1541)),MAX($D$1:D1540)+1,"")</f>
        <v/>
      </c>
    </row>
    <row r="1542" spans="4:4">
      <c r="D1542" s="170" t="str">
        <f>IF(ISNUMBER(SEARCH(Checksheet!$U$11,B1542)),MAX($D$1:D1541)+1,"")</f>
        <v/>
      </c>
    </row>
    <row r="1543" spans="4:4">
      <c r="D1543" s="170" t="str">
        <f>IF(ISNUMBER(SEARCH(Checksheet!$U$11,B1543)),MAX($D$1:D1542)+1,"")</f>
        <v/>
      </c>
    </row>
    <row r="1544" spans="4:4">
      <c r="D1544" s="170" t="str">
        <f>IF(ISNUMBER(SEARCH(Checksheet!$U$11,B1544)),MAX($D$1:D1543)+1,"")</f>
        <v/>
      </c>
    </row>
    <row r="1545" spans="4:4">
      <c r="D1545" s="170" t="str">
        <f>IF(ISNUMBER(SEARCH(Checksheet!$U$11,B1545)),MAX($D$1:D1544)+1,"")</f>
        <v/>
      </c>
    </row>
    <row r="1546" spans="4:4">
      <c r="D1546" s="170" t="str">
        <f>IF(ISNUMBER(SEARCH(Checksheet!$U$11,B1546)),MAX($D$1:D1545)+1,"")</f>
        <v/>
      </c>
    </row>
    <row r="1547" spans="4:4">
      <c r="D1547" s="170" t="str">
        <f>IF(ISNUMBER(SEARCH(Checksheet!$U$11,B1547)),MAX($D$1:D1546)+1,"")</f>
        <v/>
      </c>
    </row>
    <row r="1548" spans="4:4">
      <c r="D1548" s="170" t="str">
        <f>IF(ISNUMBER(SEARCH(Checksheet!$U$11,B1548)),MAX($D$1:D1547)+1,"")</f>
        <v/>
      </c>
    </row>
    <row r="1549" spans="4:4">
      <c r="D1549" s="170" t="str">
        <f>IF(ISNUMBER(SEARCH(Checksheet!$U$11,B1549)),MAX($D$1:D1548)+1,"")</f>
        <v/>
      </c>
    </row>
    <row r="1550" spans="4:4">
      <c r="D1550" s="170" t="str">
        <f>IF(ISNUMBER(SEARCH(Checksheet!$U$11,B1550)),MAX($D$1:D1549)+1,"")</f>
        <v/>
      </c>
    </row>
    <row r="1551" spans="4:4">
      <c r="D1551" s="170" t="str">
        <f>IF(ISNUMBER(SEARCH(Checksheet!$U$11,B1551)),MAX($D$1:D1550)+1,"")</f>
        <v/>
      </c>
    </row>
    <row r="1552" spans="4:4">
      <c r="D1552" s="170" t="str">
        <f>IF(ISNUMBER(SEARCH(Checksheet!$U$11,B1552)),MAX($D$1:D1551)+1,"")</f>
        <v/>
      </c>
    </row>
    <row r="1553" spans="4:4">
      <c r="D1553" s="170" t="str">
        <f>IF(ISNUMBER(SEARCH(Checksheet!$U$11,B1553)),MAX($D$1:D1552)+1,"")</f>
        <v/>
      </c>
    </row>
    <row r="1554" spans="4:4">
      <c r="D1554" s="170" t="str">
        <f>IF(ISNUMBER(SEARCH(Checksheet!$U$11,B1554)),MAX($D$1:D1553)+1,"")</f>
        <v/>
      </c>
    </row>
    <row r="1555" spans="4:4">
      <c r="D1555" s="170" t="str">
        <f>IF(ISNUMBER(SEARCH(Checksheet!$U$11,B1555)),MAX($D$1:D1554)+1,"")</f>
        <v/>
      </c>
    </row>
    <row r="1556" spans="4:4">
      <c r="D1556" s="170" t="str">
        <f>IF(ISNUMBER(SEARCH(Checksheet!$U$11,B1556)),MAX($D$1:D1555)+1,"")</f>
        <v/>
      </c>
    </row>
    <row r="1557" spans="4:4">
      <c r="D1557" s="170" t="str">
        <f>IF(ISNUMBER(SEARCH(Checksheet!$U$11,B1557)),MAX($D$1:D1556)+1,"")</f>
        <v/>
      </c>
    </row>
    <row r="1558" spans="4:4">
      <c r="D1558" s="170" t="str">
        <f>IF(ISNUMBER(SEARCH(Checksheet!$U$11,B1558)),MAX($D$1:D1557)+1,"")</f>
        <v/>
      </c>
    </row>
    <row r="1559" spans="4:4">
      <c r="D1559" s="170" t="str">
        <f>IF(ISNUMBER(SEARCH(Checksheet!$U$11,B1559)),MAX($D$1:D1558)+1,"")</f>
        <v/>
      </c>
    </row>
    <row r="1560" spans="4:4">
      <c r="D1560" s="170" t="str">
        <f>IF(ISNUMBER(SEARCH(Checksheet!$U$11,B1560)),MAX($D$1:D1559)+1,"")</f>
        <v/>
      </c>
    </row>
    <row r="1561" spans="4:4">
      <c r="D1561" s="170" t="str">
        <f>IF(ISNUMBER(SEARCH(Checksheet!$U$11,B1561)),MAX($D$1:D1560)+1,"")</f>
        <v/>
      </c>
    </row>
    <row r="1562" spans="4:4">
      <c r="D1562" s="170" t="str">
        <f>IF(ISNUMBER(SEARCH(Checksheet!$U$11,B1562)),MAX($D$1:D1561)+1,"")</f>
        <v/>
      </c>
    </row>
    <row r="1563" spans="4:4">
      <c r="D1563" s="170" t="str">
        <f>IF(ISNUMBER(SEARCH(Checksheet!$U$11,B1563)),MAX($D$1:D1562)+1,"")</f>
        <v/>
      </c>
    </row>
    <row r="1564" spans="4:4">
      <c r="D1564" s="170" t="str">
        <f>IF(ISNUMBER(SEARCH(Checksheet!$U$11,B1564)),MAX($D$1:D1563)+1,"")</f>
        <v/>
      </c>
    </row>
    <row r="1565" spans="4:4">
      <c r="D1565" s="170" t="str">
        <f>IF(ISNUMBER(SEARCH(Checksheet!$U$11,B1565)),MAX($D$1:D1564)+1,"")</f>
        <v/>
      </c>
    </row>
    <row r="1566" spans="4:4">
      <c r="D1566" s="170" t="str">
        <f>IF(ISNUMBER(SEARCH(Checksheet!$U$11,B1566)),MAX($D$1:D1565)+1,"")</f>
        <v/>
      </c>
    </row>
    <row r="1567" spans="4:4">
      <c r="D1567" s="170" t="str">
        <f>IF(ISNUMBER(SEARCH(Checksheet!$U$11,B1567)),MAX($D$1:D1566)+1,"")</f>
        <v/>
      </c>
    </row>
    <row r="1568" spans="4:4">
      <c r="D1568" s="170" t="str">
        <f>IF(ISNUMBER(SEARCH(Checksheet!$U$11,B1568)),MAX($D$1:D1567)+1,"")</f>
        <v/>
      </c>
    </row>
    <row r="1569" spans="4:4">
      <c r="D1569" s="170" t="str">
        <f>IF(ISNUMBER(SEARCH(Checksheet!$U$11,B1569)),MAX($D$1:D1568)+1,"")</f>
        <v/>
      </c>
    </row>
    <row r="1570" spans="4:4">
      <c r="D1570" s="170" t="str">
        <f>IF(ISNUMBER(SEARCH(Checksheet!$U$11,B1570)),MAX($D$1:D1569)+1,"")</f>
        <v/>
      </c>
    </row>
    <row r="1571" spans="4:4">
      <c r="D1571" s="170" t="str">
        <f>IF(ISNUMBER(SEARCH(Checksheet!$U$11,B1571)),MAX($D$1:D1570)+1,"")</f>
        <v/>
      </c>
    </row>
    <row r="1572" spans="4:4">
      <c r="D1572" s="170" t="str">
        <f>IF(ISNUMBER(SEARCH(Checksheet!$U$11,B1572)),MAX($D$1:D1571)+1,"")</f>
        <v/>
      </c>
    </row>
    <row r="1573" spans="4:4">
      <c r="D1573" s="170" t="str">
        <f>IF(ISNUMBER(SEARCH(Checksheet!$U$11,B1573)),MAX($D$1:D1572)+1,"")</f>
        <v/>
      </c>
    </row>
    <row r="1574" spans="4:4">
      <c r="D1574" s="170" t="str">
        <f>IF(ISNUMBER(SEARCH(Checksheet!$U$11,B1574)),MAX($D$1:D1573)+1,"")</f>
        <v/>
      </c>
    </row>
    <row r="1575" spans="4:4">
      <c r="D1575" s="170" t="str">
        <f>IF(ISNUMBER(SEARCH(Checksheet!$U$11,B1575)),MAX($D$1:D1574)+1,"")</f>
        <v/>
      </c>
    </row>
    <row r="1576" spans="4:4">
      <c r="D1576" s="170" t="str">
        <f>IF(ISNUMBER(SEARCH(Checksheet!$U$11,B1576)),MAX($D$1:D1575)+1,"")</f>
        <v/>
      </c>
    </row>
    <row r="1577" spans="4:4">
      <c r="D1577" s="170" t="str">
        <f>IF(ISNUMBER(SEARCH(Checksheet!$U$11,B1577)),MAX($D$1:D1576)+1,"")</f>
        <v/>
      </c>
    </row>
    <row r="1578" spans="4:4">
      <c r="D1578" s="170" t="str">
        <f>IF(ISNUMBER(SEARCH(Checksheet!$U$11,B1578)),MAX($D$1:D1577)+1,"")</f>
        <v/>
      </c>
    </row>
    <row r="1579" spans="4:4">
      <c r="D1579" s="170" t="str">
        <f>IF(ISNUMBER(SEARCH(Checksheet!$U$11,B1579)),MAX($D$1:D1578)+1,"")</f>
        <v/>
      </c>
    </row>
    <row r="1580" spans="4:4">
      <c r="D1580" s="170" t="str">
        <f>IF(ISNUMBER(SEARCH(Checksheet!$U$11,B1580)),MAX($D$1:D1579)+1,"")</f>
        <v/>
      </c>
    </row>
    <row r="1581" spans="4:4">
      <c r="D1581" s="170" t="str">
        <f>IF(ISNUMBER(SEARCH(Checksheet!$U$11,B1581)),MAX($D$1:D1580)+1,"")</f>
        <v/>
      </c>
    </row>
    <row r="1582" spans="4:4">
      <c r="D1582" s="170" t="str">
        <f>IF(ISNUMBER(SEARCH(Checksheet!$U$11,B1582)),MAX($D$1:D1581)+1,"")</f>
        <v/>
      </c>
    </row>
    <row r="1583" spans="4:4">
      <c r="D1583" s="170" t="str">
        <f>IF(ISNUMBER(SEARCH(Checksheet!$U$11,B1583)),MAX($D$1:D1582)+1,"")</f>
        <v/>
      </c>
    </row>
    <row r="1584" spans="4:4">
      <c r="D1584" s="170" t="str">
        <f>IF(ISNUMBER(SEARCH(Checksheet!$U$11,B1584)),MAX($D$1:D1583)+1,"")</f>
        <v/>
      </c>
    </row>
    <row r="1585" spans="4:4">
      <c r="D1585" s="170" t="str">
        <f>IF(ISNUMBER(SEARCH(Checksheet!$U$11,B1585)),MAX($D$1:D1584)+1,"")</f>
        <v/>
      </c>
    </row>
    <row r="1586" spans="4:4">
      <c r="D1586" s="170" t="str">
        <f>IF(ISNUMBER(SEARCH(Checksheet!$U$11,B1586)),MAX($D$1:D1585)+1,"")</f>
        <v/>
      </c>
    </row>
    <row r="1587" spans="4:4">
      <c r="D1587" s="170" t="str">
        <f>IF(ISNUMBER(SEARCH(Checksheet!$U$11,B1587)),MAX($D$1:D1586)+1,"")</f>
        <v/>
      </c>
    </row>
    <row r="1588" spans="4:4">
      <c r="D1588" s="170" t="str">
        <f>IF(ISNUMBER(SEARCH(Checksheet!$U$11,B1588)),MAX($D$1:D1587)+1,"")</f>
        <v/>
      </c>
    </row>
    <row r="1589" spans="4:4">
      <c r="D1589" s="170" t="str">
        <f>IF(ISNUMBER(SEARCH(Checksheet!$U$11,B1589)),MAX($D$1:D1588)+1,"")</f>
        <v/>
      </c>
    </row>
    <row r="1590" spans="4:4">
      <c r="D1590" s="170" t="str">
        <f>IF(ISNUMBER(SEARCH(Checksheet!$U$11,B1590)),MAX($D$1:D1589)+1,"")</f>
        <v/>
      </c>
    </row>
    <row r="1591" spans="4:4">
      <c r="D1591" s="170" t="str">
        <f>IF(ISNUMBER(SEARCH(Checksheet!$U$11,B1591)),MAX($D$1:D1590)+1,"")</f>
        <v/>
      </c>
    </row>
    <row r="1592" spans="4:4">
      <c r="D1592" s="170" t="str">
        <f>IF(ISNUMBER(SEARCH(Checksheet!$U$11,B1592)),MAX($D$1:D1591)+1,"")</f>
        <v/>
      </c>
    </row>
    <row r="1593" spans="4:4">
      <c r="D1593" s="170" t="str">
        <f>IF(ISNUMBER(SEARCH(Checksheet!$U$11,B1593)),MAX($D$1:D1592)+1,"")</f>
        <v/>
      </c>
    </row>
    <row r="1594" spans="4:4">
      <c r="D1594" s="170" t="str">
        <f>IF(ISNUMBER(SEARCH(Checksheet!$U$11,B1594)),MAX($D$1:D1593)+1,"")</f>
        <v/>
      </c>
    </row>
    <row r="1595" spans="4:4">
      <c r="D1595" s="170" t="str">
        <f>IF(ISNUMBER(SEARCH(Checksheet!$U$11,B1595)),MAX($D$1:D1594)+1,"")</f>
        <v/>
      </c>
    </row>
    <row r="1596" spans="4:4">
      <c r="D1596" s="170" t="str">
        <f>IF(ISNUMBER(SEARCH(Checksheet!$U$11,B1596)),MAX($D$1:D1595)+1,"")</f>
        <v/>
      </c>
    </row>
    <row r="1597" spans="4:4">
      <c r="D1597" s="170" t="str">
        <f>IF(ISNUMBER(SEARCH(Checksheet!$U$11,B1597)),MAX($D$1:D1596)+1,"")</f>
        <v/>
      </c>
    </row>
    <row r="1598" spans="4:4">
      <c r="D1598" s="170" t="str">
        <f>IF(ISNUMBER(SEARCH(Checksheet!$U$11,B1598)),MAX($D$1:D1597)+1,"")</f>
        <v/>
      </c>
    </row>
    <row r="1599" spans="4:4">
      <c r="D1599" s="170" t="str">
        <f>IF(ISNUMBER(SEARCH(Checksheet!$U$11,B1599)),MAX($D$1:D1598)+1,"")</f>
        <v/>
      </c>
    </row>
    <row r="1600" spans="4:4">
      <c r="D1600" s="170" t="str">
        <f>IF(ISNUMBER(SEARCH(Checksheet!$U$11,B1600)),MAX($D$1:D1599)+1,"")</f>
        <v/>
      </c>
    </row>
    <row r="1601" spans="4:4">
      <c r="D1601" s="170" t="str">
        <f>IF(ISNUMBER(SEARCH(Checksheet!$U$11,B1601)),MAX($D$1:D1600)+1,"")</f>
        <v/>
      </c>
    </row>
    <row r="1602" spans="4:4">
      <c r="D1602" s="170" t="str">
        <f>IF(ISNUMBER(SEARCH(Checksheet!$U$11,B1602)),MAX($D$1:D1601)+1,"")</f>
        <v/>
      </c>
    </row>
    <row r="1603" spans="4:4">
      <c r="D1603" s="170" t="str">
        <f>IF(ISNUMBER(SEARCH(Checksheet!$U$11,B1603)),MAX($D$1:D1602)+1,"")</f>
        <v/>
      </c>
    </row>
    <row r="1604" spans="4:4">
      <c r="D1604" s="170" t="str">
        <f>IF(ISNUMBER(SEARCH(Checksheet!$U$11,B1604)),MAX($D$1:D1603)+1,"")</f>
        <v/>
      </c>
    </row>
    <row r="1605" spans="4:4">
      <c r="D1605" s="170" t="str">
        <f>IF(ISNUMBER(SEARCH(Checksheet!$U$11,B1605)),MAX($D$1:D1604)+1,"")</f>
        <v/>
      </c>
    </row>
    <row r="1606" spans="4:4">
      <c r="D1606" s="170" t="str">
        <f>IF(ISNUMBER(SEARCH(Checksheet!$U$11,B1606)),MAX($D$1:D1605)+1,"")</f>
        <v/>
      </c>
    </row>
    <row r="1607" spans="4:4">
      <c r="D1607" s="170" t="str">
        <f>IF(ISNUMBER(SEARCH(Checksheet!$U$11,B1607)),MAX($D$1:D1606)+1,"")</f>
        <v/>
      </c>
    </row>
    <row r="1608" spans="4:4">
      <c r="D1608" s="170" t="str">
        <f>IF(ISNUMBER(SEARCH(Checksheet!$U$11,B1608)),MAX($D$1:D1607)+1,"")</f>
        <v/>
      </c>
    </row>
  </sheetData>
  <phoneticPr fontId="12"/>
  <conditionalFormatting sqref="A739">
    <cfRule type="duplicateValues" dxfId="4" priority="3"/>
    <cfRule type="duplicateValues" dxfId="3" priority="4"/>
  </conditionalFormatting>
  <conditionalFormatting sqref="B739">
    <cfRule type="duplicateValues" dxfId="2" priority="5"/>
  </conditionalFormatting>
  <conditionalFormatting sqref="B742">
    <cfRule type="expression" dxfId="1" priority="2">
      <formula>IF($C745&lt;&gt;"",TRUE)</formula>
    </cfRule>
  </conditionalFormatting>
  <conditionalFormatting sqref="A742">
    <cfRule type="expression" dxfId="0" priority="1">
      <formula>IF($C745&lt;&gt;"",TRUE)</formula>
    </cfRule>
  </conditionalFormatting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Checksheet</vt:lpstr>
      <vt:lpstr>Summary</vt:lpstr>
      <vt:lpstr>Sheet2</vt:lpstr>
      <vt:lpstr>Code</vt:lpstr>
      <vt:lpstr>Sheet1</vt:lpstr>
      <vt:lpstr>Checksheet!Extract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NITTO-01</dc:creator>
  <cp:lastModifiedBy>XPS</cp:lastModifiedBy>
  <cp:lastPrinted>2023-04-06T06:59:23Z</cp:lastPrinted>
  <dcterms:created xsi:type="dcterms:W3CDTF">2023-04-03T06:53:55Z</dcterms:created>
  <dcterms:modified xsi:type="dcterms:W3CDTF">2023-06-26T01:11:21Z</dcterms:modified>
</cp:coreProperties>
</file>